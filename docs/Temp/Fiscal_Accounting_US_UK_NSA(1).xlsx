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1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MMunit\ModelWork\GFM\BVAR\"/>
    </mc:Choice>
  </mc:AlternateContent>
  <xr:revisionPtr revIDLastSave="0" documentId="13_ncr:1_{1799D15C-8748-4A32-AB62-4DC9680BF0F0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US Overview" sheetId="1" r:id="rId1"/>
    <sheet name="US Raw Data" sheetId="2" r:id="rId2"/>
    <sheet name="US Raw Data_nsa" sheetId="12" r:id="rId3"/>
    <sheet name="UScalc_nsa" sheetId="13" r:id="rId4"/>
    <sheet name="UScalc" sheetId="11" r:id="rId5"/>
    <sheet name="UScalc_LagY" sheetId="14" r:id="rId6"/>
    <sheet name="US Construction" sheetId="3" r:id="rId7"/>
    <sheet name="US Fiscal Arithmetic" sheetId="4" r:id="rId8"/>
    <sheet name="US Projection" sheetId="5" r:id="rId9"/>
    <sheet name="UK Overview" sheetId="6" r:id="rId10"/>
    <sheet name="UK Raw Data" sheetId="7" r:id="rId11"/>
    <sheet name="UK Construction" sheetId="8" r:id="rId12"/>
    <sheet name="UK Fiscal Arithmetic" sheetId="9" r:id="rId13"/>
    <sheet name="UK Projection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5" i="14" l="1"/>
  <c r="U4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3" i="14"/>
  <c r="V3" i="14"/>
  <c r="U3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3" i="14"/>
  <c r="T3" i="14"/>
  <c r="P29" i="14"/>
  <c r="P32" i="14"/>
  <c r="P42" i="14"/>
  <c r="P43" i="14"/>
  <c r="P45" i="14"/>
  <c r="P56" i="14"/>
  <c r="P57" i="14"/>
  <c r="P60" i="14"/>
  <c r="P71" i="14"/>
  <c r="P72" i="14"/>
  <c r="P88" i="14"/>
  <c r="P112" i="14"/>
  <c r="M4" i="14"/>
  <c r="N5" i="14"/>
  <c r="N11" i="14"/>
  <c r="N17" i="14"/>
  <c r="M18" i="14"/>
  <c r="M24" i="14"/>
  <c r="M31" i="14"/>
  <c r="N31" i="14"/>
  <c r="M32" i="14"/>
  <c r="N38" i="14"/>
  <c r="N39" i="14"/>
  <c r="M40" i="14"/>
  <c r="M45" i="14"/>
  <c r="N45" i="14"/>
  <c r="M46" i="14"/>
  <c r="N53" i="14"/>
  <c r="N58" i="14"/>
  <c r="N60" i="14"/>
  <c r="N61" i="14"/>
  <c r="N65" i="14"/>
  <c r="N66" i="14"/>
  <c r="N67" i="14"/>
  <c r="N68" i="14"/>
  <c r="N75" i="14"/>
  <c r="M76" i="14"/>
  <c r="N79" i="14"/>
  <c r="N80" i="14"/>
  <c r="M81" i="14"/>
  <c r="N81" i="14"/>
  <c r="M89" i="14"/>
  <c r="N89" i="14"/>
  <c r="N93" i="14"/>
  <c r="N94" i="14"/>
  <c r="M95" i="14"/>
  <c r="N100" i="14"/>
  <c r="N101" i="14"/>
  <c r="M102" i="14"/>
  <c r="N102" i="14"/>
  <c r="N107" i="14"/>
  <c r="E112" i="14"/>
  <c r="D112" i="14"/>
  <c r="F112" i="14" s="1"/>
  <c r="M112" i="14" s="1"/>
  <c r="C112" i="14"/>
  <c r="N112" i="14" s="1"/>
  <c r="B112" i="14"/>
  <c r="G112" i="14" s="1"/>
  <c r="A112" i="14"/>
  <c r="G111" i="14"/>
  <c r="E111" i="14"/>
  <c r="D111" i="14"/>
  <c r="C111" i="14"/>
  <c r="B111" i="14"/>
  <c r="A111" i="14"/>
  <c r="E110" i="14"/>
  <c r="D110" i="14"/>
  <c r="F110" i="14" s="1"/>
  <c r="M110" i="14" s="1"/>
  <c r="C110" i="14"/>
  <c r="N110" i="14" s="1"/>
  <c r="B110" i="14"/>
  <c r="A110" i="14"/>
  <c r="G109" i="14"/>
  <c r="E109" i="14"/>
  <c r="F109" i="14" s="1"/>
  <c r="M109" i="14" s="1"/>
  <c r="D109" i="14"/>
  <c r="C109" i="14"/>
  <c r="B109" i="14"/>
  <c r="A109" i="14"/>
  <c r="E108" i="14"/>
  <c r="D108" i="14"/>
  <c r="C108" i="14"/>
  <c r="N108" i="14" s="1"/>
  <c r="B108" i="14"/>
  <c r="G108" i="14" s="1"/>
  <c r="A108" i="14"/>
  <c r="G107" i="14"/>
  <c r="P107" i="14" s="1"/>
  <c r="E107" i="14"/>
  <c r="D107" i="14"/>
  <c r="C107" i="14"/>
  <c r="B107" i="14"/>
  <c r="A107" i="14"/>
  <c r="E106" i="14"/>
  <c r="D106" i="14"/>
  <c r="C106" i="14"/>
  <c r="B106" i="14"/>
  <c r="G106" i="14" s="1"/>
  <c r="A106" i="14"/>
  <c r="E105" i="14"/>
  <c r="D105" i="14"/>
  <c r="C105" i="14"/>
  <c r="N105" i="14" s="1"/>
  <c r="B105" i="14"/>
  <c r="G105" i="14" s="1"/>
  <c r="P105" i="14" s="1"/>
  <c r="A105" i="14"/>
  <c r="G104" i="14"/>
  <c r="E104" i="14"/>
  <c r="D104" i="14"/>
  <c r="C104" i="14"/>
  <c r="B104" i="14"/>
  <c r="A104" i="14"/>
  <c r="E103" i="14"/>
  <c r="D103" i="14"/>
  <c r="F103" i="14" s="1"/>
  <c r="M103" i="14" s="1"/>
  <c r="C103" i="14"/>
  <c r="N103" i="14" s="1"/>
  <c r="B103" i="14"/>
  <c r="A103" i="14"/>
  <c r="G102" i="14"/>
  <c r="P102" i="14" s="1"/>
  <c r="F102" i="14"/>
  <c r="E102" i="14"/>
  <c r="D102" i="14"/>
  <c r="C102" i="14"/>
  <c r="B102" i="14"/>
  <c r="A102" i="14"/>
  <c r="E101" i="14"/>
  <c r="D101" i="14"/>
  <c r="C101" i="14"/>
  <c r="B101" i="14"/>
  <c r="G101" i="14" s="1"/>
  <c r="P101" i="14" s="1"/>
  <c r="A101" i="14"/>
  <c r="G100" i="14"/>
  <c r="P100" i="14" s="1"/>
  <c r="E100" i="14"/>
  <c r="D100" i="14"/>
  <c r="C100" i="14"/>
  <c r="B100" i="14"/>
  <c r="A100" i="14"/>
  <c r="E99" i="14"/>
  <c r="D99" i="14"/>
  <c r="C99" i="14"/>
  <c r="B99" i="14"/>
  <c r="G99" i="14" s="1"/>
  <c r="O99" i="14" s="1"/>
  <c r="A99" i="14"/>
  <c r="E98" i="14"/>
  <c r="D98" i="14"/>
  <c r="C98" i="14"/>
  <c r="N98" i="14" s="1"/>
  <c r="B98" i="14"/>
  <c r="A98" i="14"/>
  <c r="E97" i="14"/>
  <c r="D97" i="14"/>
  <c r="F97" i="14" s="1"/>
  <c r="C97" i="14"/>
  <c r="B97" i="14"/>
  <c r="G97" i="14" s="1"/>
  <c r="P97" i="14" s="1"/>
  <c r="A97" i="14"/>
  <c r="E96" i="14"/>
  <c r="D96" i="14"/>
  <c r="F96" i="14" s="1"/>
  <c r="M96" i="14" s="1"/>
  <c r="C96" i="14"/>
  <c r="N96" i="14" s="1"/>
  <c r="B96" i="14"/>
  <c r="N97" i="14" s="1"/>
  <c r="A96" i="14"/>
  <c r="G95" i="14"/>
  <c r="P95" i="14" s="1"/>
  <c r="E95" i="14"/>
  <c r="D95" i="14"/>
  <c r="F95" i="14" s="1"/>
  <c r="C95" i="14"/>
  <c r="B95" i="14"/>
  <c r="A95" i="14"/>
  <c r="E94" i="14"/>
  <c r="D94" i="14"/>
  <c r="C94" i="14"/>
  <c r="B94" i="14"/>
  <c r="A94" i="14"/>
  <c r="G93" i="14"/>
  <c r="P93" i="14" s="1"/>
  <c r="E93" i="14"/>
  <c r="D93" i="14"/>
  <c r="C93" i="14"/>
  <c r="B93" i="14"/>
  <c r="A93" i="14"/>
  <c r="E92" i="14"/>
  <c r="D92" i="14"/>
  <c r="C92" i="14"/>
  <c r="N92" i="14" s="1"/>
  <c r="B92" i="14"/>
  <c r="G92" i="14" s="1"/>
  <c r="A92" i="14"/>
  <c r="E91" i="14"/>
  <c r="D91" i="14"/>
  <c r="C91" i="14"/>
  <c r="B91" i="14"/>
  <c r="A91" i="14"/>
  <c r="E90" i="14"/>
  <c r="D90" i="14"/>
  <c r="F90" i="14" s="1"/>
  <c r="C90" i="14"/>
  <c r="N90" i="14" s="1"/>
  <c r="B90" i="14"/>
  <c r="G90" i="14" s="1"/>
  <c r="A90" i="14"/>
  <c r="O89" i="14"/>
  <c r="G89" i="14"/>
  <c r="E89" i="14"/>
  <c r="D89" i="14"/>
  <c r="F89" i="14" s="1"/>
  <c r="C89" i="14"/>
  <c r="B89" i="14"/>
  <c r="A89" i="14"/>
  <c r="E88" i="14"/>
  <c r="D88" i="14"/>
  <c r="F88" i="14" s="1"/>
  <c r="M88" i="14" s="1"/>
  <c r="C88" i="14"/>
  <c r="N88" i="14" s="1"/>
  <c r="B88" i="14"/>
  <c r="G88" i="14" s="1"/>
  <c r="A88" i="14"/>
  <c r="G87" i="14"/>
  <c r="P87" i="14" s="1"/>
  <c r="E87" i="14"/>
  <c r="D87" i="14"/>
  <c r="F87" i="14" s="1"/>
  <c r="M87" i="14" s="1"/>
  <c r="C87" i="14"/>
  <c r="B87" i="14"/>
  <c r="A87" i="14"/>
  <c r="E86" i="14"/>
  <c r="D86" i="14"/>
  <c r="C86" i="14"/>
  <c r="B86" i="14"/>
  <c r="G86" i="14" s="1"/>
  <c r="A86" i="14"/>
  <c r="E85" i="14"/>
  <c r="D85" i="14"/>
  <c r="C85" i="14"/>
  <c r="N85" i="14" s="1"/>
  <c r="B85" i="14"/>
  <c r="N86" i="14" s="1"/>
  <c r="A85" i="14"/>
  <c r="E84" i="14"/>
  <c r="F84" i="14" s="1"/>
  <c r="D84" i="14"/>
  <c r="C84" i="14"/>
  <c r="B84" i="14"/>
  <c r="A84" i="14"/>
  <c r="E83" i="14"/>
  <c r="D83" i="14"/>
  <c r="F83" i="14" s="1"/>
  <c r="M83" i="14" s="1"/>
  <c r="C83" i="14"/>
  <c r="N83" i="14" s="1"/>
  <c r="B83" i="14"/>
  <c r="G83" i="14" s="1"/>
  <c r="P83" i="14" s="1"/>
  <c r="A83" i="14"/>
  <c r="G82" i="14"/>
  <c r="E82" i="14"/>
  <c r="D82" i="14"/>
  <c r="C82" i="14"/>
  <c r="B82" i="14"/>
  <c r="A82" i="14"/>
  <c r="E81" i="14"/>
  <c r="D81" i="14"/>
  <c r="F81" i="14" s="1"/>
  <c r="C81" i="14"/>
  <c r="B81" i="14"/>
  <c r="G81" i="14" s="1"/>
  <c r="P81" i="14" s="1"/>
  <c r="A81" i="14"/>
  <c r="G80" i="14"/>
  <c r="P80" i="14" s="1"/>
  <c r="E80" i="14"/>
  <c r="D80" i="14"/>
  <c r="F80" i="14" s="1"/>
  <c r="M80" i="14" s="1"/>
  <c r="C80" i="14"/>
  <c r="B80" i="14"/>
  <c r="A80" i="14"/>
  <c r="E79" i="14"/>
  <c r="D79" i="14"/>
  <c r="F79" i="14" s="1"/>
  <c r="C79" i="14"/>
  <c r="B79" i="14"/>
  <c r="G79" i="14" s="1"/>
  <c r="A79" i="14"/>
  <c r="G78" i="14"/>
  <c r="E78" i="14"/>
  <c r="D78" i="14"/>
  <c r="C78" i="14"/>
  <c r="N78" i="14" s="1"/>
  <c r="B78" i="14"/>
  <c r="A78" i="14"/>
  <c r="E77" i="14"/>
  <c r="D77" i="14"/>
  <c r="C77" i="14"/>
  <c r="N77" i="14" s="1"/>
  <c r="B77" i="14"/>
  <c r="G77" i="14" s="1"/>
  <c r="A77" i="14"/>
  <c r="E76" i="14"/>
  <c r="D76" i="14"/>
  <c r="F76" i="14" s="1"/>
  <c r="C76" i="14"/>
  <c r="N76" i="14" s="1"/>
  <c r="B76" i="14"/>
  <c r="G76" i="14" s="1"/>
  <c r="A76" i="14"/>
  <c r="O75" i="14"/>
  <c r="G75" i="14"/>
  <c r="E75" i="14"/>
  <c r="D75" i="14"/>
  <c r="C75" i="14"/>
  <c r="B75" i="14"/>
  <c r="A75" i="14"/>
  <c r="E74" i="14"/>
  <c r="D74" i="14"/>
  <c r="F74" i="14" s="1"/>
  <c r="M74" i="14" s="1"/>
  <c r="C74" i="14"/>
  <c r="N74" i="14" s="1"/>
  <c r="B74" i="14"/>
  <c r="G74" i="14" s="1"/>
  <c r="P74" i="14" s="1"/>
  <c r="A74" i="14"/>
  <c r="G73" i="14"/>
  <c r="O73" i="14" s="1"/>
  <c r="E73" i="14"/>
  <c r="D73" i="14"/>
  <c r="C73" i="14"/>
  <c r="B73" i="14"/>
  <c r="A73" i="14"/>
  <c r="E72" i="14"/>
  <c r="D72" i="14"/>
  <c r="C72" i="14"/>
  <c r="N72" i="14" s="1"/>
  <c r="B72" i="14"/>
  <c r="G72" i="14" s="1"/>
  <c r="A72" i="14"/>
  <c r="G71" i="14"/>
  <c r="O71" i="14" s="1"/>
  <c r="E71" i="14"/>
  <c r="D71" i="14"/>
  <c r="C71" i="14"/>
  <c r="N71" i="14" s="1"/>
  <c r="B71" i="14"/>
  <c r="A71" i="14"/>
  <c r="E70" i="14"/>
  <c r="D70" i="14"/>
  <c r="C70" i="14"/>
  <c r="N70" i="14" s="1"/>
  <c r="B70" i="14"/>
  <c r="G70" i="14" s="1"/>
  <c r="A70" i="14"/>
  <c r="E69" i="14"/>
  <c r="D69" i="14"/>
  <c r="C69" i="14"/>
  <c r="N69" i="14" s="1"/>
  <c r="B69" i="14"/>
  <c r="G69" i="14" s="1"/>
  <c r="A69" i="14"/>
  <c r="O68" i="14"/>
  <c r="G68" i="14"/>
  <c r="E68" i="14"/>
  <c r="D68" i="14"/>
  <c r="C68" i="14"/>
  <c r="B68" i="14"/>
  <c r="A68" i="14"/>
  <c r="E67" i="14"/>
  <c r="D67" i="14"/>
  <c r="C67" i="14"/>
  <c r="B67" i="14"/>
  <c r="P68" i="14" s="1"/>
  <c r="A67" i="14"/>
  <c r="G66" i="14"/>
  <c r="E66" i="14"/>
  <c r="D66" i="14"/>
  <c r="C66" i="14"/>
  <c r="B66" i="14"/>
  <c r="A66" i="14"/>
  <c r="E65" i="14"/>
  <c r="D65" i="14"/>
  <c r="C65" i="14"/>
  <c r="B65" i="14"/>
  <c r="G65" i="14" s="1"/>
  <c r="P65" i="14" s="1"/>
  <c r="A65" i="14"/>
  <c r="G64" i="14"/>
  <c r="E64" i="14"/>
  <c r="D64" i="14"/>
  <c r="F64" i="14" s="1"/>
  <c r="M64" i="14" s="1"/>
  <c r="C64" i="14"/>
  <c r="N64" i="14" s="1"/>
  <c r="B64" i="14"/>
  <c r="A64" i="14"/>
  <c r="E63" i="14"/>
  <c r="D63" i="14"/>
  <c r="C63" i="14"/>
  <c r="N63" i="14" s="1"/>
  <c r="B63" i="14"/>
  <c r="G63" i="14" s="1"/>
  <c r="P63" i="14" s="1"/>
  <c r="A63" i="14"/>
  <c r="E62" i="14"/>
  <c r="D62" i="14"/>
  <c r="C62" i="14"/>
  <c r="N62" i="14" s="1"/>
  <c r="B62" i="14"/>
  <c r="G62" i="14" s="1"/>
  <c r="A62" i="14"/>
  <c r="G61" i="14"/>
  <c r="P61" i="14" s="1"/>
  <c r="E61" i="14"/>
  <c r="D61" i="14"/>
  <c r="C61" i="14"/>
  <c r="B61" i="14"/>
  <c r="A61" i="14"/>
  <c r="E60" i="14"/>
  <c r="D60" i="14"/>
  <c r="C60" i="14"/>
  <c r="B60" i="14"/>
  <c r="G60" i="14" s="1"/>
  <c r="A60" i="14"/>
  <c r="G59" i="14"/>
  <c r="O59" i="14" s="1"/>
  <c r="E59" i="14"/>
  <c r="D59" i="14"/>
  <c r="C59" i="14"/>
  <c r="B59" i="14"/>
  <c r="A59" i="14"/>
  <c r="E58" i="14"/>
  <c r="D58" i="14"/>
  <c r="C58" i="14"/>
  <c r="B58" i="14"/>
  <c r="A58" i="14"/>
  <c r="E57" i="14"/>
  <c r="D57" i="14"/>
  <c r="C57" i="14"/>
  <c r="N57" i="14" s="1"/>
  <c r="B57" i="14"/>
  <c r="G57" i="14" s="1"/>
  <c r="O57" i="14" s="1"/>
  <c r="A57" i="14"/>
  <c r="E56" i="14"/>
  <c r="D56" i="14"/>
  <c r="C56" i="14"/>
  <c r="N56" i="14" s="1"/>
  <c r="B56" i="14"/>
  <c r="G56" i="14" s="1"/>
  <c r="A56" i="14"/>
  <c r="E55" i="14"/>
  <c r="D55" i="14"/>
  <c r="C55" i="14"/>
  <c r="N55" i="14" s="1"/>
  <c r="B55" i="14"/>
  <c r="A55" i="14"/>
  <c r="G54" i="14"/>
  <c r="E54" i="14"/>
  <c r="D54" i="14"/>
  <c r="C54" i="14"/>
  <c r="B54" i="14"/>
  <c r="A54" i="14"/>
  <c r="E53" i="14"/>
  <c r="D53" i="14"/>
  <c r="C53" i="14"/>
  <c r="B53" i="14"/>
  <c r="A53" i="14"/>
  <c r="E52" i="14"/>
  <c r="D52" i="14"/>
  <c r="C52" i="14"/>
  <c r="B52" i="14"/>
  <c r="A52" i="14"/>
  <c r="E51" i="14"/>
  <c r="D51" i="14"/>
  <c r="F51" i="14" s="1"/>
  <c r="C51" i="14"/>
  <c r="N51" i="14" s="1"/>
  <c r="B51" i="14"/>
  <c r="A51" i="14"/>
  <c r="G50" i="14"/>
  <c r="E50" i="14"/>
  <c r="D50" i="14"/>
  <c r="C50" i="14"/>
  <c r="N50" i="14" s="1"/>
  <c r="B50" i="14"/>
  <c r="A50" i="14"/>
  <c r="E49" i="14"/>
  <c r="F49" i="14" s="1"/>
  <c r="D49" i="14"/>
  <c r="C49" i="14"/>
  <c r="B49" i="14"/>
  <c r="A49" i="14"/>
  <c r="G48" i="14"/>
  <c r="P48" i="14" s="1"/>
  <c r="E48" i="14"/>
  <c r="D48" i="14"/>
  <c r="C48" i="14"/>
  <c r="N48" i="14" s="1"/>
  <c r="B48" i="14"/>
  <c r="A48" i="14"/>
  <c r="E47" i="14"/>
  <c r="D47" i="14"/>
  <c r="C47" i="14"/>
  <c r="B47" i="14"/>
  <c r="G47" i="14" s="1"/>
  <c r="O47" i="14" s="1"/>
  <c r="A47" i="14"/>
  <c r="E46" i="14"/>
  <c r="D46" i="14"/>
  <c r="F46" i="14" s="1"/>
  <c r="C46" i="14"/>
  <c r="N46" i="14" s="1"/>
  <c r="B46" i="14"/>
  <c r="A46" i="14"/>
  <c r="F45" i="14"/>
  <c r="E45" i="14"/>
  <c r="D45" i="14"/>
  <c r="C45" i="14"/>
  <c r="B45" i="14"/>
  <c r="G45" i="14" s="1"/>
  <c r="A45" i="14"/>
  <c r="E44" i="14"/>
  <c r="D44" i="14"/>
  <c r="C44" i="14"/>
  <c r="N44" i="14" s="1"/>
  <c r="B44" i="14"/>
  <c r="G44" i="14" s="1"/>
  <c r="O44" i="14" s="1"/>
  <c r="A44" i="14"/>
  <c r="E43" i="14"/>
  <c r="D43" i="14"/>
  <c r="F43" i="14" s="1"/>
  <c r="M43" i="14" s="1"/>
  <c r="C43" i="14"/>
  <c r="B43" i="14"/>
  <c r="G43" i="14" s="1"/>
  <c r="A43" i="14"/>
  <c r="F42" i="14"/>
  <c r="M42" i="14" s="1"/>
  <c r="E42" i="14"/>
  <c r="D42" i="14"/>
  <c r="C42" i="14"/>
  <c r="N42" i="14" s="1"/>
  <c r="B42" i="14"/>
  <c r="G42" i="14" s="1"/>
  <c r="A42" i="14"/>
  <c r="G41" i="14"/>
  <c r="P41" i="14" s="1"/>
  <c r="E41" i="14"/>
  <c r="D41" i="14"/>
  <c r="F41" i="14" s="1"/>
  <c r="M41" i="14" s="1"/>
  <c r="C41" i="14"/>
  <c r="N41" i="14" s="1"/>
  <c r="B41" i="14"/>
  <c r="A41" i="14"/>
  <c r="E40" i="14"/>
  <c r="D40" i="14"/>
  <c r="F40" i="14" s="1"/>
  <c r="C40" i="14"/>
  <c r="N40" i="14" s="1"/>
  <c r="B40" i="14"/>
  <c r="G40" i="14" s="1"/>
  <c r="A40" i="14"/>
  <c r="G39" i="14"/>
  <c r="P39" i="14" s="1"/>
  <c r="E39" i="14"/>
  <c r="D39" i="14"/>
  <c r="F39" i="14" s="1"/>
  <c r="M39" i="14" s="1"/>
  <c r="C39" i="14"/>
  <c r="B39" i="14"/>
  <c r="A39" i="14"/>
  <c r="E38" i="14"/>
  <c r="D38" i="14"/>
  <c r="F38" i="14" s="1"/>
  <c r="C38" i="14"/>
  <c r="B38" i="14"/>
  <c r="G38" i="14" s="1"/>
  <c r="P38" i="14" s="1"/>
  <c r="A38" i="14"/>
  <c r="E37" i="14"/>
  <c r="D37" i="14"/>
  <c r="F37" i="14" s="1"/>
  <c r="M37" i="14" s="1"/>
  <c r="C37" i="14"/>
  <c r="N37" i="14" s="1"/>
  <c r="B37" i="14"/>
  <c r="G37" i="14" s="1"/>
  <c r="P37" i="14" s="1"/>
  <c r="A37" i="14"/>
  <c r="O36" i="14"/>
  <c r="G36" i="14"/>
  <c r="P36" i="14" s="1"/>
  <c r="E36" i="14"/>
  <c r="D36" i="14"/>
  <c r="F36" i="14" s="1"/>
  <c r="C36" i="14"/>
  <c r="N36" i="14" s="1"/>
  <c r="B36" i="14"/>
  <c r="A36" i="14"/>
  <c r="E35" i="14"/>
  <c r="D35" i="14"/>
  <c r="C35" i="14"/>
  <c r="N35" i="14" s="1"/>
  <c r="B35" i="14"/>
  <c r="A35" i="14"/>
  <c r="G34" i="14"/>
  <c r="E34" i="14"/>
  <c r="D34" i="14"/>
  <c r="C34" i="14"/>
  <c r="B34" i="14"/>
  <c r="A34" i="14"/>
  <c r="E33" i="14"/>
  <c r="D33" i="14"/>
  <c r="F33" i="14" s="1"/>
  <c r="M33" i="14" s="1"/>
  <c r="C33" i="14"/>
  <c r="N33" i="14" s="1"/>
  <c r="B33" i="14"/>
  <c r="A33" i="14"/>
  <c r="E32" i="14"/>
  <c r="D32" i="14"/>
  <c r="F32" i="14" s="1"/>
  <c r="C32" i="14"/>
  <c r="N32" i="14" s="1"/>
  <c r="B32" i="14"/>
  <c r="G32" i="14" s="1"/>
  <c r="A32" i="14"/>
  <c r="E31" i="14"/>
  <c r="D31" i="14"/>
  <c r="F31" i="14" s="1"/>
  <c r="C31" i="14"/>
  <c r="B31" i="14"/>
  <c r="A31" i="14"/>
  <c r="G30" i="14"/>
  <c r="F30" i="14"/>
  <c r="M30" i="14" s="1"/>
  <c r="E30" i="14"/>
  <c r="D30" i="14"/>
  <c r="C30" i="14"/>
  <c r="B30" i="14"/>
  <c r="A30" i="14"/>
  <c r="E29" i="14"/>
  <c r="F29" i="14" s="1"/>
  <c r="M29" i="14" s="1"/>
  <c r="D29" i="14"/>
  <c r="C29" i="14"/>
  <c r="N29" i="14" s="1"/>
  <c r="B29" i="14"/>
  <c r="G29" i="14" s="1"/>
  <c r="O29" i="14" s="1"/>
  <c r="A29" i="14"/>
  <c r="E28" i="14"/>
  <c r="D28" i="14"/>
  <c r="F28" i="14" s="1"/>
  <c r="M28" i="14" s="1"/>
  <c r="C28" i="14"/>
  <c r="N28" i="14" s="1"/>
  <c r="B28" i="14"/>
  <c r="A28" i="14"/>
  <c r="G27" i="14"/>
  <c r="O27" i="14" s="1"/>
  <c r="E27" i="14"/>
  <c r="D27" i="14"/>
  <c r="C27" i="14"/>
  <c r="B27" i="14"/>
  <c r="A27" i="14"/>
  <c r="E26" i="14"/>
  <c r="D26" i="14"/>
  <c r="C26" i="14"/>
  <c r="N26" i="14" s="1"/>
  <c r="B26" i="14"/>
  <c r="A26" i="14"/>
  <c r="F25" i="14"/>
  <c r="M25" i="14" s="1"/>
  <c r="E25" i="14"/>
  <c r="D25" i="14"/>
  <c r="C25" i="14"/>
  <c r="B25" i="14"/>
  <c r="G25" i="14" s="1"/>
  <c r="A25" i="14"/>
  <c r="E24" i="14"/>
  <c r="D24" i="14"/>
  <c r="F24" i="14" s="1"/>
  <c r="C24" i="14"/>
  <c r="N24" i="14" s="1"/>
  <c r="B24" i="14"/>
  <c r="A24" i="14"/>
  <c r="G23" i="14"/>
  <c r="E23" i="14"/>
  <c r="D23" i="14"/>
  <c r="F23" i="14" s="1"/>
  <c r="M23" i="14" s="1"/>
  <c r="C23" i="14"/>
  <c r="N23" i="14" s="1"/>
  <c r="B23" i="14"/>
  <c r="A23" i="14"/>
  <c r="E22" i="14"/>
  <c r="D22" i="14"/>
  <c r="F22" i="14" s="1"/>
  <c r="C22" i="14"/>
  <c r="B22" i="14"/>
  <c r="G22" i="14" s="1"/>
  <c r="A22" i="14"/>
  <c r="E21" i="14"/>
  <c r="D21" i="14"/>
  <c r="F21" i="14" s="1"/>
  <c r="M21" i="14" s="1"/>
  <c r="C21" i="14"/>
  <c r="N21" i="14" s="1"/>
  <c r="B21" i="14"/>
  <c r="A21" i="14"/>
  <c r="G20" i="14"/>
  <c r="O20" i="14" s="1"/>
  <c r="E20" i="14"/>
  <c r="D20" i="14"/>
  <c r="F20" i="14" s="1"/>
  <c r="C20" i="14"/>
  <c r="B20" i="14"/>
  <c r="A20" i="14"/>
  <c r="E19" i="14"/>
  <c r="D19" i="14"/>
  <c r="F19" i="14" s="1"/>
  <c r="M19" i="14" s="1"/>
  <c r="C19" i="14"/>
  <c r="N19" i="14" s="1"/>
  <c r="B19" i="14"/>
  <c r="A19" i="14"/>
  <c r="E18" i="14"/>
  <c r="D18" i="14"/>
  <c r="F18" i="14" s="1"/>
  <c r="C18" i="14"/>
  <c r="B18" i="14"/>
  <c r="G18" i="14" s="1"/>
  <c r="A18" i="14"/>
  <c r="E17" i="14"/>
  <c r="D17" i="14"/>
  <c r="C17" i="14"/>
  <c r="B17" i="14"/>
  <c r="N18" i="14" s="1"/>
  <c r="A17" i="14"/>
  <c r="E16" i="14"/>
  <c r="D16" i="14"/>
  <c r="C16" i="14"/>
  <c r="N16" i="14" s="1"/>
  <c r="B16" i="14"/>
  <c r="G16" i="14" s="1"/>
  <c r="A16" i="14"/>
  <c r="E15" i="14"/>
  <c r="D15" i="14"/>
  <c r="F15" i="14" s="1"/>
  <c r="C15" i="14"/>
  <c r="B15" i="14"/>
  <c r="G15" i="14" s="1"/>
  <c r="O15" i="14" s="1"/>
  <c r="A15" i="14"/>
  <c r="E14" i="14"/>
  <c r="D14" i="14"/>
  <c r="F14" i="14" s="1"/>
  <c r="M14" i="14" s="1"/>
  <c r="C14" i="14"/>
  <c r="N14" i="14" s="1"/>
  <c r="B14" i="14"/>
  <c r="P15" i="14" s="1"/>
  <c r="A14" i="14"/>
  <c r="G13" i="14"/>
  <c r="O13" i="14" s="1"/>
  <c r="E13" i="14"/>
  <c r="D13" i="14"/>
  <c r="F13" i="14" s="1"/>
  <c r="C13" i="14"/>
  <c r="B13" i="14"/>
  <c r="A13" i="14"/>
  <c r="E12" i="14"/>
  <c r="D12" i="14"/>
  <c r="C12" i="14"/>
  <c r="N12" i="14" s="1"/>
  <c r="B12" i="14"/>
  <c r="P13" i="14" s="1"/>
  <c r="A12" i="14"/>
  <c r="E11" i="14"/>
  <c r="D11" i="14"/>
  <c r="C11" i="14"/>
  <c r="B11" i="14"/>
  <c r="G11" i="14" s="1"/>
  <c r="P11" i="14" s="1"/>
  <c r="A11" i="14"/>
  <c r="E10" i="14"/>
  <c r="D10" i="14"/>
  <c r="F10" i="14" s="1"/>
  <c r="C10" i="14"/>
  <c r="B10" i="14"/>
  <c r="A10" i="14"/>
  <c r="E9" i="14"/>
  <c r="D9" i="14"/>
  <c r="F9" i="14" s="1"/>
  <c r="C9" i="14"/>
  <c r="B9" i="14"/>
  <c r="A9" i="14"/>
  <c r="E8" i="14"/>
  <c r="D8" i="14"/>
  <c r="F8" i="14" s="1"/>
  <c r="M8" i="14" s="1"/>
  <c r="C8" i="14"/>
  <c r="N8" i="14" s="1"/>
  <c r="B8" i="14"/>
  <c r="G8" i="14" s="1"/>
  <c r="A8" i="14"/>
  <c r="E7" i="14"/>
  <c r="D7" i="14"/>
  <c r="C7" i="14"/>
  <c r="N7" i="14" s="1"/>
  <c r="B7" i="14"/>
  <c r="A7" i="14"/>
  <c r="E6" i="14"/>
  <c r="D6" i="14"/>
  <c r="F6" i="14" s="1"/>
  <c r="C6" i="14"/>
  <c r="B6" i="14"/>
  <c r="G6" i="14" s="1"/>
  <c r="A6" i="14"/>
  <c r="E5" i="14"/>
  <c r="D5" i="14"/>
  <c r="F5" i="14" s="1"/>
  <c r="M5" i="14" s="1"/>
  <c r="C5" i="14"/>
  <c r="B5" i="14"/>
  <c r="M6" i="14" s="1"/>
  <c r="A5" i="14"/>
  <c r="F4" i="14"/>
  <c r="E4" i="14"/>
  <c r="D4" i="14"/>
  <c r="C4" i="14"/>
  <c r="B4" i="14"/>
  <c r="G4" i="14" s="1"/>
  <c r="A4" i="14"/>
  <c r="E3" i="14"/>
  <c r="D3" i="14"/>
  <c r="F3" i="14" s="1"/>
  <c r="M3" i="14" s="1"/>
  <c r="C3" i="14"/>
  <c r="N3" i="14" s="1"/>
  <c r="B3" i="14"/>
  <c r="A3" i="14"/>
  <c r="G2" i="14"/>
  <c r="O2" i="14" s="1"/>
  <c r="E2" i="14"/>
  <c r="F2" i="14" s="1"/>
  <c r="D2" i="14"/>
  <c r="C2" i="14"/>
  <c r="B2" i="14"/>
  <c r="A2" i="14"/>
  <c r="O3" i="1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P18" i="13" s="1"/>
  <c r="G18" i="13"/>
  <c r="G19" i="13"/>
  <c r="G20" i="13"/>
  <c r="G21" i="13"/>
  <c r="G22" i="13"/>
  <c r="G23" i="13"/>
  <c r="G24" i="13"/>
  <c r="G25" i="13"/>
  <c r="G26" i="13"/>
  <c r="G27" i="13"/>
  <c r="P28" i="13" s="1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P44" i="13" s="1"/>
  <c r="Q44" i="13" s="1"/>
  <c r="G44" i="13"/>
  <c r="O44" i="13" s="1"/>
  <c r="G45" i="13"/>
  <c r="G46" i="13"/>
  <c r="G47" i="13"/>
  <c r="G48" i="13"/>
  <c r="G49" i="13"/>
  <c r="O49" i="13" s="1"/>
  <c r="G50" i="13"/>
  <c r="G51" i="13"/>
  <c r="G52" i="13"/>
  <c r="G53" i="13"/>
  <c r="G54" i="13"/>
  <c r="G55" i="13"/>
  <c r="G56" i="13"/>
  <c r="G57" i="13"/>
  <c r="G58" i="13"/>
  <c r="G59" i="13"/>
  <c r="O59" i="13" s="1"/>
  <c r="G60" i="13"/>
  <c r="P61" i="13" s="1"/>
  <c r="Q61" i="13" s="1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P76" i="13" s="1"/>
  <c r="Q76" i="13" s="1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O92" i="13" s="1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P109" i="13" s="1"/>
  <c r="Q109" i="13" s="1"/>
  <c r="G109" i="13"/>
  <c r="G110" i="13"/>
  <c r="G111" i="13"/>
  <c r="G112" i="13"/>
  <c r="G2" i="13"/>
  <c r="E112" i="13"/>
  <c r="D112" i="13"/>
  <c r="C112" i="13"/>
  <c r="B112" i="13"/>
  <c r="A112" i="13"/>
  <c r="E111" i="13"/>
  <c r="D111" i="13"/>
  <c r="F111" i="13" s="1"/>
  <c r="C111" i="13"/>
  <c r="N111" i="13" s="1"/>
  <c r="B111" i="13"/>
  <c r="O111" i="13" s="1"/>
  <c r="A111" i="13"/>
  <c r="E110" i="13"/>
  <c r="D110" i="13"/>
  <c r="C110" i="13"/>
  <c r="N110" i="13" s="1"/>
  <c r="B110" i="13"/>
  <c r="A110" i="13"/>
  <c r="E109" i="13"/>
  <c r="F109" i="13" s="1"/>
  <c r="D109" i="13"/>
  <c r="C109" i="13"/>
  <c r="N109" i="13" s="1"/>
  <c r="B109" i="13"/>
  <c r="A109" i="13"/>
  <c r="E108" i="13"/>
  <c r="D108" i="13"/>
  <c r="F108" i="13" s="1"/>
  <c r="C108" i="13"/>
  <c r="N108" i="13" s="1"/>
  <c r="B108" i="13"/>
  <c r="A108" i="13"/>
  <c r="O107" i="13"/>
  <c r="E107" i="13"/>
  <c r="D107" i="13"/>
  <c r="C107" i="13"/>
  <c r="B107" i="13"/>
  <c r="A107" i="13"/>
  <c r="E106" i="13"/>
  <c r="D106" i="13"/>
  <c r="C106" i="13"/>
  <c r="B106" i="13"/>
  <c r="A106" i="13"/>
  <c r="E105" i="13"/>
  <c r="D105" i="13"/>
  <c r="C105" i="13"/>
  <c r="B105" i="13"/>
  <c r="A105" i="13"/>
  <c r="E104" i="13"/>
  <c r="D104" i="13"/>
  <c r="C104" i="13"/>
  <c r="B104" i="13"/>
  <c r="P105" i="13" s="1"/>
  <c r="A104" i="13"/>
  <c r="E103" i="13"/>
  <c r="D103" i="13"/>
  <c r="F103" i="13" s="1"/>
  <c r="M103" i="13" s="1"/>
  <c r="C103" i="13"/>
  <c r="N103" i="13" s="1"/>
  <c r="B103" i="13"/>
  <c r="A103" i="13"/>
  <c r="E102" i="13"/>
  <c r="D102" i="13"/>
  <c r="C102" i="13"/>
  <c r="B102" i="13"/>
  <c r="A102" i="13"/>
  <c r="E101" i="13"/>
  <c r="D101" i="13"/>
  <c r="C101" i="13"/>
  <c r="N101" i="13" s="1"/>
  <c r="B101" i="13"/>
  <c r="A101" i="13"/>
  <c r="E100" i="13"/>
  <c r="D100" i="13"/>
  <c r="F100" i="13" s="1"/>
  <c r="C100" i="13"/>
  <c r="B100" i="13"/>
  <c r="A100" i="13"/>
  <c r="E99" i="13"/>
  <c r="D99" i="13"/>
  <c r="C99" i="13"/>
  <c r="B99" i="13"/>
  <c r="A99" i="13"/>
  <c r="E98" i="13"/>
  <c r="D98" i="13"/>
  <c r="F98" i="13" s="1"/>
  <c r="C98" i="13"/>
  <c r="N98" i="13" s="1"/>
  <c r="B98" i="13"/>
  <c r="A98" i="13"/>
  <c r="E97" i="13"/>
  <c r="F97" i="13" s="1"/>
  <c r="D97" i="13"/>
  <c r="C97" i="13"/>
  <c r="B97" i="13"/>
  <c r="A97" i="13"/>
  <c r="E96" i="13"/>
  <c r="D96" i="13"/>
  <c r="C96" i="13"/>
  <c r="B96" i="13"/>
  <c r="A96" i="13"/>
  <c r="E95" i="13"/>
  <c r="D95" i="13"/>
  <c r="C95" i="13"/>
  <c r="N95" i="13" s="1"/>
  <c r="B95" i="13"/>
  <c r="A95" i="13"/>
  <c r="E94" i="13"/>
  <c r="D94" i="13"/>
  <c r="C94" i="13"/>
  <c r="B94" i="13"/>
  <c r="A94" i="13"/>
  <c r="E93" i="13"/>
  <c r="F93" i="13" s="1"/>
  <c r="D93" i="13"/>
  <c r="C93" i="13"/>
  <c r="B93" i="13"/>
  <c r="A93" i="13"/>
  <c r="E92" i="13"/>
  <c r="D92" i="13"/>
  <c r="F92" i="13" s="1"/>
  <c r="C92" i="13"/>
  <c r="N92" i="13" s="1"/>
  <c r="B92" i="13"/>
  <c r="A92" i="13"/>
  <c r="O91" i="13"/>
  <c r="E91" i="13"/>
  <c r="D91" i="13"/>
  <c r="F91" i="13" s="1"/>
  <c r="C91" i="13"/>
  <c r="B91" i="13"/>
  <c r="A91" i="13"/>
  <c r="E90" i="13"/>
  <c r="D90" i="13"/>
  <c r="F90" i="13" s="1"/>
  <c r="C90" i="13"/>
  <c r="B90" i="13"/>
  <c r="A90" i="13"/>
  <c r="E89" i="13"/>
  <c r="F89" i="13" s="1"/>
  <c r="D89" i="13"/>
  <c r="C89" i="13"/>
  <c r="B89" i="13"/>
  <c r="A89" i="13"/>
  <c r="E88" i="13"/>
  <c r="D88" i="13"/>
  <c r="C88" i="13"/>
  <c r="B88" i="13"/>
  <c r="P89" i="13" s="1"/>
  <c r="A88" i="13"/>
  <c r="E87" i="13"/>
  <c r="D87" i="13"/>
  <c r="C87" i="13"/>
  <c r="N87" i="13" s="1"/>
  <c r="B87" i="13"/>
  <c r="A87" i="13"/>
  <c r="E86" i="13"/>
  <c r="D86" i="13"/>
  <c r="F86" i="13" s="1"/>
  <c r="C86" i="13"/>
  <c r="B86" i="13"/>
  <c r="A86" i="13"/>
  <c r="E85" i="13"/>
  <c r="D85" i="13"/>
  <c r="F85" i="13" s="1"/>
  <c r="C85" i="13"/>
  <c r="B85" i="13"/>
  <c r="A85" i="13"/>
  <c r="E84" i="13"/>
  <c r="D84" i="13"/>
  <c r="C84" i="13"/>
  <c r="B84" i="13"/>
  <c r="A84" i="13"/>
  <c r="P84" i="13"/>
  <c r="E83" i="13"/>
  <c r="D83" i="13"/>
  <c r="C83" i="13"/>
  <c r="B83" i="13"/>
  <c r="A83" i="13"/>
  <c r="E82" i="13"/>
  <c r="D82" i="13"/>
  <c r="F82" i="13" s="1"/>
  <c r="C82" i="13"/>
  <c r="B82" i="13"/>
  <c r="A82" i="13"/>
  <c r="P82" i="13"/>
  <c r="E81" i="13"/>
  <c r="D81" i="13"/>
  <c r="C81" i="13"/>
  <c r="B81" i="13"/>
  <c r="A81" i="13"/>
  <c r="E80" i="13"/>
  <c r="D80" i="13"/>
  <c r="C80" i="13"/>
  <c r="B80" i="13"/>
  <c r="A80" i="13"/>
  <c r="E79" i="13"/>
  <c r="D79" i="13"/>
  <c r="F79" i="13" s="1"/>
  <c r="C79" i="13"/>
  <c r="N79" i="13" s="1"/>
  <c r="B79" i="13"/>
  <c r="P80" i="13" s="1"/>
  <c r="A79" i="13"/>
  <c r="E78" i="13"/>
  <c r="D78" i="13"/>
  <c r="F78" i="13" s="1"/>
  <c r="C78" i="13"/>
  <c r="N78" i="13" s="1"/>
  <c r="B78" i="13"/>
  <c r="A78" i="13"/>
  <c r="E77" i="13"/>
  <c r="D77" i="13"/>
  <c r="C77" i="13"/>
  <c r="N77" i="13" s="1"/>
  <c r="B77" i="13"/>
  <c r="A77" i="13"/>
  <c r="O76" i="13"/>
  <c r="E76" i="13"/>
  <c r="D76" i="13"/>
  <c r="F76" i="13" s="1"/>
  <c r="C76" i="13"/>
  <c r="N76" i="13" s="1"/>
  <c r="B76" i="13"/>
  <c r="A76" i="13"/>
  <c r="E75" i="13"/>
  <c r="D75" i="13"/>
  <c r="C75" i="13"/>
  <c r="B75" i="13"/>
  <c r="A75" i="13"/>
  <c r="E74" i="13"/>
  <c r="D74" i="13"/>
  <c r="F74" i="13" s="1"/>
  <c r="C74" i="13"/>
  <c r="B74" i="13"/>
  <c r="A74" i="13"/>
  <c r="E73" i="13"/>
  <c r="F73" i="13" s="1"/>
  <c r="D73" i="13"/>
  <c r="C73" i="13"/>
  <c r="N73" i="13" s="1"/>
  <c r="B73" i="13"/>
  <c r="A73" i="13"/>
  <c r="E72" i="13"/>
  <c r="D72" i="13"/>
  <c r="C72" i="13"/>
  <c r="N72" i="13" s="1"/>
  <c r="B72" i="13"/>
  <c r="P73" i="13" s="1"/>
  <c r="A72" i="13"/>
  <c r="E71" i="13"/>
  <c r="D71" i="13"/>
  <c r="C71" i="13"/>
  <c r="N71" i="13" s="1"/>
  <c r="B71" i="13"/>
  <c r="A71" i="13"/>
  <c r="E70" i="13"/>
  <c r="D70" i="13"/>
  <c r="C70" i="13"/>
  <c r="N70" i="13" s="1"/>
  <c r="B70" i="13"/>
  <c r="A70" i="13"/>
  <c r="E69" i="13"/>
  <c r="D69" i="13"/>
  <c r="C69" i="13"/>
  <c r="B69" i="13"/>
  <c r="A69" i="13"/>
  <c r="E68" i="13"/>
  <c r="D68" i="13"/>
  <c r="C68" i="13"/>
  <c r="B68" i="13"/>
  <c r="A68" i="13"/>
  <c r="E67" i="13"/>
  <c r="D67" i="13"/>
  <c r="C67" i="13"/>
  <c r="B67" i="13"/>
  <c r="A67" i="13"/>
  <c r="E66" i="13"/>
  <c r="D66" i="13"/>
  <c r="F66" i="13" s="1"/>
  <c r="C66" i="13"/>
  <c r="B66" i="13"/>
  <c r="A66" i="13"/>
  <c r="E65" i="13"/>
  <c r="F65" i="13" s="1"/>
  <c r="D65" i="13"/>
  <c r="C65" i="13"/>
  <c r="B65" i="13"/>
  <c r="A65" i="13"/>
  <c r="E64" i="13"/>
  <c r="F64" i="13" s="1"/>
  <c r="D64" i="13"/>
  <c r="C64" i="13"/>
  <c r="B64" i="13"/>
  <c r="A64" i="13"/>
  <c r="E63" i="13"/>
  <c r="D63" i="13"/>
  <c r="F63" i="13" s="1"/>
  <c r="C63" i="13"/>
  <c r="N63" i="13" s="1"/>
  <c r="B63" i="13"/>
  <c r="A63" i="13"/>
  <c r="E62" i="13"/>
  <c r="D62" i="13"/>
  <c r="F62" i="13" s="1"/>
  <c r="C62" i="13"/>
  <c r="N62" i="13" s="1"/>
  <c r="B62" i="13"/>
  <c r="A62" i="13"/>
  <c r="E61" i="13"/>
  <c r="D61" i="13"/>
  <c r="C61" i="13"/>
  <c r="B61" i="13"/>
  <c r="A61" i="13"/>
  <c r="O60" i="13"/>
  <c r="E60" i="13"/>
  <c r="D60" i="13"/>
  <c r="C60" i="13"/>
  <c r="N60" i="13" s="1"/>
  <c r="B60" i="13"/>
  <c r="A60" i="13"/>
  <c r="E59" i="13"/>
  <c r="F59" i="13" s="1"/>
  <c r="D59" i="13"/>
  <c r="C59" i="13"/>
  <c r="B59" i="13"/>
  <c r="A59" i="13"/>
  <c r="E58" i="13"/>
  <c r="D58" i="13"/>
  <c r="C58" i="13"/>
  <c r="N58" i="13" s="1"/>
  <c r="B58" i="13"/>
  <c r="A58" i="13"/>
  <c r="E57" i="13"/>
  <c r="F57" i="13" s="1"/>
  <c r="D57" i="13"/>
  <c r="C57" i="13"/>
  <c r="B57" i="13"/>
  <c r="N57" i="13" s="1"/>
  <c r="A57" i="13"/>
  <c r="E56" i="13"/>
  <c r="D56" i="13"/>
  <c r="C56" i="13"/>
  <c r="N56" i="13" s="1"/>
  <c r="B56" i="13"/>
  <c r="P57" i="13" s="1"/>
  <c r="A56" i="13"/>
  <c r="E55" i="13"/>
  <c r="D55" i="13"/>
  <c r="C55" i="13"/>
  <c r="N55" i="13" s="1"/>
  <c r="B55" i="13"/>
  <c r="A55" i="13"/>
  <c r="E54" i="13"/>
  <c r="D54" i="13"/>
  <c r="F54" i="13" s="1"/>
  <c r="C54" i="13"/>
  <c r="B54" i="13"/>
  <c r="A54" i="13"/>
  <c r="E53" i="13"/>
  <c r="F53" i="13" s="1"/>
  <c r="D53" i="13"/>
  <c r="C53" i="13"/>
  <c r="B53" i="13"/>
  <c r="A53" i="13"/>
  <c r="E52" i="13"/>
  <c r="D52" i="13"/>
  <c r="F52" i="13" s="1"/>
  <c r="C52" i="13"/>
  <c r="B52" i="13"/>
  <c r="A52" i="13"/>
  <c r="E51" i="13"/>
  <c r="D51" i="13"/>
  <c r="C51" i="13"/>
  <c r="B51" i="13"/>
  <c r="A51" i="13"/>
  <c r="E50" i="13"/>
  <c r="D50" i="13"/>
  <c r="C50" i="13"/>
  <c r="N50" i="13" s="1"/>
  <c r="B50" i="13"/>
  <c r="A50" i="13"/>
  <c r="E49" i="13"/>
  <c r="F49" i="13" s="1"/>
  <c r="D49" i="13"/>
  <c r="C49" i="13"/>
  <c r="N49" i="13" s="1"/>
  <c r="B49" i="13"/>
  <c r="A49" i="13"/>
  <c r="E48" i="13"/>
  <c r="D48" i="13"/>
  <c r="C48" i="13"/>
  <c r="B48" i="13"/>
  <c r="A48" i="13"/>
  <c r="E47" i="13"/>
  <c r="D47" i="13"/>
  <c r="C47" i="13"/>
  <c r="N47" i="13" s="1"/>
  <c r="B47" i="13"/>
  <c r="A47" i="13"/>
  <c r="E46" i="13"/>
  <c r="D46" i="13"/>
  <c r="C46" i="13"/>
  <c r="B46" i="13"/>
  <c r="A46" i="13"/>
  <c r="E45" i="13"/>
  <c r="D45" i="13"/>
  <c r="C45" i="13"/>
  <c r="B45" i="13"/>
  <c r="A45" i="13"/>
  <c r="E44" i="13"/>
  <c r="D44" i="13"/>
  <c r="F44" i="13" s="1"/>
  <c r="C44" i="13"/>
  <c r="N44" i="13" s="1"/>
  <c r="B44" i="13"/>
  <c r="A44" i="13"/>
  <c r="E43" i="13"/>
  <c r="F43" i="13" s="1"/>
  <c r="D43" i="13"/>
  <c r="C43" i="13"/>
  <c r="B43" i="13"/>
  <c r="A43" i="13"/>
  <c r="E42" i="13"/>
  <c r="D42" i="13"/>
  <c r="F42" i="13" s="1"/>
  <c r="C42" i="13"/>
  <c r="B42" i="13"/>
  <c r="A42" i="13"/>
  <c r="E41" i="13"/>
  <c r="Q41" i="13" s="1"/>
  <c r="D41" i="13"/>
  <c r="C41" i="13"/>
  <c r="B41" i="13"/>
  <c r="A41" i="13"/>
  <c r="E40" i="13"/>
  <c r="D40" i="13"/>
  <c r="C40" i="13"/>
  <c r="B40" i="13"/>
  <c r="P41" i="13" s="1"/>
  <c r="A40" i="13"/>
  <c r="E39" i="13"/>
  <c r="D39" i="13"/>
  <c r="C39" i="13"/>
  <c r="B39" i="13"/>
  <c r="A39" i="13"/>
  <c r="E38" i="13"/>
  <c r="D38" i="13"/>
  <c r="F38" i="13" s="1"/>
  <c r="C38" i="13"/>
  <c r="N38" i="13" s="1"/>
  <c r="B38" i="13"/>
  <c r="A38" i="13"/>
  <c r="E37" i="13"/>
  <c r="D37" i="13"/>
  <c r="C37" i="13"/>
  <c r="N37" i="13" s="1"/>
  <c r="B37" i="13"/>
  <c r="A37" i="13"/>
  <c r="E36" i="13"/>
  <c r="D36" i="13"/>
  <c r="F36" i="13" s="1"/>
  <c r="C36" i="13"/>
  <c r="B36" i="13"/>
  <c r="A36" i="13"/>
  <c r="E35" i="13"/>
  <c r="F35" i="13" s="1"/>
  <c r="D35" i="13"/>
  <c r="C35" i="13"/>
  <c r="B35" i="13"/>
  <c r="A35" i="13"/>
  <c r="E34" i="13"/>
  <c r="D34" i="13"/>
  <c r="F34" i="13" s="1"/>
  <c r="C34" i="13"/>
  <c r="B34" i="13"/>
  <c r="A34" i="13"/>
  <c r="E33" i="13"/>
  <c r="F33" i="13" s="1"/>
  <c r="M33" i="13" s="1"/>
  <c r="D33" i="13"/>
  <c r="C33" i="13"/>
  <c r="B33" i="13"/>
  <c r="A33" i="13"/>
  <c r="E32" i="13"/>
  <c r="D32" i="13"/>
  <c r="C32" i="13"/>
  <c r="B32" i="13"/>
  <c r="A32" i="13"/>
  <c r="E31" i="13"/>
  <c r="D31" i="13"/>
  <c r="F31" i="13" s="1"/>
  <c r="M31" i="13" s="1"/>
  <c r="C31" i="13"/>
  <c r="B31" i="13"/>
  <c r="O31" i="13" s="1"/>
  <c r="A31" i="13"/>
  <c r="E30" i="13"/>
  <c r="D30" i="13"/>
  <c r="C30" i="13"/>
  <c r="N30" i="13" s="1"/>
  <c r="B30" i="13"/>
  <c r="A30" i="13"/>
  <c r="E29" i="13"/>
  <c r="D29" i="13"/>
  <c r="C29" i="13"/>
  <c r="N29" i="13" s="1"/>
  <c r="B29" i="13"/>
  <c r="A29" i="13"/>
  <c r="E28" i="13"/>
  <c r="D28" i="13"/>
  <c r="F28" i="13" s="1"/>
  <c r="M28" i="13" s="1"/>
  <c r="C28" i="13"/>
  <c r="N28" i="13" s="1"/>
  <c r="B28" i="13"/>
  <c r="A28" i="13"/>
  <c r="E27" i="13"/>
  <c r="F27" i="13" s="1"/>
  <c r="D27" i="13"/>
  <c r="C27" i="13"/>
  <c r="B27" i="13"/>
  <c r="A27" i="13"/>
  <c r="E26" i="13"/>
  <c r="D26" i="13"/>
  <c r="C26" i="13"/>
  <c r="B26" i="13"/>
  <c r="A26" i="13"/>
  <c r="O25" i="13"/>
  <c r="E25" i="13"/>
  <c r="D25" i="13"/>
  <c r="F25" i="13" s="1"/>
  <c r="C25" i="13"/>
  <c r="B25" i="13"/>
  <c r="A25" i="13"/>
  <c r="E24" i="13"/>
  <c r="D24" i="13"/>
  <c r="C24" i="13"/>
  <c r="N24" i="13" s="1"/>
  <c r="B24" i="13"/>
  <c r="A24" i="13"/>
  <c r="E23" i="13"/>
  <c r="D23" i="13"/>
  <c r="C23" i="13"/>
  <c r="N23" i="13" s="1"/>
  <c r="B23" i="13"/>
  <c r="A23" i="13"/>
  <c r="E22" i="13"/>
  <c r="D22" i="13"/>
  <c r="F22" i="13" s="1"/>
  <c r="C22" i="13"/>
  <c r="N22" i="13" s="1"/>
  <c r="B22" i="13"/>
  <c r="A22" i="13"/>
  <c r="E21" i="13"/>
  <c r="D21" i="13"/>
  <c r="C21" i="13"/>
  <c r="B21" i="13"/>
  <c r="A21" i="13"/>
  <c r="P21" i="13"/>
  <c r="Q21" i="13" s="1"/>
  <c r="E20" i="13"/>
  <c r="D20" i="13"/>
  <c r="C20" i="13"/>
  <c r="N20" i="13" s="1"/>
  <c r="B20" i="13"/>
  <c r="A20" i="13"/>
  <c r="O19" i="13"/>
  <c r="E19" i="13"/>
  <c r="F19" i="13" s="1"/>
  <c r="D19" i="13"/>
  <c r="C19" i="13"/>
  <c r="B19" i="13"/>
  <c r="A19" i="13"/>
  <c r="E18" i="13"/>
  <c r="D18" i="13"/>
  <c r="F18" i="13" s="1"/>
  <c r="C18" i="13"/>
  <c r="B18" i="13"/>
  <c r="A18" i="13"/>
  <c r="E17" i="13"/>
  <c r="F17" i="13" s="1"/>
  <c r="D17" i="13"/>
  <c r="C17" i="13"/>
  <c r="B17" i="13"/>
  <c r="A17" i="13"/>
  <c r="E16" i="13"/>
  <c r="D16" i="13"/>
  <c r="C16" i="13"/>
  <c r="B16" i="13"/>
  <c r="A16" i="13"/>
  <c r="E15" i="13"/>
  <c r="D15" i="13"/>
  <c r="C15" i="13"/>
  <c r="N15" i="13" s="1"/>
  <c r="B15" i="13"/>
  <c r="A15" i="13"/>
  <c r="E14" i="13"/>
  <c r="D14" i="13"/>
  <c r="F14" i="13" s="1"/>
  <c r="C14" i="13"/>
  <c r="N14" i="13" s="1"/>
  <c r="B14" i="13"/>
  <c r="A14" i="13"/>
  <c r="E13" i="13"/>
  <c r="F13" i="13" s="1"/>
  <c r="D13" i="13"/>
  <c r="C13" i="13"/>
  <c r="B13" i="13"/>
  <c r="A13" i="13"/>
  <c r="E12" i="13"/>
  <c r="D12" i="13"/>
  <c r="F12" i="13" s="1"/>
  <c r="C12" i="13"/>
  <c r="N12" i="13" s="1"/>
  <c r="B12" i="13"/>
  <c r="A12" i="13"/>
  <c r="E11" i="13"/>
  <c r="F11" i="13" s="1"/>
  <c r="D11" i="13"/>
  <c r="C11" i="13"/>
  <c r="B11" i="13"/>
  <c r="A11" i="13"/>
  <c r="E10" i="13"/>
  <c r="D10" i="13"/>
  <c r="C10" i="13"/>
  <c r="B10" i="13"/>
  <c r="A10" i="13"/>
  <c r="P10" i="13"/>
  <c r="Q10" i="13" s="1"/>
  <c r="E9" i="13"/>
  <c r="F9" i="13" s="1"/>
  <c r="D9" i="13"/>
  <c r="C9" i="13"/>
  <c r="B9" i="13"/>
  <c r="A9" i="13"/>
  <c r="E8" i="13"/>
  <c r="D8" i="13"/>
  <c r="C8" i="13"/>
  <c r="B8" i="13"/>
  <c r="A8" i="13"/>
  <c r="E7" i="13"/>
  <c r="D7" i="13"/>
  <c r="F7" i="13" s="1"/>
  <c r="C7" i="13"/>
  <c r="N7" i="13" s="1"/>
  <c r="B7" i="13"/>
  <c r="A7" i="13"/>
  <c r="E6" i="13"/>
  <c r="D6" i="13"/>
  <c r="C6" i="13"/>
  <c r="N6" i="13" s="1"/>
  <c r="B6" i="13"/>
  <c r="A6" i="13"/>
  <c r="E5" i="13"/>
  <c r="D5" i="13"/>
  <c r="C5" i="13"/>
  <c r="N5" i="13" s="1"/>
  <c r="B5" i="13"/>
  <c r="P6" i="13" s="1"/>
  <c r="Q6" i="13" s="1"/>
  <c r="A5" i="13"/>
  <c r="E4" i="13"/>
  <c r="D4" i="13"/>
  <c r="F4" i="13" s="1"/>
  <c r="C4" i="13"/>
  <c r="N4" i="13" s="1"/>
  <c r="B4" i="13"/>
  <c r="A4" i="13"/>
  <c r="E3" i="13"/>
  <c r="F3" i="13" s="1"/>
  <c r="D3" i="13"/>
  <c r="C3" i="13"/>
  <c r="B3" i="13"/>
  <c r="A3" i="13"/>
  <c r="E2" i="13"/>
  <c r="D2" i="13"/>
  <c r="F2" i="13" s="1"/>
  <c r="C2" i="13"/>
  <c r="B2" i="13"/>
  <c r="A2" i="13"/>
  <c r="F112" i="13"/>
  <c r="F110" i="13"/>
  <c r="N107" i="13"/>
  <c r="F107" i="13"/>
  <c r="P108" i="13"/>
  <c r="F106" i="13"/>
  <c r="N105" i="13"/>
  <c r="N104" i="13"/>
  <c r="F104" i="13"/>
  <c r="O102" i="13"/>
  <c r="N102" i="13"/>
  <c r="F102" i="13"/>
  <c r="F101" i="13"/>
  <c r="M101" i="13" s="1"/>
  <c r="N97" i="13"/>
  <c r="F96" i="13"/>
  <c r="N94" i="13"/>
  <c r="F94" i="13"/>
  <c r="N93" i="13"/>
  <c r="N91" i="13"/>
  <c r="N90" i="13"/>
  <c r="N89" i="13"/>
  <c r="N88" i="13"/>
  <c r="F88" i="13"/>
  <c r="F87" i="13"/>
  <c r="N82" i="13"/>
  <c r="N81" i="13"/>
  <c r="F81" i="13"/>
  <c r="F80" i="13"/>
  <c r="F77" i="13"/>
  <c r="P77" i="13"/>
  <c r="Q77" i="13" s="1"/>
  <c r="O75" i="13"/>
  <c r="F75" i="13"/>
  <c r="N75" i="13"/>
  <c r="F72" i="13"/>
  <c r="F71" i="13"/>
  <c r="F70" i="13"/>
  <c r="F69" i="13"/>
  <c r="P68" i="13"/>
  <c r="N65" i="13"/>
  <c r="F61" i="13"/>
  <c r="F60" i="13"/>
  <c r="N59" i="13"/>
  <c r="P60" i="13"/>
  <c r="F58" i="13"/>
  <c r="F56" i="13"/>
  <c r="F55" i="13"/>
  <c r="N54" i="13"/>
  <c r="F48" i="13"/>
  <c r="F47" i="13"/>
  <c r="F46" i="13"/>
  <c r="N46" i="13"/>
  <c r="N45" i="13"/>
  <c r="F45" i="13"/>
  <c r="N43" i="13"/>
  <c r="N41" i="13"/>
  <c r="N40" i="13"/>
  <c r="F40" i="13"/>
  <c r="F39" i="13"/>
  <c r="N39" i="13"/>
  <c r="F37" i="13"/>
  <c r="O35" i="13"/>
  <c r="N34" i="13"/>
  <c r="F32" i="13"/>
  <c r="P31" i="13"/>
  <c r="O30" i="13"/>
  <c r="F29" i="13"/>
  <c r="M29" i="13" s="1"/>
  <c r="N27" i="13"/>
  <c r="N25" i="13"/>
  <c r="F24" i="13"/>
  <c r="M24" i="13" s="1"/>
  <c r="F23" i="13"/>
  <c r="F21" i="13"/>
  <c r="N21" i="13"/>
  <c r="N19" i="13"/>
  <c r="N18" i="13"/>
  <c r="N17" i="13"/>
  <c r="N16" i="13"/>
  <c r="F16" i="13"/>
  <c r="F15" i="13"/>
  <c r="N13" i="13"/>
  <c r="N11" i="13"/>
  <c r="F10" i="13"/>
  <c r="N9" i="13"/>
  <c r="N8" i="13"/>
  <c r="F8" i="13"/>
  <c r="F6" i="13"/>
  <c r="F5" i="13"/>
  <c r="N3" i="13"/>
  <c r="T6" i="11"/>
  <c r="T5" i="11"/>
  <c r="T4" i="11"/>
  <c r="T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3" i="11"/>
  <c r="S3" i="11" s="1"/>
  <c r="M3" i="11"/>
  <c r="N3" i="11"/>
  <c r="M4" i="11"/>
  <c r="N4" i="11"/>
  <c r="M5" i="11"/>
  <c r="N5" i="11"/>
  <c r="M6" i="11"/>
  <c r="N6" i="11"/>
  <c r="M7" i="11"/>
  <c r="N7" i="11"/>
  <c r="M8" i="11"/>
  <c r="N8" i="11"/>
  <c r="M9" i="11"/>
  <c r="N9" i="11"/>
  <c r="M10" i="11"/>
  <c r="N10" i="11"/>
  <c r="M11" i="11"/>
  <c r="N11" i="11"/>
  <c r="M12" i="11"/>
  <c r="N12" i="11"/>
  <c r="M13" i="11"/>
  <c r="N13" i="11"/>
  <c r="M14" i="11"/>
  <c r="N14" i="11"/>
  <c r="M15" i="11"/>
  <c r="N15" i="11"/>
  <c r="M16" i="11"/>
  <c r="N16" i="11"/>
  <c r="M17" i="11"/>
  <c r="N17" i="11"/>
  <c r="M18" i="11"/>
  <c r="N18" i="11"/>
  <c r="M19" i="11"/>
  <c r="N19" i="11"/>
  <c r="M20" i="11"/>
  <c r="N20" i="11"/>
  <c r="M21" i="11"/>
  <c r="N21" i="11"/>
  <c r="M22" i="11"/>
  <c r="N22" i="11"/>
  <c r="M23" i="11"/>
  <c r="N23" i="11"/>
  <c r="M24" i="11"/>
  <c r="N24" i="11"/>
  <c r="M25" i="11"/>
  <c r="N25" i="11"/>
  <c r="M26" i="11"/>
  <c r="N26" i="11"/>
  <c r="M27" i="11"/>
  <c r="N27" i="11"/>
  <c r="M28" i="11"/>
  <c r="N28" i="11"/>
  <c r="M29" i="11"/>
  <c r="N29" i="11"/>
  <c r="M30" i="11"/>
  <c r="N30" i="11"/>
  <c r="M31" i="11"/>
  <c r="N31" i="11"/>
  <c r="M32" i="11"/>
  <c r="N32" i="11"/>
  <c r="M33" i="11"/>
  <c r="N33" i="11"/>
  <c r="M34" i="11"/>
  <c r="N34" i="11"/>
  <c r="M35" i="11"/>
  <c r="N35" i="11"/>
  <c r="M36" i="11"/>
  <c r="N36" i="11"/>
  <c r="M37" i="11"/>
  <c r="N37" i="11"/>
  <c r="M38" i="11"/>
  <c r="N38" i="11"/>
  <c r="M39" i="11"/>
  <c r="N39" i="11"/>
  <c r="M40" i="11"/>
  <c r="N40" i="11"/>
  <c r="M41" i="11"/>
  <c r="N41" i="11"/>
  <c r="M42" i="11"/>
  <c r="N42" i="11"/>
  <c r="M43" i="11"/>
  <c r="N43" i="11"/>
  <c r="M44" i="11"/>
  <c r="N44" i="11"/>
  <c r="M45" i="11"/>
  <c r="N45" i="11"/>
  <c r="M46" i="11"/>
  <c r="N46" i="11"/>
  <c r="M47" i="11"/>
  <c r="N47" i="11"/>
  <c r="M48" i="11"/>
  <c r="N48" i="11"/>
  <c r="M49" i="11"/>
  <c r="N49" i="11"/>
  <c r="M50" i="11"/>
  <c r="N50" i="11"/>
  <c r="M51" i="11"/>
  <c r="N51" i="11"/>
  <c r="M52" i="11"/>
  <c r="N52" i="11"/>
  <c r="M53" i="11"/>
  <c r="N53" i="11"/>
  <c r="M54" i="11"/>
  <c r="N54" i="11"/>
  <c r="M55" i="11"/>
  <c r="N55" i="11"/>
  <c r="M56" i="11"/>
  <c r="N56" i="11"/>
  <c r="M57" i="11"/>
  <c r="N57" i="11"/>
  <c r="M58" i="11"/>
  <c r="N58" i="11"/>
  <c r="M59" i="11"/>
  <c r="N59" i="11"/>
  <c r="M60" i="11"/>
  <c r="N60" i="11"/>
  <c r="M61" i="11"/>
  <c r="N61" i="11"/>
  <c r="M62" i="11"/>
  <c r="N62" i="11"/>
  <c r="M63" i="11"/>
  <c r="N63" i="11"/>
  <c r="M64" i="11"/>
  <c r="N64" i="11"/>
  <c r="M65" i="11"/>
  <c r="N65" i="11"/>
  <c r="M66" i="11"/>
  <c r="N66" i="11"/>
  <c r="M67" i="11"/>
  <c r="N67" i="11"/>
  <c r="M68" i="11"/>
  <c r="N68" i="11"/>
  <c r="M69" i="11"/>
  <c r="N69" i="11"/>
  <c r="M70" i="11"/>
  <c r="N70" i="11"/>
  <c r="M71" i="11"/>
  <c r="N71" i="11"/>
  <c r="M72" i="11"/>
  <c r="N72" i="11"/>
  <c r="M73" i="11"/>
  <c r="N73" i="11"/>
  <c r="M74" i="11"/>
  <c r="N74" i="11"/>
  <c r="M75" i="11"/>
  <c r="N75" i="11"/>
  <c r="M76" i="11"/>
  <c r="N76" i="11"/>
  <c r="M77" i="11"/>
  <c r="N77" i="11"/>
  <c r="M78" i="11"/>
  <c r="N78" i="11"/>
  <c r="M79" i="11"/>
  <c r="N79" i="11"/>
  <c r="M80" i="11"/>
  <c r="N80" i="11"/>
  <c r="M81" i="11"/>
  <c r="N81" i="11"/>
  <c r="M82" i="11"/>
  <c r="N82" i="11"/>
  <c r="M83" i="11"/>
  <c r="N83" i="11"/>
  <c r="M84" i="11"/>
  <c r="N84" i="11"/>
  <c r="M85" i="11"/>
  <c r="N85" i="11"/>
  <c r="M86" i="11"/>
  <c r="N86" i="11"/>
  <c r="M87" i="11"/>
  <c r="N87" i="11"/>
  <c r="M88" i="11"/>
  <c r="N88" i="11"/>
  <c r="M89" i="11"/>
  <c r="N89" i="11"/>
  <c r="M90" i="11"/>
  <c r="N90" i="11"/>
  <c r="M91" i="11"/>
  <c r="N91" i="11"/>
  <c r="M92" i="11"/>
  <c r="N92" i="11"/>
  <c r="M93" i="11"/>
  <c r="N93" i="11"/>
  <c r="M94" i="11"/>
  <c r="N94" i="11"/>
  <c r="M95" i="11"/>
  <c r="N95" i="11"/>
  <c r="M96" i="11"/>
  <c r="N96" i="11"/>
  <c r="M97" i="11"/>
  <c r="N97" i="11"/>
  <c r="M98" i="11"/>
  <c r="N98" i="11"/>
  <c r="M99" i="11"/>
  <c r="N99" i="11"/>
  <c r="M100" i="11"/>
  <c r="N100" i="11"/>
  <c r="M101" i="11"/>
  <c r="N101" i="11"/>
  <c r="M102" i="11"/>
  <c r="N102" i="11"/>
  <c r="M103" i="11"/>
  <c r="N103" i="11"/>
  <c r="M104" i="11"/>
  <c r="N104" i="11"/>
  <c r="M105" i="11"/>
  <c r="N105" i="11"/>
  <c r="M106" i="11"/>
  <c r="N106" i="11"/>
  <c r="M107" i="11"/>
  <c r="N107" i="11"/>
  <c r="M108" i="11"/>
  <c r="N108" i="11"/>
  <c r="M109" i="11"/>
  <c r="N109" i="11"/>
  <c r="M110" i="11"/>
  <c r="N110" i="11"/>
  <c r="M111" i="11"/>
  <c r="N111" i="11"/>
  <c r="M112" i="11"/>
  <c r="N112" i="11"/>
  <c r="N2" i="11"/>
  <c r="M2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3" i="11"/>
  <c r="G3" i="11"/>
  <c r="G4" i="11"/>
  <c r="O4" i="11" s="1"/>
  <c r="G5" i="11"/>
  <c r="G6" i="11"/>
  <c r="G7" i="11"/>
  <c r="G8" i="11"/>
  <c r="O8" i="11" s="1"/>
  <c r="G9" i="11"/>
  <c r="G10" i="11"/>
  <c r="O10" i="11" s="1"/>
  <c r="G11" i="11"/>
  <c r="G12" i="11"/>
  <c r="O12" i="11" s="1"/>
  <c r="G13" i="11"/>
  <c r="O13" i="11" s="1"/>
  <c r="G14" i="11"/>
  <c r="O14" i="11" s="1"/>
  <c r="G15" i="11"/>
  <c r="P16" i="11" s="1"/>
  <c r="G16" i="11"/>
  <c r="O16" i="11" s="1"/>
  <c r="G17" i="11"/>
  <c r="G18" i="11"/>
  <c r="P19" i="11" s="1"/>
  <c r="G19" i="11"/>
  <c r="G20" i="11"/>
  <c r="G21" i="11"/>
  <c r="G22" i="11"/>
  <c r="G23" i="11"/>
  <c r="G24" i="11"/>
  <c r="O24" i="11" s="1"/>
  <c r="G25" i="11"/>
  <c r="O25" i="11" s="1"/>
  <c r="G26" i="11"/>
  <c r="O26" i="11" s="1"/>
  <c r="G27" i="11"/>
  <c r="O27" i="11" s="1"/>
  <c r="G28" i="11"/>
  <c r="O28" i="11" s="1"/>
  <c r="G29" i="11"/>
  <c r="O29" i="11" s="1"/>
  <c r="G30" i="11"/>
  <c r="O30" i="11" s="1"/>
  <c r="G31" i="11"/>
  <c r="G32" i="11"/>
  <c r="G33" i="11"/>
  <c r="O33" i="11" s="1"/>
  <c r="G34" i="11"/>
  <c r="G35" i="11"/>
  <c r="G36" i="11"/>
  <c r="G37" i="11"/>
  <c r="P38" i="11" s="1"/>
  <c r="G38" i="11"/>
  <c r="O38" i="11" s="1"/>
  <c r="G39" i="11"/>
  <c r="O39" i="11" s="1"/>
  <c r="G40" i="11"/>
  <c r="O40" i="11" s="1"/>
  <c r="G41" i="11"/>
  <c r="O41" i="11" s="1"/>
  <c r="G42" i="11"/>
  <c r="P43" i="11" s="1"/>
  <c r="G43" i="11"/>
  <c r="O43" i="11" s="1"/>
  <c r="G44" i="11"/>
  <c r="O44" i="11" s="1"/>
  <c r="G45" i="11"/>
  <c r="O45" i="11" s="1"/>
  <c r="G46" i="11"/>
  <c r="O46" i="11" s="1"/>
  <c r="G47" i="11"/>
  <c r="G48" i="11"/>
  <c r="G49" i="11"/>
  <c r="G50" i="11"/>
  <c r="O50" i="11" s="1"/>
  <c r="G51" i="11"/>
  <c r="P52" i="11" s="1"/>
  <c r="G52" i="11"/>
  <c r="O52" i="11" s="1"/>
  <c r="G53" i="11"/>
  <c r="P54" i="11" s="1"/>
  <c r="G54" i="11"/>
  <c r="P55" i="11" s="1"/>
  <c r="G55" i="11"/>
  <c r="O55" i="11" s="1"/>
  <c r="G56" i="11"/>
  <c r="O56" i="11" s="1"/>
  <c r="G57" i="11"/>
  <c r="P58" i="11" s="1"/>
  <c r="G58" i="11"/>
  <c r="O58" i="11" s="1"/>
  <c r="G59" i="11"/>
  <c r="G60" i="11"/>
  <c r="P61" i="11" s="1"/>
  <c r="G61" i="11"/>
  <c r="G62" i="11"/>
  <c r="G63" i="11"/>
  <c r="G64" i="11"/>
  <c r="G65" i="11"/>
  <c r="G66" i="11"/>
  <c r="P67" i="11" s="1"/>
  <c r="G67" i="11"/>
  <c r="G68" i="11"/>
  <c r="P69" i="11" s="1"/>
  <c r="G69" i="11"/>
  <c r="O69" i="11" s="1"/>
  <c r="G70" i="11"/>
  <c r="O70" i="11" s="1"/>
  <c r="G71" i="11"/>
  <c r="P72" i="11" s="1"/>
  <c r="G72" i="11"/>
  <c r="P73" i="11" s="1"/>
  <c r="G73" i="11"/>
  <c r="O73" i="11" s="1"/>
  <c r="G74" i="11"/>
  <c r="O74" i="11" s="1"/>
  <c r="G75" i="11"/>
  <c r="O75" i="11" s="1"/>
  <c r="G76" i="11"/>
  <c r="G77" i="11"/>
  <c r="G78" i="11"/>
  <c r="G79" i="11"/>
  <c r="G80" i="11"/>
  <c r="G81" i="11"/>
  <c r="G82" i="11"/>
  <c r="G83" i="11"/>
  <c r="G84" i="11"/>
  <c r="P85" i="11" s="1"/>
  <c r="G85" i="11"/>
  <c r="O85" i="11" s="1"/>
  <c r="G86" i="11"/>
  <c r="O86" i="11" s="1"/>
  <c r="G87" i="11"/>
  <c r="G88" i="11"/>
  <c r="O88" i="11" s="1"/>
  <c r="G89" i="11"/>
  <c r="G90" i="11"/>
  <c r="G91" i="11"/>
  <c r="G92" i="11"/>
  <c r="G93" i="11"/>
  <c r="P94" i="11" s="1"/>
  <c r="G94" i="11"/>
  <c r="O94" i="11" s="1"/>
  <c r="G95" i="11"/>
  <c r="G96" i="11"/>
  <c r="G97" i="11"/>
  <c r="G98" i="11"/>
  <c r="O98" i="11" s="1"/>
  <c r="G99" i="11"/>
  <c r="P100" i="11" s="1"/>
  <c r="G100" i="11"/>
  <c r="O100" i="11" s="1"/>
  <c r="G101" i="11"/>
  <c r="P102" i="11" s="1"/>
  <c r="G102" i="11"/>
  <c r="O102" i="11" s="1"/>
  <c r="G103" i="11"/>
  <c r="G104" i="11"/>
  <c r="G105" i="11"/>
  <c r="G106" i="11"/>
  <c r="G107" i="11"/>
  <c r="P108" i="11" s="1"/>
  <c r="G108" i="11"/>
  <c r="O108" i="11" s="1"/>
  <c r="G109" i="11"/>
  <c r="P110" i="11" s="1"/>
  <c r="G110" i="11"/>
  <c r="O110" i="11" s="1"/>
  <c r="G111" i="11"/>
  <c r="P112" i="11" s="1"/>
  <c r="G112" i="11"/>
  <c r="O112" i="11" s="1"/>
  <c r="G2" i="11"/>
  <c r="O5" i="11"/>
  <c r="O11" i="11"/>
  <c r="P21" i="11"/>
  <c r="O34" i="11"/>
  <c r="P37" i="11"/>
  <c r="P39" i="11"/>
  <c r="O47" i="11"/>
  <c r="O48" i="11"/>
  <c r="O51" i="11"/>
  <c r="O63" i="11"/>
  <c r="P65" i="11"/>
  <c r="O65" i="11"/>
  <c r="P68" i="11"/>
  <c r="P79" i="11"/>
  <c r="P90" i="11"/>
  <c r="P91" i="11"/>
  <c r="O92" i="11"/>
  <c r="P95" i="11"/>
  <c r="O95" i="11"/>
  <c r="P97" i="11"/>
  <c r="O97" i="11"/>
  <c r="P105" i="11"/>
  <c r="O18" i="11"/>
  <c r="O23" i="11"/>
  <c r="O32" i="11"/>
  <c r="P51" i="11"/>
  <c r="O79" i="11"/>
  <c r="P81" i="11"/>
  <c r="O81" i="11"/>
  <c r="O82" i="11"/>
  <c r="O83" i="11"/>
  <c r="P89" i="11"/>
  <c r="O104" i="11"/>
  <c r="P107" i="11"/>
  <c r="P4" i="11"/>
  <c r="O7" i="11"/>
  <c r="P10" i="11"/>
  <c r="O17" i="11"/>
  <c r="P20" i="11"/>
  <c r="P24" i="11"/>
  <c r="P32" i="11"/>
  <c r="O35" i="11"/>
  <c r="P66" i="11"/>
  <c r="O66" i="11"/>
  <c r="P74" i="11"/>
  <c r="O76" i="11"/>
  <c r="O77" i="11"/>
  <c r="P7" i="11"/>
  <c r="P22" i="11"/>
  <c r="P49" i="11"/>
  <c r="O49" i="11"/>
  <c r="O61" i="11"/>
  <c r="O62" i="11"/>
  <c r="P92" i="11"/>
  <c r="O103" i="11"/>
  <c r="P106" i="11"/>
  <c r="O106" i="11"/>
  <c r="O107" i="11"/>
  <c r="P109" i="11"/>
  <c r="O6" i="11"/>
  <c r="P6" i="11"/>
  <c r="P18" i="11"/>
  <c r="O19" i="11"/>
  <c r="O21" i="11"/>
  <c r="O22" i="11"/>
  <c r="P23" i="11"/>
  <c r="P25" i="11"/>
  <c r="O31" i="11"/>
  <c r="P34" i="11"/>
  <c r="P46" i="11"/>
  <c r="P47" i="11"/>
  <c r="P48" i="11"/>
  <c r="P50" i="11"/>
  <c r="O59" i="11"/>
  <c r="O60" i="11"/>
  <c r="P60" i="11"/>
  <c r="P62" i="11"/>
  <c r="P63" i="11"/>
  <c r="P76" i="11"/>
  <c r="P78" i="11"/>
  <c r="O80" i="11"/>
  <c r="O87" i="11"/>
  <c r="P88" i="11"/>
  <c r="O89" i="11"/>
  <c r="O93" i="11"/>
  <c r="O101" i="11"/>
  <c r="P104" i="11"/>
  <c r="O105" i="11"/>
  <c r="P3" i="11"/>
  <c r="O2" i="11"/>
  <c r="F101" i="11"/>
  <c r="F2" i="11"/>
  <c r="A3" i="11"/>
  <c r="B3" i="11"/>
  <c r="C3" i="11"/>
  <c r="D3" i="11"/>
  <c r="F3" i="11" s="1"/>
  <c r="E3" i="11"/>
  <c r="A4" i="11"/>
  <c r="B4" i="11"/>
  <c r="C4" i="11"/>
  <c r="D4" i="11"/>
  <c r="E4" i="11"/>
  <c r="A5" i="11"/>
  <c r="B5" i="11"/>
  <c r="C5" i="11"/>
  <c r="D5" i="11"/>
  <c r="E5" i="11"/>
  <c r="A6" i="11"/>
  <c r="B6" i="11"/>
  <c r="C6" i="11"/>
  <c r="D6" i="11"/>
  <c r="E6" i="11"/>
  <c r="A7" i="11"/>
  <c r="B7" i="11"/>
  <c r="C7" i="11"/>
  <c r="D7" i="11"/>
  <c r="E7" i="11"/>
  <c r="F7" i="11" s="1"/>
  <c r="A8" i="11"/>
  <c r="B8" i="11"/>
  <c r="C8" i="11"/>
  <c r="D8" i="11"/>
  <c r="E8" i="11"/>
  <c r="F8" i="11" s="1"/>
  <c r="A9" i="11"/>
  <c r="B9" i="11"/>
  <c r="C9" i="11"/>
  <c r="D9" i="11"/>
  <c r="E9" i="11"/>
  <c r="A10" i="11"/>
  <c r="B10" i="11"/>
  <c r="C10" i="11"/>
  <c r="D10" i="11"/>
  <c r="E10" i="11"/>
  <c r="A11" i="11"/>
  <c r="B11" i="11"/>
  <c r="C11" i="11"/>
  <c r="D11" i="11"/>
  <c r="E11" i="11"/>
  <c r="A12" i="11"/>
  <c r="B12" i="11"/>
  <c r="C12" i="11"/>
  <c r="D12" i="11"/>
  <c r="E12" i="11"/>
  <c r="A13" i="11"/>
  <c r="B13" i="11"/>
  <c r="C13" i="11"/>
  <c r="D13" i="11"/>
  <c r="E13" i="11"/>
  <c r="A14" i="11"/>
  <c r="B14" i="11"/>
  <c r="C14" i="11"/>
  <c r="D14" i="11"/>
  <c r="E14" i="11"/>
  <c r="A15" i="11"/>
  <c r="B15" i="11"/>
  <c r="C15" i="11"/>
  <c r="D15" i="11"/>
  <c r="F15" i="11" s="1"/>
  <c r="E15" i="11"/>
  <c r="A16" i="11"/>
  <c r="B16" i="11"/>
  <c r="C16" i="11"/>
  <c r="D16" i="11"/>
  <c r="F16" i="11" s="1"/>
  <c r="E16" i="11"/>
  <c r="A17" i="11"/>
  <c r="B17" i="11"/>
  <c r="C17" i="11"/>
  <c r="D17" i="11"/>
  <c r="F17" i="11" s="1"/>
  <c r="E17" i="11"/>
  <c r="A18" i="11"/>
  <c r="B18" i="11"/>
  <c r="C18" i="11"/>
  <c r="D18" i="11"/>
  <c r="E18" i="11"/>
  <c r="A19" i="11"/>
  <c r="B19" i="11"/>
  <c r="C19" i="11"/>
  <c r="D19" i="11"/>
  <c r="E19" i="11"/>
  <c r="A20" i="11"/>
  <c r="B20" i="11"/>
  <c r="C20" i="11"/>
  <c r="D20" i="11"/>
  <c r="E20" i="11"/>
  <c r="A21" i="11"/>
  <c r="B21" i="11"/>
  <c r="C21" i="11"/>
  <c r="D21" i="11"/>
  <c r="E21" i="11"/>
  <c r="F21" i="11" s="1"/>
  <c r="H21" i="11" s="1"/>
  <c r="A22" i="11"/>
  <c r="B22" i="11"/>
  <c r="C22" i="11"/>
  <c r="D22" i="11"/>
  <c r="E22" i="11"/>
  <c r="F22" i="11" s="1"/>
  <c r="A23" i="11"/>
  <c r="B23" i="11"/>
  <c r="C23" i="11"/>
  <c r="D23" i="11"/>
  <c r="E23" i="11"/>
  <c r="A24" i="11"/>
  <c r="B24" i="11"/>
  <c r="C24" i="11"/>
  <c r="D24" i="11"/>
  <c r="E24" i="11"/>
  <c r="A25" i="11"/>
  <c r="B25" i="11"/>
  <c r="C25" i="11"/>
  <c r="D25" i="11"/>
  <c r="E25" i="11"/>
  <c r="A26" i="11"/>
  <c r="B26" i="11"/>
  <c r="C26" i="11"/>
  <c r="D26" i="11"/>
  <c r="E26" i="11"/>
  <c r="A27" i="11"/>
  <c r="B27" i="11"/>
  <c r="C27" i="11"/>
  <c r="D27" i="11"/>
  <c r="E27" i="11"/>
  <c r="A28" i="11"/>
  <c r="B28" i="11"/>
  <c r="C28" i="11"/>
  <c r="D28" i="11"/>
  <c r="F28" i="11" s="1"/>
  <c r="E28" i="11"/>
  <c r="A29" i="11"/>
  <c r="B29" i="11"/>
  <c r="C29" i="11"/>
  <c r="D29" i="11"/>
  <c r="E29" i="11"/>
  <c r="A30" i="11"/>
  <c r="B30" i="11"/>
  <c r="C30" i="11"/>
  <c r="D30" i="11"/>
  <c r="E30" i="11"/>
  <c r="A31" i="11"/>
  <c r="B31" i="11"/>
  <c r="C31" i="11"/>
  <c r="D31" i="11"/>
  <c r="E31" i="11"/>
  <c r="F31" i="11" s="1"/>
  <c r="A32" i="11"/>
  <c r="B32" i="11"/>
  <c r="C32" i="11"/>
  <c r="D32" i="11"/>
  <c r="E32" i="11"/>
  <c r="A33" i="11"/>
  <c r="B33" i="11"/>
  <c r="C33" i="11"/>
  <c r="D33" i="11"/>
  <c r="E33" i="11"/>
  <c r="A34" i="11"/>
  <c r="B34" i="11"/>
  <c r="C34" i="11"/>
  <c r="D34" i="11"/>
  <c r="E34" i="11"/>
  <c r="A35" i="11"/>
  <c r="B35" i="11"/>
  <c r="C35" i="11"/>
  <c r="D35" i="11"/>
  <c r="E35" i="11"/>
  <c r="F35" i="11" s="1"/>
  <c r="H35" i="11" s="1"/>
  <c r="A36" i="11"/>
  <c r="B36" i="11"/>
  <c r="C36" i="11"/>
  <c r="D36" i="11"/>
  <c r="E36" i="11"/>
  <c r="F36" i="11" s="1"/>
  <c r="A37" i="11"/>
  <c r="B37" i="11"/>
  <c r="C37" i="11"/>
  <c r="D37" i="11"/>
  <c r="E37" i="11"/>
  <c r="A38" i="11"/>
  <c r="B38" i="11"/>
  <c r="C38" i="11"/>
  <c r="D38" i="11"/>
  <c r="E38" i="11"/>
  <c r="A39" i="11"/>
  <c r="B39" i="11"/>
  <c r="C39" i="11"/>
  <c r="D39" i="11"/>
  <c r="E39" i="11"/>
  <c r="A40" i="11"/>
  <c r="B40" i="11"/>
  <c r="C40" i="11"/>
  <c r="D40" i="11"/>
  <c r="E40" i="11"/>
  <c r="A41" i="11"/>
  <c r="B41" i="11"/>
  <c r="C41" i="11"/>
  <c r="D41" i="11"/>
  <c r="E41" i="11"/>
  <c r="A42" i="11"/>
  <c r="B42" i="11"/>
  <c r="C42" i="11"/>
  <c r="D42" i="11"/>
  <c r="E42" i="11"/>
  <c r="A43" i="11"/>
  <c r="B43" i="11"/>
  <c r="C43" i="11"/>
  <c r="D43" i="11"/>
  <c r="E43" i="11"/>
  <c r="A44" i="11"/>
  <c r="B44" i="11"/>
  <c r="C44" i="11"/>
  <c r="D44" i="11"/>
  <c r="E44" i="11"/>
  <c r="A45" i="11"/>
  <c r="B45" i="11"/>
  <c r="C45" i="11"/>
  <c r="D45" i="11"/>
  <c r="E45" i="11"/>
  <c r="F45" i="11" s="1"/>
  <c r="A46" i="11"/>
  <c r="B46" i="11"/>
  <c r="C46" i="11"/>
  <c r="D46" i="11"/>
  <c r="E46" i="11"/>
  <c r="A47" i="11"/>
  <c r="B47" i="11"/>
  <c r="C47" i="11"/>
  <c r="D47" i="11"/>
  <c r="E47" i="11"/>
  <c r="A48" i="11"/>
  <c r="B48" i="11"/>
  <c r="C48" i="11"/>
  <c r="D48" i="11"/>
  <c r="E48" i="11"/>
  <c r="A49" i="11"/>
  <c r="B49" i="11"/>
  <c r="C49" i="11"/>
  <c r="D49" i="11"/>
  <c r="E49" i="11"/>
  <c r="F49" i="11" s="1"/>
  <c r="H49" i="11" s="1"/>
  <c r="A50" i="11"/>
  <c r="B50" i="11"/>
  <c r="C50" i="11"/>
  <c r="D50" i="11"/>
  <c r="E50" i="11"/>
  <c r="F50" i="11" s="1"/>
  <c r="A51" i="11"/>
  <c r="B51" i="11"/>
  <c r="C51" i="11"/>
  <c r="D51" i="11"/>
  <c r="E51" i="11"/>
  <c r="A52" i="11"/>
  <c r="B52" i="11"/>
  <c r="C52" i="11"/>
  <c r="D52" i="11"/>
  <c r="E52" i="11"/>
  <c r="A53" i="11"/>
  <c r="B53" i="11"/>
  <c r="C53" i="11"/>
  <c r="D53" i="11"/>
  <c r="E53" i="11"/>
  <c r="A54" i="11"/>
  <c r="B54" i="11"/>
  <c r="C54" i="11"/>
  <c r="D54" i="11"/>
  <c r="E54" i="11"/>
  <c r="A55" i="11"/>
  <c r="B55" i="11"/>
  <c r="C55" i="11"/>
  <c r="D55" i="11"/>
  <c r="E55" i="11"/>
  <c r="A56" i="11"/>
  <c r="B56" i="11"/>
  <c r="C56" i="11"/>
  <c r="D56" i="11"/>
  <c r="E56" i="11"/>
  <c r="A57" i="11"/>
  <c r="B57" i="11"/>
  <c r="C57" i="11"/>
  <c r="D57" i="11"/>
  <c r="E57" i="11"/>
  <c r="A58" i="11"/>
  <c r="B58" i="11"/>
  <c r="C58" i="11"/>
  <c r="D58" i="11"/>
  <c r="E58" i="11"/>
  <c r="F58" i="11" s="1"/>
  <c r="A59" i="11"/>
  <c r="B59" i="11"/>
  <c r="C59" i="11"/>
  <c r="D59" i="11"/>
  <c r="F59" i="11" s="1"/>
  <c r="E59" i="11"/>
  <c r="A60" i="11"/>
  <c r="B60" i="11"/>
  <c r="C60" i="11"/>
  <c r="D60" i="11"/>
  <c r="E60" i="11"/>
  <c r="A61" i="11"/>
  <c r="B61" i="11"/>
  <c r="C61" i="11"/>
  <c r="D61" i="11"/>
  <c r="E61" i="11"/>
  <c r="A62" i="11"/>
  <c r="B62" i="11"/>
  <c r="C62" i="11"/>
  <c r="D62" i="11"/>
  <c r="E62" i="11"/>
  <c r="A63" i="11"/>
  <c r="B63" i="11"/>
  <c r="C63" i="11"/>
  <c r="D63" i="11"/>
  <c r="E63" i="11"/>
  <c r="F63" i="11" s="1"/>
  <c r="H63" i="11" s="1"/>
  <c r="A64" i="11"/>
  <c r="B64" i="11"/>
  <c r="C64" i="11"/>
  <c r="D64" i="11"/>
  <c r="E64" i="11"/>
  <c r="F64" i="11" s="1"/>
  <c r="A65" i="11"/>
  <c r="B65" i="11"/>
  <c r="C65" i="11"/>
  <c r="D65" i="11"/>
  <c r="E65" i="11"/>
  <c r="A66" i="11"/>
  <c r="B66" i="11"/>
  <c r="C66" i="11"/>
  <c r="D66" i="11"/>
  <c r="E66" i="11"/>
  <c r="A67" i="11"/>
  <c r="B67" i="11"/>
  <c r="C67" i="11"/>
  <c r="D67" i="11"/>
  <c r="E67" i="11"/>
  <c r="A68" i="11"/>
  <c r="B68" i="11"/>
  <c r="C68" i="11"/>
  <c r="D68" i="11"/>
  <c r="E68" i="11"/>
  <c r="A69" i="11"/>
  <c r="B69" i="11"/>
  <c r="C69" i="11"/>
  <c r="D69" i="11"/>
  <c r="E69" i="11"/>
  <c r="A70" i="11"/>
  <c r="B70" i="11"/>
  <c r="C70" i="11"/>
  <c r="D70" i="11"/>
  <c r="E70" i="11"/>
  <c r="F70" i="11" s="1"/>
  <c r="A71" i="11"/>
  <c r="B71" i="11"/>
  <c r="C71" i="11"/>
  <c r="D71" i="11"/>
  <c r="E71" i="11"/>
  <c r="F71" i="11" s="1"/>
  <c r="A72" i="11"/>
  <c r="B72" i="11"/>
  <c r="C72" i="11"/>
  <c r="D72" i="11"/>
  <c r="F72" i="11" s="1"/>
  <c r="E72" i="11"/>
  <c r="A73" i="11"/>
  <c r="B73" i="11"/>
  <c r="C73" i="11"/>
  <c r="D73" i="11"/>
  <c r="E73" i="11"/>
  <c r="A74" i="11"/>
  <c r="B74" i="11"/>
  <c r="C74" i="11"/>
  <c r="D74" i="11"/>
  <c r="E74" i="11"/>
  <c r="A75" i="11"/>
  <c r="B75" i="11"/>
  <c r="C75" i="11"/>
  <c r="D75" i="11"/>
  <c r="E75" i="11"/>
  <c r="A76" i="11"/>
  <c r="B76" i="11"/>
  <c r="C76" i="11"/>
  <c r="D76" i="11"/>
  <c r="E76" i="11"/>
  <c r="A77" i="11"/>
  <c r="B77" i="11"/>
  <c r="C77" i="11"/>
  <c r="D77" i="11"/>
  <c r="E77" i="11"/>
  <c r="F77" i="11" s="1"/>
  <c r="H77" i="11" s="1"/>
  <c r="A78" i="11"/>
  <c r="B78" i="11"/>
  <c r="C78" i="11"/>
  <c r="D78" i="11"/>
  <c r="E78" i="11"/>
  <c r="F78" i="11" s="1"/>
  <c r="A79" i="11"/>
  <c r="B79" i="11"/>
  <c r="C79" i="11"/>
  <c r="D79" i="11"/>
  <c r="E79" i="11"/>
  <c r="A80" i="11"/>
  <c r="B80" i="11"/>
  <c r="C80" i="11"/>
  <c r="D80" i="11"/>
  <c r="E80" i="11"/>
  <c r="A81" i="11"/>
  <c r="B81" i="11"/>
  <c r="C81" i="11"/>
  <c r="D81" i="11"/>
  <c r="E81" i="11"/>
  <c r="A82" i="11"/>
  <c r="B82" i="11"/>
  <c r="C82" i="11"/>
  <c r="D82" i="11"/>
  <c r="E82" i="11"/>
  <c r="A83" i="11"/>
  <c r="B83" i="11"/>
  <c r="C83" i="11"/>
  <c r="D83" i="11"/>
  <c r="E83" i="11"/>
  <c r="A84" i="11"/>
  <c r="B84" i="11"/>
  <c r="C84" i="11"/>
  <c r="D84" i="11"/>
  <c r="E84" i="11"/>
  <c r="A85" i="11"/>
  <c r="B85" i="11"/>
  <c r="C85" i="11"/>
  <c r="D85" i="11"/>
  <c r="E85" i="11"/>
  <c r="A86" i="11"/>
  <c r="B86" i="11"/>
  <c r="C86" i="11"/>
  <c r="D86" i="11"/>
  <c r="E86" i="11"/>
  <c r="F86" i="11" s="1"/>
  <c r="A87" i="11"/>
  <c r="B87" i="11"/>
  <c r="C87" i="11"/>
  <c r="D87" i="11"/>
  <c r="E87" i="11"/>
  <c r="F87" i="11" s="1"/>
  <c r="A88" i="11"/>
  <c r="B88" i="11"/>
  <c r="C88" i="11"/>
  <c r="D88" i="11"/>
  <c r="E88" i="11"/>
  <c r="A89" i="11"/>
  <c r="B89" i="11"/>
  <c r="C89" i="11"/>
  <c r="D89" i="11"/>
  <c r="E89" i="11"/>
  <c r="A90" i="11"/>
  <c r="B90" i="11"/>
  <c r="C90" i="11"/>
  <c r="D90" i="11"/>
  <c r="E90" i="11"/>
  <c r="A91" i="11"/>
  <c r="B91" i="11"/>
  <c r="C91" i="11"/>
  <c r="D91" i="11"/>
  <c r="E91" i="11"/>
  <c r="F91" i="11" s="1"/>
  <c r="H91" i="11" s="1"/>
  <c r="A92" i="11"/>
  <c r="B92" i="11"/>
  <c r="C92" i="11"/>
  <c r="D92" i="11"/>
  <c r="E92" i="11"/>
  <c r="F92" i="11" s="1"/>
  <c r="A93" i="11"/>
  <c r="B93" i="11"/>
  <c r="C93" i="11"/>
  <c r="D93" i="11"/>
  <c r="E93" i="11"/>
  <c r="A94" i="11"/>
  <c r="B94" i="11"/>
  <c r="C94" i="11"/>
  <c r="D94" i="11"/>
  <c r="E94" i="11"/>
  <c r="A95" i="11"/>
  <c r="B95" i="11"/>
  <c r="C95" i="11"/>
  <c r="D95" i="11"/>
  <c r="E95" i="11"/>
  <c r="A96" i="11"/>
  <c r="B96" i="11"/>
  <c r="C96" i="11"/>
  <c r="D96" i="11"/>
  <c r="E96" i="11"/>
  <c r="A97" i="11"/>
  <c r="B97" i="11"/>
  <c r="C97" i="11"/>
  <c r="D97" i="11"/>
  <c r="E97" i="11"/>
  <c r="A98" i="11"/>
  <c r="B98" i="11"/>
  <c r="C98" i="11"/>
  <c r="D98" i="11"/>
  <c r="E98" i="11"/>
  <c r="A99" i="11"/>
  <c r="B99" i="11"/>
  <c r="C99" i="11"/>
  <c r="D99" i="11"/>
  <c r="E99" i="11"/>
  <c r="A100" i="11"/>
  <c r="B100" i="11"/>
  <c r="C100" i="11"/>
  <c r="D100" i="11"/>
  <c r="E100" i="11"/>
  <c r="A101" i="11"/>
  <c r="B101" i="11"/>
  <c r="C101" i="11"/>
  <c r="D101" i="11"/>
  <c r="E101" i="11"/>
  <c r="A102" i="11"/>
  <c r="B102" i="11"/>
  <c r="C102" i="11"/>
  <c r="D102" i="11"/>
  <c r="E102" i="11"/>
  <c r="A103" i="11"/>
  <c r="B103" i="11"/>
  <c r="C103" i="11"/>
  <c r="D103" i="11"/>
  <c r="E103" i="11"/>
  <c r="A104" i="11"/>
  <c r="B104" i="11"/>
  <c r="C104" i="11"/>
  <c r="D104" i="11"/>
  <c r="E104" i="11"/>
  <c r="A105" i="11"/>
  <c r="B105" i="11"/>
  <c r="C105" i="11"/>
  <c r="D105" i="11"/>
  <c r="E105" i="11"/>
  <c r="F105" i="11" s="1"/>
  <c r="H105" i="11" s="1"/>
  <c r="A106" i="11"/>
  <c r="B106" i="11"/>
  <c r="C106" i="11"/>
  <c r="D106" i="11"/>
  <c r="E106" i="11"/>
  <c r="F106" i="11" s="1"/>
  <c r="A107" i="11"/>
  <c r="B107" i="11"/>
  <c r="C107" i="11"/>
  <c r="D107" i="11"/>
  <c r="E107" i="11"/>
  <c r="A108" i="11"/>
  <c r="B108" i="11"/>
  <c r="C108" i="11"/>
  <c r="D108" i="11"/>
  <c r="E108" i="11"/>
  <c r="A109" i="11"/>
  <c r="B109" i="11"/>
  <c r="C109" i="11"/>
  <c r="D109" i="11"/>
  <c r="E109" i="11"/>
  <c r="A110" i="11"/>
  <c r="B110" i="11"/>
  <c r="C110" i="11"/>
  <c r="D110" i="11"/>
  <c r="E110" i="11"/>
  <c r="A111" i="11"/>
  <c r="B111" i="11"/>
  <c r="C111" i="11"/>
  <c r="D111" i="11"/>
  <c r="E111" i="11"/>
  <c r="A112" i="11"/>
  <c r="B112" i="11"/>
  <c r="C112" i="11"/>
  <c r="D112" i="11"/>
  <c r="E112" i="11"/>
  <c r="B2" i="11"/>
  <c r="C2" i="11"/>
  <c r="D2" i="11"/>
  <c r="E2" i="11"/>
  <c r="A2" i="11"/>
  <c r="J25" i="10"/>
  <c r="I25" i="10"/>
  <c r="J24" i="10"/>
  <c r="I24" i="10"/>
  <c r="J23" i="10"/>
  <c r="I23" i="10"/>
  <c r="J22" i="10"/>
  <c r="I22" i="10"/>
  <c r="J21" i="10"/>
  <c r="I21" i="10"/>
  <c r="J20" i="10"/>
  <c r="I20" i="10"/>
  <c r="J19" i="10"/>
  <c r="I19" i="10"/>
  <c r="J18" i="10"/>
  <c r="I18" i="10"/>
  <c r="J17" i="10"/>
  <c r="I17" i="10"/>
  <c r="J16" i="10"/>
  <c r="I16" i="10"/>
  <c r="J15" i="10"/>
  <c r="I15" i="10"/>
  <c r="J14" i="10"/>
  <c r="I14" i="10"/>
  <c r="J13" i="10"/>
  <c r="I13" i="10"/>
  <c r="J12" i="10"/>
  <c r="I12" i="10"/>
  <c r="J11" i="10"/>
  <c r="I11" i="10"/>
  <c r="J10" i="10"/>
  <c r="I10" i="10"/>
  <c r="J9" i="10"/>
  <c r="I9" i="10"/>
  <c r="J8" i="10"/>
  <c r="I8" i="10"/>
  <c r="J7" i="10"/>
  <c r="I7" i="10"/>
  <c r="L6" i="10"/>
  <c r="K6" i="10"/>
  <c r="J6" i="10"/>
  <c r="I6" i="10"/>
  <c r="E109" i="9"/>
  <c r="A108" i="9"/>
  <c r="A106" i="9"/>
  <c r="L104" i="9"/>
  <c r="A103" i="9"/>
  <c r="A102" i="9"/>
  <c r="A101" i="9"/>
  <c r="A97" i="9"/>
  <c r="A95" i="9"/>
  <c r="E94" i="9"/>
  <c r="A93" i="9"/>
  <c r="A91" i="9"/>
  <c r="F90" i="9"/>
  <c r="L89" i="9"/>
  <c r="A88" i="9"/>
  <c r="F87" i="9"/>
  <c r="E84" i="9"/>
  <c r="E82" i="9"/>
  <c r="A81" i="9"/>
  <c r="E80" i="9"/>
  <c r="E77" i="9"/>
  <c r="A76" i="9"/>
  <c r="A74" i="9"/>
  <c r="E72" i="9"/>
  <c r="A71" i="9"/>
  <c r="F70" i="9"/>
  <c r="E69" i="9"/>
  <c r="A68" i="9"/>
  <c r="F66" i="9"/>
  <c r="E65" i="9"/>
  <c r="F64" i="9"/>
  <c r="A64" i="9"/>
  <c r="A62" i="9"/>
  <c r="F59" i="9"/>
  <c r="A57" i="9"/>
  <c r="B56" i="9"/>
  <c r="E54" i="9"/>
  <c r="A52" i="9"/>
  <c r="A51" i="9"/>
  <c r="A49" i="9"/>
  <c r="A47" i="9"/>
  <c r="L46" i="9"/>
  <c r="B44" i="9"/>
  <c r="L43" i="9"/>
  <c r="E43" i="9"/>
  <c r="A41" i="9"/>
  <c r="L35" i="9"/>
  <c r="L33" i="9"/>
  <c r="A33" i="9"/>
  <c r="A32" i="9"/>
  <c r="F31" i="9"/>
  <c r="L30" i="9"/>
  <c r="A29" i="9"/>
  <c r="B27" i="9"/>
  <c r="B25" i="9"/>
  <c r="A23" i="9"/>
  <c r="A22" i="9"/>
  <c r="F20" i="9"/>
  <c r="A20" i="9"/>
  <c r="F19" i="9"/>
  <c r="E19" i="9"/>
  <c r="A19" i="9"/>
  <c r="A15" i="9"/>
  <c r="B14" i="9"/>
  <c r="E13" i="9"/>
  <c r="A9" i="9"/>
  <c r="F8" i="9"/>
  <c r="E8" i="9"/>
  <c r="C8" i="9"/>
  <c r="D8" i="9" s="1"/>
  <c r="A8" i="9"/>
  <c r="L7" i="9"/>
  <c r="E6" i="9"/>
  <c r="A6" i="9"/>
  <c r="H109" i="8"/>
  <c r="L109" i="9" s="1"/>
  <c r="G109" i="8"/>
  <c r="D109" i="8"/>
  <c r="C109" i="8"/>
  <c r="F109" i="8" s="1"/>
  <c r="B109" i="8"/>
  <c r="E109" i="8" s="1"/>
  <c r="B109" i="9" s="1"/>
  <c r="A109" i="8"/>
  <c r="A109" i="9" s="1"/>
  <c r="H108" i="8"/>
  <c r="G108" i="8"/>
  <c r="D108" i="8"/>
  <c r="C108" i="8"/>
  <c r="B108" i="8"/>
  <c r="E108" i="8" s="1"/>
  <c r="A108" i="8"/>
  <c r="G107" i="8"/>
  <c r="D107" i="8"/>
  <c r="C107" i="8"/>
  <c r="B107" i="8"/>
  <c r="A107" i="8"/>
  <c r="A107" i="9" s="1"/>
  <c r="G106" i="8"/>
  <c r="D106" i="8"/>
  <c r="C106" i="8"/>
  <c r="B106" i="8"/>
  <c r="A106" i="8"/>
  <c r="I105" i="8"/>
  <c r="J105" i="8" s="1"/>
  <c r="C105" i="9" s="1"/>
  <c r="D105" i="9" s="1"/>
  <c r="H105" i="8"/>
  <c r="G105" i="8"/>
  <c r="D105" i="8"/>
  <c r="F105" i="8" s="1"/>
  <c r="C105" i="8"/>
  <c r="B105" i="8"/>
  <c r="E105" i="8" s="1"/>
  <c r="A105" i="8"/>
  <c r="A105" i="9" s="1"/>
  <c r="H104" i="8"/>
  <c r="F105" i="9" s="1"/>
  <c r="G104" i="8"/>
  <c r="F104" i="8"/>
  <c r="D104" i="8"/>
  <c r="C104" i="8"/>
  <c r="B104" i="8"/>
  <c r="A104" i="8"/>
  <c r="A104" i="9" s="1"/>
  <c r="G103" i="8"/>
  <c r="D103" i="8"/>
  <c r="C103" i="8"/>
  <c r="F103" i="8" s="1"/>
  <c r="B103" i="8"/>
  <c r="E103" i="8" s="1"/>
  <c r="B103" i="9" s="1"/>
  <c r="A103" i="8"/>
  <c r="H102" i="8"/>
  <c r="G102" i="8"/>
  <c r="D102" i="8"/>
  <c r="C102" i="8"/>
  <c r="B102" i="8"/>
  <c r="A102" i="8"/>
  <c r="G101" i="8"/>
  <c r="D101" i="8"/>
  <c r="C101" i="8"/>
  <c r="B101" i="8"/>
  <c r="A101" i="8"/>
  <c r="G100" i="8"/>
  <c r="D100" i="8"/>
  <c r="C100" i="8"/>
  <c r="F100" i="8" s="1"/>
  <c r="B100" i="8"/>
  <c r="E100" i="8" s="1"/>
  <c r="B100" i="9" s="1"/>
  <c r="A100" i="8"/>
  <c r="A100" i="9" s="1"/>
  <c r="H99" i="8"/>
  <c r="G99" i="8"/>
  <c r="F99" i="8"/>
  <c r="D99" i="8"/>
  <c r="C99" i="8"/>
  <c r="B99" i="8"/>
  <c r="E99" i="8" s="1"/>
  <c r="A99" i="8"/>
  <c r="A99" i="9" s="1"/>
  <c r="G98" i="8"/>
  <c r="D98" i="8"/>
  <c r="C98" i="8"/>
  <c r="B98" i="8"/>
  <c r="E98" i="8" s="1"/>
  <c r="A98" i="8"/>
  <c r="A98" i="9" s="1"/>
  <c r="H97" i="8"/>
  <c r="G97" i="8"/>
  <c r="F97" i="8"/>
  <c r="D97" i="8"/>
  <c r="C97" i="8"/>
  <c r="B97" i="8"/>
  <c r="E97" i="8" s="1"/>
  <c r="A97" i="8"/>
  <c r="G96" i="8"/>
  <c r="D96" i="8"/>
  <c r="C96" i="8"/>
  <c r="F96" i="8" s="1"/>
  <c r="B96" i="8"/>
  <c r="E96" i="8" s="1"/>
  <c r="B96" i="9" s="1"/>
  <c r="A96" i="8"/>
  <c r="A96" i="9" s="1"/>
  <c r="G95" i="8"/>
  <c r="D95" i="8"/>
  <c r="C95" i="8"/>
  <c r="B95" i="8"/>
  <c r="A95" i="8"/>
  <c r="G94" i="8"/>
  <c r="D94" i="8"/>
  <c r="C94" i="8"/>
  <c r="B94" i="8"/>
  <c r="A94" i="8"/>
  <c r="A94" i="9" s="1"/>
  <c r="G93" i="8"/>
  <c r="D93" i="8"/>
  <c r="C93" i="8"/>
  <c r="B93" i="8"/>
  <c r="A93" i="8"/>
  <c r="G92" i="8"/>
  <c r="D92" i="8"/>
  <c r="C92" i="8"/>
  <c r="B92" i="8"/>
  <c r="A92" i="8"/>
  <c r="A92" i="9" s="1"/>
  <c r="G91" i="8"/>
  <c r="D91" i="8"/>
  <c r="C91" i="8"/>
  <c r="B91" i="8"/>
  <c r="A91" i="8"/>
  <c r="H90" i="8"/>
  <c r="F91" i="9" s="1"/>
  <c r="G90" i="8"/>
  <c r="J90" i="8" s="1"/>
  <c r="C90" i="9" s="1"/>
  <c r="D90" i="9" s="1"/>
  <c r="F90" i="8"/>
  <c r="D90" i="8"/>
  <c r="E90" i="9" s="1"/>
  <c r="C90" i="8"/>
  <c r="B90" i="8"/>
  <c r="E90" i="8" s="1"/>
  <c r="A90" i="8"/>
  <c r="A90" i="9" s="1"/>
  <c r="G89" i="8"/>
  <c r="D89" i="8"/>
  <c r="H89" i="8" s="1"/>
  <c r="I90" i="8" s="1"/>
  <c r="C89" i="8"/>
  <c r="F89" i="8" s="1"/>
  <c r="B89" i="8"/>
  <c r="E89" i="8" s="1"/>
  <c r="B89" i="9" s="1"/>
  <c r="A89" i="8"/>
  <c r="A89" i="9" s="1"/>
  <c r="I88" i="8"/>
  <c r="J88" i="8" s="1"/>
  <c r="C88" i="9" s="1"/>
  <c r="G88" i="8"/>
  <c r="D88" i="8"/>
  <c r="C88" i="8"/>
  <c r="B88" i="8"/>
  <c r="E88" i="8" s="1"/>
  <c r="A88" i="8"/>
  <c r="H87" i="8"/>
  <c r="G87" i="8"/>
  <c r="J87" i="8" s="1"/>
  <c r="C87" i="9" s="1"/>
  <c r="D87" i="8"/>
  <c r="C87" i="8"/>
  <c r="F87" i="8" s="1"/>
  <c r="B87" i="8"/>
  <c r="A87" i="8"/>
  <c r="A87" i="9" s="1"/>
  <c r="H86" i="8"/>
  <c r="I87" i="8" s="1"/>
  <c r="G86" i="8"/>
  <c r="D86" i="8"/>
  <c r="C86" i="8"/>
  <c r="F86" i="8" s="1"/>
  <c r="B86" i="8"/>
  <c r="E86" i="8" s="1"/>
  <c r="B86" i="9" s="1"/>
  <c r="A86" i="8"/>
  <c r="A86" i="9" s="1"/>
  <c r="H85" i="8"/>
  <c r="G85" i="8"/>
  <c r="F85" i="8"/>
  <c r="D85" i="8"/>
  <c r="C85" i="8"/>
  <c r="B85" i="8"/>
  <c r="E85" i="8" s="1"/>
  <c r="A85" i="8"/>
  <c r="A85" i="9" s="1"/>
  <c r="I84" i="8"/>
  <c r="H84" i="8"/>
  <c r="G84" i="8"/>
  <c r="J84" i="8" s="1"/>
  <c r="C84" i="9" s="1"/>
  <c r="F84" i="8"/>
  <c r="E84" i="8"/>
  <c r="B84" i="9" s="1"/>
  <c r="D84" i="8"/>
  <c r="C84" i="8"/>
  <c r="B84" i="8"/>
  <c r="A84" i="8"/>
  <c r="A84" i="9" s="1"/>
  <c r="G83" i="8"/>
  <c r="F83" i="8"/>
  <c r="D83" i="8"/>
  <c r="H83" i="8" s="1"/>
  <c r="C83" i="8"/>
  <c r="B83" i="8"/>
  <c r="E83" i="8" s="1"/>
  <c r="B83" i="9" s="1"/>
  <c r="A83" i="8"/>
  <c r="A83" i="9" s="1"/>
  <c r="H82" i="8"/>
  <c r="G82" i="8"/>
  <c r="D82" i="8"/>
  <c r="C82" i="8"/>
  <c r="B82" i="8"/>
  <c r="A82" i="8"/>
  <c r="A82" i="9" s="1"/>
  <c r="G81" i="8"/>
  <c r="D81" i="8"/>
  <c r="C81" i="8"/>
  <c r="F81" i="8" s="1"/>
  <c r="B81" i="8"/>
  <c r="E81" i="8" s="1"/>
  <c r="B81" i="9" s="1"/>
  <c r="A81" i="8"/>
  <c r="H80" i="8"/>
  <c r="G80" i="8"/>
  <c r="J80" i="8" s="1"/>
  <c r="C80" i="9" s="1"/>
  <c r="F80" i="8"/>
  <c r="E80" i="8"/>
  <c r="B80" i="9" s="1"/>
  <c r="D80" i="8"/>
  <c r="C80" i="8"/>
  <c r="B80" i="8"/>
  <c r="A80" i="8"/>
  <c r="A80" i="9" s="1"/>
  <c r="H79" i="8"/>
  <c r="I80" i="8" s="1"/>
  <c r="G79" i="8"/>
  <c r="D79" i="8"/>
  <c r="E79" i="9" s="1"/>
  <c r="C79" i="8"/>
  <c r="F79" i="8" s="1"/>
  <c r="B79" i="8"/>
  <c r="E79" i="8" s="1"/>
  <c r="A79" i="8"/>
  <c r="A79" i="9" s="1"/>
  <c r="G78" i="8"/>
  <c r="D78" i="8"/>
  <c r="C78" i="8"/>
  <c r="B78" i="8"/>
  <c r="E78" i="8" s="1"/>
  <c r="A78" i="8"/>
  <c r="A78" i="9" s="1"/>
  <c r="H77" i="8"/>
  <c r="G77" i="8"/>
  <c r="F77" i="8"/>
  <c r="D77" i="8"/>
  <c r="C77" i="8"/>
  <c r="B77" i="8"/>
  <c r="E77" i="8" s="1"/>
  <c r="A77" i="8"/>
  <c r="A77" i="9" s="1"/>
  <c r="G76" i="8"/>
  <c r="D76" i="8"/>
  <c r="C76" i="8"/>
  <c r="B76" i="8"/>
  <c r="E76" i="8" s="1"/>
  <c r="A76" i="8"/>
  <c r="I75" i="8"/>
  <c r="J75" i="8" s="1"/>
  <c r="C75" i="9" s="1"/>
  <c r="G75" i="8"/>
  <c r="D75" i="8"/>
  <c r="C75" i="8"/>
  <c r="B75" i="8"/>
  <c r="E75" i="8" s="1"/>
  <c r="A75" i="8"/>
  <c r="A75" i="9" s="1"/>
  <c r="H74" i="8"/>
  <c r="G74" i="8"/>
  <c r="E74" i="8"/>
  <c r="D74" i="8"/>
  <c r="E74" i="9" s="1"/>
  <c r="C74" i="8"/>
  <c r="B74" i="8"/>
  <c r="A74" i="8"/>
  <c r="H73" i="8"/>
  <c r="G73" i="8"/>
  <c r="D73" i="8"/>
  <c r="E73" i="9" s="1"/>
  <c r="C73" i="8"/>
  <c r="F73" i="8" s="1"/>
  <c r="B73" i="8"/>
  <c r="E73" i="8" s="1"/>
  <c r="B73" i="9" s="1"/>
  <c r="A73" i="8"/>
  <c r="A73" i="9" s="1"/>
  <c r="G72" i="8"/>
  <c r="D72" i="8"/>
  <c r="C72" i="8"/>
  <c r="B72" i="8"/>
  <c r="A72" i="8"/>
  <c r="A72" i="9" s="1"/>
  <c r="G71" i="8"/>
  <c r="F71" i="8"/>
  <c r="E71" i="8"/>
  <c r="B71" i="9" s="1"/>
  <c r="D71" i="8"/>
  <c r="C71" i="8"/>
  <c r="B71" i="8"/>
  <c r="A71" i="8"/>
  <c r="H70" i="8"/>
  <c r="G70" i="8"/>
  <c r="F70" i="8"/>
  <c r="E70" i="8"/>
  <c r="B70" i="9" s="1"/>
  <c r="D70" i="8"/>
  <c r="C70" i="8"/>
  <c r="B70" i="8"/>
  <c r="A70" i="8"/>
  <c r="A70" i="9" s="1"/>
  <c r="G69" i="8"/>
  <c r="D69" i="8"/>
  <c r="H69" i="8" s="1"/>
  <c r="C69" i="8"/>
  <c r="F69" i="8" s="1"/>
  <c r="B69" i="8"/>
  <c r="E69" i="8" s="1"/>
  <c r="B69" i="9" s="1"/>
  <c r="A69" i="8"/>
  <c r="A69" i="9" s="1"/>
  <c r="G68" i="8"/>
  <c r="D68" i="8"/>
  <c r="H68" i="8" s="1"/>
  <c r="L68" i="9" s="1"/>
  <c r="C68" i="8"/>
  <c r="B68" i="8"/>
  <c r="A68" i="8"/>
  <c r="H67" i="8"/>
  <c r="G67" i="8"/>
  <c r="D67" i="8"/>
  <c r="C67" i="8"/>
  <c r="B67" i="8"/>
  <c r="A67" i="8"/>
  <c r="A67" i="9" s="1"/>
  <c r="G66" i="8"/>
  <c r="D66" i="8"/>
  <c r="C66" i="8"/>
  <c r="F66" i="8" s="1"/>
  <c r="B66" i="8"/>
  <c r="E66" i="8" s="1"/>
  <c r="B66" i="9" s="1"/>
  <c r="A66" i="8"/>
  <c r="A66" i="9" s="1"/>
  <c r="H65" i="8"/>
  <c r="G65" i="8"/>
  <c r="D65" i="8"/>
  <c r="F65" i="8" s="1"/>
  <c r="C65" i="8"/>
  <c r="B65" i="8"/>
  <c r="A65" i="8"/>
  <c r="A65" i="9" s="1"/>
  <c r="I64" i="8"/>
  <c r="H64" i="8"/>
  <c r="G64" i="8"/>
  <c r="J64" i="8" s="1"/>
  <c r="C64" i="9" s="1"/>
  <c r="E64" i="8"/>
  <c r="D64" i="8"/>
  <c r="C64" i="8"/>
  <c r="F64" i="8" s="1"/>
  <c r="B64" i="8"/>
  <c r="A64" i="8"/>
  <c r="G63" i="8"/>
  <c r="D63" i="8"/>
  <c r="H63" i="8" s="1"/>
  <c r="L63" i="9" s="1"/>
  <c r="C63" i="8"/>
  <c r="B63" i="8"/>
  <c r="E63" i="8" s="1"/>
  <c r="A63" i="8"/>
  <c r="A63" i="9" s="1"/>
  <c r="G62" i="8"/>
  <c r="D62" i="8"/>
  <c r="C62" i="8"/>
  <c r="B62" i="8"/>
  <c r="A62" i="8"/>
  <c r="G61" i="8"/>
  <c r="D61" i="8"/>
  <c r="C61" i="8"/>
  <c r="B61" i="8"/>
  <c r="A61" i="8"/>
  <c r="A61" i="9" s="1"/>
  <c r="G60" i="8"/>
  <c r="D60" i="8"/>
  <c r="C60" i="8"/>
  <c r="F60" i="8" s="1"/>
  <c r="B60" i="8"/>
  <c r="A60" i="8"/>
  <c r="A60" i="9" s="1"/>
  <c r="H59" i="8"/>
  <c r="G59" i="8"/>
  <c r="F59" i="8"/>
  <c r="E59" i="8"/>
  <c r="D59" i="8"/>
  <c r="C59" i="8"/>
  <c r="B59" i="8"/>
  <c r="A59" i="8"/>
  <c r="A59" i="9" s="1"/>
  <c r="H58" i="8"/>
  <c r="G58" i="8"/>
  <c r="D58" i="8"/>
  <c r="E58" i="9" s="1"/>
  <c r="C58" i="8"/>
  <c r="F58" i="8" s="1"/>
  <c r="B58" i="8"/>
  <c r="E58" i="8" s="1"/>
  <c r="B58" i="9" s="1"/>
  <c r="A58" i="8"/>
  <c r="A58" i="9" s="1"/>
  <c r="G57" i="8"/>
  <c r="F57" i="8"/>
  <c r="D57" i="8"/>
  <c r="C57" i="8"/>
  <c r="B57" i="8"/>
  <c r="E57" i="8" s="1"/>
  <c r="A57" i="8"/>
  <c r="H56" i="8"/>
  <c r="G56" i="8"/>
  <c r="F56" i="8"/>
  <c r="D56" i="8"/>
  <c r="C56" i="8"/>
  <c r="B56" i="8"/>
  <c r="E56" i="8" s="1"/>
  <c r="A56" i="8"/>
  <c r="A56" i="9" s="1"/>
  <c r="G55" i="8"/>
  <c r="D55" i="8"/>
  <c r="C55" i="8"/>
  <c r="B55" i="8"/>
  <c r="A55" i="8"/>
  <c r="A55" i="9" s="1"/>
  <c r="H54" i="8"/>
  <c r="G54" i="8"/>
  <c r="F54" i="8"/>
  <c r="E54" i="8"/>
  <c r="D54" i="8"/>
  <c r="C54" i="8"/>
  <c r="B54" i="8"/>
  <c r="A54" i="8"/>
  <c r="A54" i="9" s="1"/>
  <c r="I53" i="8"/>
  <c r="J53" i="8" s="1"/>
  <c r="C53" i="9" s="1"/>
  <c r="H53" i="8"/>
  <c r="G53" i="8"/>
  <c r="D53" i="8"/>
  <c r="C53" i="8"/>
  <c r="F53" i="8" s="1"/>
  <c r="B53" i="8"/>
  <c r="E53" i="8" s="1"/>
  <c r="B53" i="9" s="1"/>
  <c r="A53" i="8"/>
  <c r="A53" i="9" s="1"/>
  <c r="G52" i="8"/>
  <c r="D52" i="8"/>
  <c r="H52" i="8" s="1"/>
  <c r="C52" i="8"/>
  <c r="F52" i="8" s="1"/>
  <c r="B52" i="8"/>
  <c r="A52" i="8"/>
  <c r="H51" i="8"/>
  <c r="G51" i="8"/>
  <c r="D51" i="8"/>
  <c r="C51" i="8"/>
  <c r="F51" i="8" s="1"/>
  <c r="B51" i="8"/>
  <c r="E51" i="8" s="1"/>
  <c r="A51" i="8"/>
  <c r="I50" i="8"/>
  <c r="J50" i="8" s="1"/>
  <c r="C50" i="9" s="1"/>
  <c r="G50" i="8"/>
  <c r="D50" i="8"/>
  <c r="C50" i="8"/>
  <c r="F50" i="8" s="1"/>
  <c r="B50" i="8"/>
  <c r="E50" i="8" s="1"/>
  <c r="B50" i="9" s="1"/>
  <c r="A50" i="8"/>
  <c r="A50" i="9" s="1"/>
  <c r="I49" i="8"/>
  <c r="J49" i="8" s="1"/>
  <c r="C49" i="9" s="1"/>
  <c r="H49" i="8"/>
  <c r="G49" i="8"/>
  <c r="F49" i="8"/>
  <c r="D49" i="8"/>
  <c r="C49" i="8"/>
  <c r="B49" i="8"/>
  <c r="A49" i="8"/>
  <c r="H48" i="8"/>
  <c r="G48" i="8"/>
  <c r="F48" i="8"/>
  <c r="E48" i="8"/>
  <c r="B48" i="9" s="1"/>
  <c r="D48" i="8"/>
  <c r="C48" i="8"/>
  <c r="B48" i="8"/>
  <c r="A48" i="8"/>
  <c r="A48" i="9" s="1"/>
  <c r="G47" i="8"/>
  <c r="D47" i="8"/>
  <c r="C47" i="8"/>
  <c r="B47" i="8"/>
  <c r="E47" i="8" s="1"/>
  <c r="A47" i="8"/>
  <c r="H46" i="8"/>
  <c r="G46" i="8"/>
  <c r="F46" i="8"/>
  <c r="D46" i="8"/>
  <c r="C46" i="8"/>
  <c r="B46" i="8"/>
  <c r="E46" i="8" s="1"/>
  <c r="A46" i="8"/>
  <c r="A46" i="9" s="1"/>
  <c r="G45" i="8"/>
  <c r="D45" i="8"/>
  <c r="C45" i="8"/>
  <c r="B45" i="8"/>
  <c r="A45" i="8"/>
  <c r="A45" i="9" s="1"/>
  <c r="G44" i="8"/>
  <c r="D44" i="8"/>
  <c r="C44" i="8"/>
  <c r="F44" i="8" s="1"/>
  <c r="B44" i="8"/>
  <c r="E44" i="8" s="1"/>
  <c r="A44" i="8"/>
  <c r="A44" i="9" s="1"/>
  <c r="H43" i="8"/>
  <c r="G43" i="8"/>
  <c r="F43" i="8"/>
  <c r="D43" i="8"/>
  <c r="C43" i="8"/>
  <c r="B43" i="8"/>
  <c r="E43" i="8" s="1"/>
  <c r="A43" i="8"/>
  <c r="A43" i="9" s="1"/>
  <c r="G42" i="8"/>
  <c r="F42" i="8"/>
  <c r="E42" i="8"/>
  <c r="B42" i="9" s="1"/>
  <c r="D42" i="8"/>
  <c r="C42" i="8"/>
  <c r="B42" i="8"/>
  <c r="A42" i="8"/>
  <c r="A42" i="9" s="1"/>
  <c r="H41" i="8"/>
  <c r="I42" i="8" s="1"/>
  <c r="G41" i="8"/>
  <c r="F41" i="8"/>
  <c r="D41" i="8"/>
  <c r="C41" i="8"/>
  <c r="B41" i="8"/>
  <c r="E41" i="8" s="1"/>
  <c r="A41" i="8"/>
  <c r="G40" i="8"/>
  <c r="D40" i="8"/>
  <c r="C40" i="8"/>
  <c r="B40" i="8"/>
  <c r="E40" i="8" s="1"/>
  <c r="A40" i="8"/>
  <c r="A40" i="9" s="1"/>
  <c r="G39" i="8"/>
  <c r="D39" i="8"/>
  <c r="C39" i="8"/>
  <c r="B39" i="8"/>
  <c r="A39" i="8"/>
  <c r="A39" i="9" s="1"/>
  <c r="H38" i="8"/>
  <c r="L38" i="9" s="1"/>
  <c r="G38" i="8"/>
  <c r="F38" i="8"/>
  <c r="D38" i="8"/>
  <c r="C38" i="8"/>
  <c r="B38" i="8"/>
  <c r="E38" i="8" s="1"/>
  <c r="B38" i="9" s="1"/>
  <c r="A38" i="8"/>
  <c r="A38" i="9" s="1"/>
  <c r="G37" i="8"/>
  <c r="D37" i="8"/>
  <c r="C37" i="8"/>
  <c r="F37" i="8" s="1"/>
  <c r="B37" i="8"/>
  <c r="A37" i="8"/>
  <c r="A37" i="9" s="1"/>
  <c r="G36" i="8"/>
  <c r="D36" i="8"/>
  <c r="C36" i="8"/>
  <c r="B36" i="8"/>
  <c r="A36" i="8"/>
  <c r="A36" i="9" s="1"/>
  <c r="H35" i="8"/>
  <c r="F36" i="9" s="1"/>
  <c r="G35" i="8"/>
  <c r="F35" i="8"/>
  <c r="D35" i="8"/>
  <c r="C35" i="8"/>
  <c r="B35" i="8"/>
  <c r="E35" i="8" s="1"/>
  <c r="B35" i="9" s="1"/>
  <c r="A35" i="8"/>
  <c r="A35" i="9" s="1"/>
  <c r="G34" i="8"/>
  <c r="D34" i="8"/>
  <c r="C34" i="8"/>
  <c r="F34" i="8" s="1"/>
  <c r="B34" i="8"/>
  <c r="A34" i="8"/>
  <c r="A34" i="9" s="1"/>
  <c r="H33" i="8"/>
  <c r="G33" i="8"/>
  <c r="F33" i="8"/>
  <c r="D33" i="8"/>
  <c r="C33" i="8"/>
  <c r="B33" i="8"/>
  <c r="E33" i="8" s="1"/>
  <c r="B33" i="9" s="1"/>
  <c r="A33" i="8"/>
  <c r="H32" i="8"/>
  <c r="G32" i="8"/>
  <c r="F32" i="8"/>
  <c r="E32" i="8"/>
  <c r="B32" i="9" s="1"/>
  <c r="D32" i="8"/>
  <c r="C32" i="8"/>
  <c r="B32" i="8"/>
  <c r="A32" i="8"/>
  <c r="G31" i="8"/>
  <c r="J31" i="8" s="1"/>
  <c r="C31" i="9" s="1"/>
  <c r="D31" i="9" s="1"/>
  <c r="F31" i="8"/>
  <c r="D31" i="8"/>
  <c r="C31" i="8"/>
  <c r="B31" i="8"/>
  <c r="E31" i="8" s="1"/>
  <c r="B31" i="9" s="1"/>
  <c r="A31" i="8"/>
  <c r="A31" i="9" s="1"/>
  <c r="H30" i="8"/>
  <c r="I31" i="8" s="1"/>
  <c r="G30" i="8"/>
  <c r="D30" i="8"/>
  <c r="C30" i="8"/>
  <c r="F30" i="8" s="1"/>
  <c r="B30" i="8"/>
  <c r="E30" i="8" s="1"/>
  <c r="B30" i="9" s="1"/>
  <c r="A30" i="8"/>
  <c r="A30" i="9" s="1"/>
  <c r="H29" i="8"/>
  <c r="G29" i="8"/>
  <c r="D29" i="8"/>
  <c r="C29" i="8"/>
  <c r="B29" i="8"/>
  <c r="A29" i="8"/>
  <c r="G28" i="8"/>
  <c r="D28" i="8"/>
  <c r="E28" i="9" s="1"/>
  <c r="C28" i="8"/>
  <c r="F28" i="8" s="1"/>
  <c r="B28" i="8"/>
  <c r="E28" i="8" s="1"/>
  <c r="B28" i="9" s="1"/>
  <c r="A28" i="8"/>
  <c r="A28" i="9" s="1"/>
  <c r="H27" i="8"/>
  <c r="F28" i="9" s="1"/>
  <c r="G27" i="8"/>
  <c r="D27" i="8"/>
  <c r="C27" i="8"/>
  <c r="F27" i="8" s="1"/>
  <c r="B27" i="8"/>
  <c r="E27" i="8" s="1"/>
  <c r="A27" i="8"/>
  <c r="A27" i="9" s="1"/>
  <c r="G26" i="8"/>
  <c r="D26" i="8"/>
  <c r="C26" i="8"/>
  <c r="B26" i="8"/>
  <c r="A26" i="8"/>
  <c r="A26" i="9" s="1"/>
  <c r="G25" i="8"/>
  <c r="F25" i="8"/>
  <c r="D25" i="8"/>
  <c r="E25" i="9" s="1"/>
  <c r="C25" i="8"/>
  <c r="B25" i="8"/>
  <c r="E25" i="8" s="1"/>
  <c r="A25" i="8"/>
  <c r="A25" i="9" s="1"/>
  <c r="G24" i="8"/>
  <c r="D24" i="8"/>
  <c r="C24" i="8"/>
  <c r="F24" i="8" s="1"/>
  <c r="B24" i="8"/>
  <c r="E24" i="8" s="1"/>
  <c r="B24" i="9" s="1"/>
  <c r="A24" i="8"/>
  <c r="A24" i="9" s="1"/>
  <c r="H23" i="8"/>
  <c r="G23" i="8"/>
  <c r="F23" i="8"/>
  <c r="D23" i="8"/>
  <c r="C23" i="8"/>
  <c r="B23" i="8"/>
  <c r="A23" i="8"/>
  <c r="G22" i="8"/>
  <c r="D22" i="8"/>
  <c r="C22" i="8"/>
  <c r="B22" i="8"/>
  <c r="A22" i="8"/>
  <c r="G21" i="8"/>
  <c r="F21" i="8"/>
  <c r="D21" i="8"/>
  <c r="C21" i="8"/>
  <c r="B21" i="8"/>
  <c r="E21" i="8" s="1"/>
  <c r="B21" i="9" s="1"/>
  <c r="A21" i="8"/>
  <c r="A21" i="9" s="1"/>
  <c r="I20" i="8"/>
  <c r="J20" i="8" s="1"/>
  <c r="C20" i="9" s="1"/>
  <c r="D20" i="9" s="1"/>
  <c r="H20" i="8"/>
  <c r="G20" i="8"/>
  <c r="F20" i="8"/>
  <c r="D20" i="8"/>
  <c r="C20" i="8"/>
  <c r="B20" i="8"/>
  <c r="E20" i="8" s="1"/>
  <c r="B20" i="9" s="1"/>
  <c r="A20" i="8"/>
  <c r="G19" i="8"/>
  <c r="D19" i="8"/>
  <c r="H19" i="8" s="1"/>
  <c r="L19" i="9" s="1"/>
  <c r="C19" i="8"/>
  <c r="B19" i="8"/>
  <c r="E19" i="8" s="1"/>
  <c r="A19" i="8"/>
  <c r="H18" i="8"/>
  <c r="L18" i="9" s="1"/>
  <c r="G18" i="8"/>
  <c r="F18" i="8"/>
  <c r="D18" i="8"/>
  <c r="C18" i="8"/>
  <c r="B18" i="8"/>
  <c r="E18" i="8" s="1"/>
  <c r="A18" i="8"/>
  <c r="A18" i="9" s="1"/>
  <c r="G17" i="8"/>
  <c r="D17" i="8"/>
  <c r="C17" i="8"/>
  <c r="F17" i="8" s="1"/>
  <c r="B17" i="8"/>
  <c r="E17" i="8" s="1"/>
  <c r="B17" i="9" s="1"/>
  <c r="A17" i="8"/>
  <c r="A17" i="9" s="1"/>
  <c r="G16" i="8"/>
  <c r="D16" i="8"/>
  <c r="H16" i="8" s="1"/>
  <c r="F17" i="9" s="1"/>
  <c r="C16" i="8"/>
  <c r="F16" i="8" s="1"/>
  <c r="B16" i="8"/>
  <c r="A16" i="8"/>
  <c r="A16" i="9" s="1"/>
  <c r="I15" i="8"/>
  <c r="G15" i="8"/>
  <c r="J15" i="8" s="1"/>
  <c r="C15" i="9" s="1"/>
  <c r="F15" i="8"/>
  <c r="D15" i="8"/>
  <c r="E16" i="9" s="1"/>
  <c r="C15" i="8"/>
  <c r="B15" i="8"/>
  <c r="A15" i="8"/>
  <c r="H14" i="8"/>
  <c r="G14" i="8"/>
  <c r="E14" i="8"/>
  <c r="D14" i="8"/>
  <c r="C14" i="8"/>
  <c r="F14" i="8" s="1"/>
  <c r="B14" i="8"/>
  <c r="A14" i="8"/>
  <c r="A14" i="9" s="1"/>
  <c r="H13" i="8"/>
  <c r="L13" i="9" s="1"/>
  <c r="G13" i="8"/>
  <c r="D13" i="8"/>
  <c r="C13" i="8"/>
  <c r="B13" i="8"/>
  <c r="A13" i="8"/>
  <c r="A13" i="9" s="1"/>
  <c r="H12" i="8"/>
  <c r="G12" i="8"/>
  <c r="E12" i="8"/>
  <c r="B12" i="9" s="1"/>
  <c r="D12" i="8"/>
  <c r="F12" i="8" s="1"/>
  <c r="C12" i="8"/>
  <c r="B12" i="8"/>
  <c r="A12" i="8"/>
  <c r="A12" i="9" s="1"/>
  <c r="G11" i="8"/>
  <c r="F11" i="8"/>
  <c r="D11" i="8"/>
  <c r="C11" i="8"/>
  <c r="B11" i="8"/>
  <c r="A11" i="8"/>
  <c r="A11" i="9" s="1"/>
  <c r="H10" i="8"/>
  <c r="G10" i="8"/>
  <c r="F10" i="8"/>
  <c r="D10" i="8"/>
  <c r="C10" i="8"/>
  <c r="B10" i="8"/>
  <c r="E10" i="8" s="1"/>
  <c r="B10" i="9" s="1"/>
  <c r="A10" i="8"/>
  <c r="A10" i="9" s="1"/>
  <c r="I9" i="8"/>
  <c r="J9" i="8" s="1"/>
  <c r="C9" i="9" s="1"/>
  <c r="H9" i="8"/>
  <c r="G9" i="8"/>
  <c r="D9" i="8"/>
  <c r="E10" i="9" s="1"/>
  <c r="C9" i="8"/>
  <c r="F9" i="8" s="1"/>
  <c r="B9" i="8"/>
  <c r="E9" i="8" s="1"/>
  <c r="A9" i="8"/>
  <c r="G8" i="8"/>
  <c r="J8" i="8" s="1"/>
  <c r="D8" i="8"/>
  <c r="H8" i="8" s="1"/>
  <c r="C8" i="8"/>
  <c r="F8" i="8" s="1"/>
  <c r="B8" i="8"/>
  <c r="E8" i="8" s="1"/>
  <c r="B8" i="9" s="1"/>
  <c r="A8" i="8"/>
  <c r="H7" i="8"/>
  <c r="I8" i="8" s="1"/>
  <c r="G7" i="8"/>
  <c r="F7" i="8"/>
  <c r="D7" i="8"/>
  <c r="C7" i="8"/>
  <c r="B7" i="8"/>
  <c r="E7" i="8" s="1"/>
  <c r="A7" i="8"/>
  <c r="A7" i="9" s="1"/>
  <c r="G6" i="8"/>
  <c r="D6" i="8"/>
  <c r="H6" i="8" s="1"/>
  <c r="C6" i="8"/>
  <c r="B6" i="8"/>
  <c r="A6" i="8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L6" i="5"/>
  <c r="K6" i="5"/>
  <c r="J6" i="5"/>
  <c r="I6" i="5"/>
  <c r="L115" i="4"/>
  <c r="F115" i="4"/>
  <c r="E115" i="4"/>
  <c r="L114" i="4"/>
  <c r="F114" i="4"/>
  <c r="E114" i="4"/>
  <c r="C114" i="4"/>
  <c r="D114" i="4" s="1"/>
  <c r="A114" i="4"/>
  <c r="L113" i="4"/>
  <c r="F113" i="4"/>
  <c r="E113" i="4"/>
  <c r="A113" i="4"/>
  <c r="L112" i="4"/>
  <c r="F112" i="4"/>
  <c r="E112" i="4"/>
  <c r="D112" i="4"/>
  <c r="C112" i="4"/>
  <c r="L111" i="4"/>
  <c r="F111" i="4"/>
  <c r="E111" i="4"/>
  <c r="B111" i="4"/>
  <c r="A111" i="4"/>
  <c r="L110" i="4"/>
  <c r="F110" i="4"/>
  <c r="E110" i="4"/>
  <c r="L109" i="4"/>
  <c r="F109" i="4"/>
  <c r="E109" i="4"/>
  <c r="A109" i="4"/>
  <c r="L108" i="4"/>
  <c r="F108" i="4"/>
  <c r="E108" i="4"/>
  <c r="C108" i="4"/>
  <c r="D108" i="4" s="1"/>
  <c r="L107" i="4"/>
  <c r="F107" i="4"/>
  <c r="E107" i="4"/>
  <c r="L106" i="4"/>
  <c r="F106" i="4"/>
  <c r="E106" i="4"/>
  <c r="D106" i="4"/>
  <c r="A106" i="4"/>
  <c r="L105" i="4"/>
  <c r="F105" i="4"/>
  <c r="E105" i="4"/>
  <c r="D105" i="4"/>
  <c r="C105" i="4"/>
  <c r="L104" i="4"/>
  <c r="F104" i="4"/>
  <c r="E104" i="4"/>
  <c r="A104" i="4"/>
  <c r="L103" i="4"/>
  <c r="F103" i="4"/>
  <c r="E103" i="4"/>
  <c r="L102" i="4"/>
  <c r="F102" i="4"/>
  <c r="E102" i="4"/>
  <c r="L101" i="4"/>
  <c r="F101" i="4"/>
  <c r="E101" i="4"/>
  <c r="C101" i="4"/>
  <c r="L100" i="4"/>
  <c r="F100" i="4"/>
  <c r="E100" i="4"/>
  <c r="B100" i="4"/>
  <c r="A100" i="4"/>
  <c r="L99" i="4"/>
  <c r="F99" i="4"/>
  <c r="E99" i="4"/>
  <c r="A99" i="4"/>
  <c r="L98" i="4"/>
  <c r="F98" i="4"/>
  <c r="E98" i="4"/>
  <c r="C98" i="4"/>
  <c r="D98" i="4" s="1"/>
  <c r="L97" i="4"/>
  <c r="F97" i="4"/>
  <c r="E97" i="4"/>
  <c r="A97" i="4"/>
  <c r="L96" i="4"/>
  <c r="F96" i="4"/>
  <c r="E96" i="4"/>
  <c r="D96" i="4"/>
  <c r="G96" i="4" s="1"/>
  <c r="L95" i="4"/>
  <c r="F95" i="4"/>
  <c r="E95" i="4"/>
  <c r="C95" i="4"/>
  <c r="D95" i="4" s="1"/>
  <c r="A95" i="4"/>
  <c r="L94" i="4"/>
  <c r="F94" i="4"/>
  <c r="E94" i="4"/>
  <c r="L93" i="4"/>
  <c r="F93" i="4"/>
  <c r="E93" i="4"/>
  <c r="L92" i="4"/>
  <c r="G92" i="4"/>
  <c r="F92" i="4"/>
  <c r="E92" i="4"/>
  <c r="D92" i="4"/>
  <c r="A92" i="4"/>
  <c r="L91" i="4"/>
  <c r="F91" i="4"/>
  <c r="E91" i="4"/>
  <c r="C91" i="4"/>
  <c r="D91" i="4" s="1"/>
  <c r="L90" i="4"/>
  <c r="F90" i="4"/>
  <c r="E90" i="4"/>
  <c r="C90" i="4"/>
  <c r="D90" i="4" s="1"/>
  <c r="L89" i="4"/>
  <c r="F89" i="4"/>
  <c r="E89" i="4"/>
  <c r="C89" i="4"/>
  <c r="D89" i="4" s="1"/>
  <c r="L88" i="4"/>
  <c r="F88" i="4"/>
  <c r="E88" i="4"/>
  <c r="C88" i="4"/>
  <c r="D88" i="4" s="1"/>
  <c r="G88" i="4" s="1"/>
  <c r="H88" i="4" s="1"/>
  <c r="A88" i="4"/>
  <c r="L87" i="4"/>
  <c r="F87" i="4"/>
  <c r="E87" i="4"/>
  <c r="B87" i="4"/>
  <c r="L86" i="4"/>
  <c r="F86" i="4"/>
  <c r="E86" i="4"/>
  <c r="L85" i="4"/>
  <c r="F85" i="4"/>
  <c r="E85" i="4"/>
  <c r="B85" i="4"/>
  <c r="L84" i="4"/>
  <c r="F84" i="4"/>
  <c r="E84" i="4"/>
  <c r="D84" i="4"/>
  <c r="C84" i="4"/>
  <c r="L83" i="4"/>
  <c r="F83" i="4"/>
  <c r="E83" i="4"/>
  <c r="A83" i="4"/>
  <c r="L82" i="4"/>
  <c r="F82" i="4"/>
  <c r="E82" i="4"/>
  <c r="L81" i="4"/>
  <c r="F81" i="4"/>
  <c r="E81" i="4"/>
  <c r="C81" i="4"/>
  <c r="D81" i="4" s="1"/>
  <c r="A81" i="4"/>
  <c r="L80" i="4"/>
  <c r="F80" i="4"/>
  <c r="E80" i="4"/>
  <c r="C80" i="4"/>
  <c r="D80" i="4" s="1"/>
  <c r="L79" i="4"/>
  <c r="G79" i="4"/>
  <c r="F79" i="4"/>
  <c r="E79" i="4"/>
  <c r="A79" i="4"/>
  <c r="L78" i="4"/>
  <c r="F78" i="4"/>
  <c r="E78" i="4"/>
  <c r="D78" i="4"/>
  <c r="G78" i="4" s="1"/>
  <c r="A78" i="4"/>
  <c r="L77" i="4"/>
  <c r="F77" i="4"/>
  <c r="E77" i="4"/>
  <c r="C77" i="4"/>
  <c r="D77" i="4" s="1"/>
  <c r="L76" i="4"/>
  <c r="F76" i="4"/>
  <c r="E76" i="4"/>
  <c r="B76" i="4"/>
  <c r="L75" i="4"/>
  <c r="F75" i="4"/>
  <c r="E75" i="4"/>
  <c r="L74" i="4"/>
  <c r="F74" i="4"/>
  <c r="E74" i="4"/>
  <c r="D74" i="4"/>
  <c r="A74" i="4"/>
  <c r="L73" i="4"/>
  <c r="F73" i="4"/>
  <c r="E73" i="4"/>
  <c r="A73" i="4"/>
  <c r="L72" i="4"/>
  <c r="F72" i="4"/>
  <c r="E72" i="4"/>
  <c r="A72" i="4"/>
  <c r="L71" i="4"/>
  <c r="G71" i="4"/>
  <c r="H71" i="4" s="1"/>
  <c r="F71" i="4"/>
  <c r="E71" i="4"/>
  <c r="C71" i="4"/>
  <c r="D71" i="4" s="1"/>
  <c r="A71" i="4"/>
  <c r="L70" i="4"/>
  <c r="F70" i="4"/>
  <c r="E70" i="4"/>
  <c r="B70" i="4"/>
  <c r="A70" i="4"/>
  <c r="L69" i="4"/>
  <c r="F69" i="4"/>
  <c r="E69" i="4"/>
  <c r="L68" i="4"/>
  <c r="F68" i="4"/>
  <c r="E68" i="4"/>
  <c r="D68" i="4"/>
  <c r="L67" i="4"/>
  <c r="F67" i="4"/>
  <c r="E67" i="4"/>
  <c r="A67" i="4"/>
  <c r="L66" i="4"/>
  <c r="F66" i="4"/>
  <c r="E66" i="4"/>
  <c r="L65" i="4"/>
  <c r="G65" i="4"/>
  <c r="F65" i="4"/>
  <c r="E65" i="4"/>
  <c r="L64" i="4"/>
  <c r="F64" i="4"/>
  <c r="E64" i="4"/>
  <c r="C64" i="4"/>
  <c r="D64" i="4" s="1"/>
  <c r="B64" i="4"/>
  <c r="A64" i="4"/>
  <c r="L63" i="4"/>
  <c r="F63" i="4"/>
  <c r="E63" i="4"/>
  <c r="C63" i="4"/>
  <c r="D63" i="4" s="1"/>
  <c r="A63" i="4"/>
  <c r="L62" i="4"/>
  <c r="G62" i="4"/>
  <c r="H62" i="4" s="1"/>
  <c r="J62" i="4" s="1"/>
  <c r="K62" i="4" s="1"/>
  <c r="F62" i="4"/>
  <c r="E62" i="4"/>
  <c r="A62" i="4"/>
  <c r="L61" i="4"/>
  <c r="F61" i="4"/>
  <c r="E61" i="4"/>
  <c r="L60" i="4"/>
  <c r="F60" i="4"/>
  <c r="E60" i="4"/>
  <c r="B60" i="4"/>
  <c r="A60" i="4"/>
  <c r="L59" i="4"/>
  <c r="F59" i="4"/>
  <c r="E59" i="4"/>
  <c r="L58" i="4"/>
  <c r="F58" i="4"/>
  <c r="E58" i="4"/>
  <c r="C58" i="4"/>
  <c r="D58" i="4" s="1"/>
  <c r="A58" i="4"/>
  <c r="L57" i="4"/>
  <c r="F57" i="4"/>
  <c r="E57" i="4"/>
  <c r="A57" i="4"/>
  <c r="L56" i="4"/>
  <c r="F56" i="4"/>
  <c r="E56" i="4"/>
  <c r="C56" i="4"/>
  <c r="A56" i="4"/>
  <c r="L55" i="4"/>
  <c r="H55" i="4" s="1"/>
  <c r="F55" i="4"/>
  <c r="E55" i="4"/>
  <c r="C55" i="4"/>
  <c r="D55" i="4" s="1"/>
  <c r="G55" i="4" s="1"/>
  <c r="L54" i="4"/>
  <c r="F54" i="4"/>
  <c r="E54" i="4"/>
  <c r="L53" i="4"/>
  <c r="F53" i="4"/>
  <c r="H53" i="4" s="1"/>
  <c r="E53" i="4"/>
  <c r="L52" i="4"/>
  <c r="F52" i="4"/>
  <c r="E52" i="4"/>
  <c r="C52" i="4"/>
  <c r="D52" i="4" s="1"/>
  <c r="L51" i="4"/>
  <c r="F51" i="4"/>
  <c r="E51" i="4"/>
  <c r="C51" i="4"/>
  <c r="D51" i="4" s="1"/>
  <c r="L50" i="4"/>
  <c r="F50" i="4"/>
  <c r="E50" i="4"/>
  <c r="C50" i="4"/>
  <c r="D50" i="4" s="1"/>
  <c r="A50" i="4"/>
  <c r="L49" i="4"/>
  <c r="F49" i="4"/>
  <c r="E49" i="4"/>
  <c r="C49" i="4"/>
  <c r="D49" i="4" s="1"/>
  <c r="L48" i="4"/>
  <c r="F48" i="4"/>
  <c r="E48" i="4"/>
  <c r="C48" i="4"/>
  <c r="D48" i="4" s="1"/>
  <c r="L47" i="4"/>
  <c r="F47" i="4"/>
  <c r="E47" i="4"/>
  <c r="C47" i="4"/>
  <c r="D47" i="4" s="1"/>
  <c r="A47" i="4"/>
  <c r="L46" i="4"/>
  <c r="F46" i="4"/>
  <c r="E46" i="4"/>
  <c r="L45" i="4"/>
  <c r="F45" i="4"/>
  <c r="E45" i="4"/>
  <c r="C45" i="4"/>
  <c r="D45" i="4" s="1"/>
  <c r="L44" i="4"/>
  <c r="F44" i="4"/>
  <c r="E44" i="4"/>
  <c r="A44" i="4"/>
  <c r="L43" i="4"/>
  <c r="F43" i="4"/>
  <c r="E43" i="4"/>
  <c r="C43" i="4"/>
  <c r="D43" i="4" s="1"/>
  <c r="G43" i="4" s="1"/>
  <c r="A43" i="4"/>
  <c r="L42" i="4"/>
  <c r="F42" i="4"/>
  <c r="E42" i="4"/>
  <c r="C42" i="4"/>
  <c r="D42" i="4" s="1"/>
  <c r="G42" i="4" s="1"/>
  <c r="A42" i="4"/>
  <c r="L41" i="4"/>
  <c r="F41" i="4"/>
  <c r="E41" i="4"/>
  <c r="L40" i="4"/>
  <c r="F40" i="4"/>
  <c r="E40" i="4"/>
  <c r="B40" i="4"/>
  <c r="A40" i="4"/>
  <c r="L39" i="4"/>
  <c r="F39" i="4"/>
  <c r="E39" i="4"/>
  <c r="C39" i="4"/>
  <c r="D39" i="4" s="1"/>
  <c r="L38" i="4"/>
  <c r="F38" i="4"/>
  <c r="E38" i="4"/>
  <c r="C38" i="4"/>
  <c r="D38" i="4" s="1"/>
  <c r="G38" i="4" s="1"/>
  <c r="L37" i="4"/>
  <c r="F37" i="4"/>
  <c r="E37" i="4"/>
  <c r="L36" i="4"/>
  <c r="G36" i="4"/>
  <c r="H36" i="4" s="1"/>
  <c r="J36" i="4" s="1"/>
  <c r="K36" i="4" s="1"/>
  <c r="F36" i="4"/>
  <c r="E36" i="4"/>
  <c r="L35" i="4"/>
  <c r="F35" i="4"/>
  <c r="E35" i="4"/>
  <c r="C35" i="4"/>
  <c r="D35" i="4" s="1"/>
  <c r="L34" i="4"/>
  <c r="F34" i="4"/>
  <c r="E34" i="4"/>
  <c r="D34" i="4"/>
  <c r="C34" i="4"/>
  <c r="B34" i="4"/>
  <c r="A34" i="4"/>
  <c r="L33" i="4"/>
  <c r="F33" i="4"/>
  <c r="E33" i="4"/>
  <c r="A33" i="4"/>
  <c r="L32" i="4"/>
  <c r="F32" i="4"/>
  <c r="E32" i="4"/>
  <c r="C32" i="4"/>
  <c r="D32" i="4" s="1"/>
  <c r="L31" i="4"/>
  <c r="F31" i="4"/>
  <c r="E31" i="4"/>
  <c r="B31" i="4"/>
  <c r="A31" i="4"/>
  <c r="L30" i="4"/>
  <c r="F30" i="4"/>
  <c r="E30" i="4"/>
  <c r="L29" i="4"/>
  <c r="F29" i="4"/>
  <c r="E29" i="4"/>
  <c r="A29" i="4"/>
  <c r="L28" i="4"/>
  <c r="F28" i="4"/>
  <c r="E28" i="4"/>
  <c r="C28" i="4"/>
  <c r="L27" i="4"/>
  <c r="F27" i="4"/>
  <c r="E27" i="4"/>
  <c r="C27" i="4"/>
  <c r="D27" i="4" s="1"/>
  <c r="B27" i="4"/>
  <c r="L26" i="4"/>
  <c r="F26" i="4"/>
  <c r="E26" i="4"/>
  <c r="A26" i="4"/>
  <c r="L25" i="4"/>
  <c r="F25" i="4"/>
  <c r="E25" i="4"/>
  <c r="C25" i="4"/>
  <c r="D25" i="4" s="1"/>
  <c r="A25" i="4"/>
  <c r="L24" i="4"/>
  <c r="F24" i="4"/>
  <c r="E24" i="4"/>
  <c r="C24" i="4"/>
  <c r="D24" i="4" s="1"/>
  <c r="A24" i="4"/>
  <c r="L23" i="4"/>
  <c r="F23" i="4"/>
  <c r="E23" i="4"/>
  <c r="C23" i="4"/>
  <c r="D23" i="4" s="1"/>
  <c r="G23" i="4" s="1"/>
  <c r="L22" i="4"/>
  <c r="F22" i="4"/>
  <c r="E22" i="4"/>
  <c r="A22" i="4"/>
  <c r="L21" i="4"/>
  <c r="F21" i="4"/>
  <c r="E21" i="4"/>
  <c r="C21" i="4"/>
  <c r="D21" i="4" s="1"/>
  <c r="L20" i="4"/>
  <c r="F20" i="4"/>
  <c r="E20" i="4"/>
  <c r="B20" i="4"/>
  <c r="L19" i="4"/>
  <c r="F19" i="4"/>
  <c r="E19" i="4"/>
  <c r="L18" i="4"/>
  <c r="H18" i="4" s="1"/>
  <c r="J18" i="4" s="1"/>
  <c r="K18" i="4" s="1"/>
  <c r="F18" i="4"/>
  <c r="E18" i="4"/>
  <c r="D18" i="4"/>
  <c r="G18" i="4" s="1"/>
  <c r="L17" i="4"/>
  <c r="F17" i="4"/>
  <c r="E17" i="4"/>
  <c r="L16" i="4"/>
  <c r="F16" i="4"/>
  <c r="E16" i="4"/>
  <c r="C16" i="4"/>
  <c r="D16" i="4" s="1"/>
  <c r="L15" i="4"/>
  <c r="F15" i="4"/>
  <c r="E15" i="4"/>
  <c r="B15" i="4"/>
  <c r="A15" i="4"/>
  <c r="L14" i="4"/>
  <c r="F14" i="4"/>
  <c r="E14" i="4"/>
  <c r="D14" i="4"/>
  <c r="C14" i="4"/>
  <c r="L13" i="4"/>
  <c r="F13" i="4"/>
  <c r="E13" i="4"/>
  <c r="D13" i="4"/>
  <c r="G13" i="4" s="1"/>
  <c r="C13" i="4"/>
  <c r="L12" i="4"/>
  <c r="F12" i="4"/>
  <c r="E12" i="4"/>
  <c r="C12" i="4"/>
  <c r="D12" i="4" s="1"/>
  <c r="L11" i="4"/>
  <c r="G11" i="4"/>
  <c r="H11" i="4" s="1"/>
  <c r="F11" i="4"/>
  <c r="E11" i="4"/>
  <c r="L10" i="4"/>
  <c r="F10" i="4"/>
  <c r="E10" i="4"/>
  <c r="C10" i="4"/>
  <c r="D10" i="4" s="1"/>
  <c r="L9" i="4"/>
  <c r="F9" i="4"/>
  <c r="E9" i="4"/>
  <c r="C9" i="4"/>
  <c r="D9" i="4" s="1"/>
  <c r="A9" i="4"/>
  <c r="L8" i="4"/>
  <c r="F8" i="4"/>
  <c r="E8" i="4"/>
  <c r="A8" i="4"/>
  <c r="L7" i="4"/>
  <c r="F7" i="4"/>
  <c r="E7" i="4"/>
  <c r="C7" i="4"/>
  <c r="D7" i="4" s="1"/>
  <c r="L6" i="4"/>
  <c r="F6" i="4"/>
  <c r="E6" i="4"/>
  <c r="B6" i="4"/>
  <c r="A6" i="4"/>
  <c r="H115" i="3"/>
  <c r="C115" i="4" s="1"/>
  <c r="D115" i="4" s="1"/>
  <c r="G115" i="3"/>
  <c r="F115" i="3"/>
  <c r="E115" i="3"/>
  <c r="D115" i="3"/>
  <c r="C115" i="3"/>
  <c r="B115" i="3"/>
  <c r="A115" i="3"/>
  <c r="A115" i="4" s="1"/>
  <c r="H114" i="3"/>
  <c r="G114" i="3"/>
  <c r="F114" i="3"/>
  <c r="E114" i="3"/>
  <c r="C114" i="3"/>
  <c r="D114" i="3" s="1"/>
  <c r="B114" i="4" s="1"/>
  <c r="B114" i="3"/>
  <c r="A114" i="3"/>
  <c r="H113" i="3"/>
  <c r="C113" i="4" s="1"/>
  <c r="D113" i="4" s="1"/>
  <c r="G113" i="3"/>
  <c r="F113" i="3"/>
  <c r="E113" i="3"/>
  <c r="C113" i="3"/>
  <c r="D113" i="3" s="1"/>
  <c r="B113" i="3"/>
  <c r="A113" i="3"/>
  <c r="H112" i="3"/>
  <c r="G112" i="3"/>
  <c r="F112" i="3"/>
  <c r="E112" i="3"/>
  <c r="C112" i="3"/>
  <c r="D112" i="3" s="1"/>
  <c r="B112" i="3"/>
  <c r="B112" i="4" s="1"/>
  <c r="A112" i="3"/>
  <c r="A112" i="4" s="1"/>
  <c r="H111" i="3"/>
  <c r="C111" i="4" s="1"/>
  <c r="D111" i="4" s="1"/>
  <c r="G111" i="3"/>
  <c r="F111" i="3"/>
  <c r="E111" i="3"/>
  <c r="D111" i="3"/>
  <c r="C111" i="3"/>
  <c r="B111" i="3"/>
  <c r="A111" i="3"/>
  <c r="H110" i="3"/>
  <c r="C110" i="4" s="1"/>
  <c r="G110" i="3"/>
  <c r="F110" i="3"/>
  <c r="E110" i="3"/>
  <c r="C110" i="3"/>
  <c r="D110" i="3" s="1"/>
  <c r="B110" i="3"/>
  <c r="A110" i="3"/>
  <c r="A110" i="4" s="1"/>
  <c r="H109" i="3"/>
  <c r="C109" i="4" s="1"/>
  <c r="D109" i="4" s="1"/>
  <c r="G109" i="3"/>
  <c r="F109" i="3"/>
  <c r="E109" i="3"/>
  <c r="C109" i="3"/>
  <c r="D109" i="3" s="1"/>
  <c r="B109" i="3"/>
  <c r="B109" i="4" s="1"/>
  <c r="A109" i="3"/>
  <c r="H108" i="3"/>
  <c r="G108" i="3"/>
  <c r="F108" i="3"/>
  <c r="E108" i="3"/>
  <c r="D108" i="3"/>
  <c r="C108" i="3"/>
  <c r="B108" i="3"/>
  <c r="A108" i="3"/>
  <c r="A108" i="4" s="1"/>
  <c r="H107" i="3"/>
  <c r="C107" i="4" s="1"/>
  <c r="D107" i="4" s="1"/>
  <c r="G107" i="3"/>
  <c r="F107" i="3"/>
  <c r="E107" i="3"/>
  <c r="C107" i="3"/>
  <c r="D107" i="3" s="1"/>
  <c r="B107" i="4" s="1"/>
  <c r="B107" i="3"/>
  <c r="A107" i="3"/>
  <c r="A107" i="4" s="1"/>
  <c r="H106" i="3"/>
  <c r="C106" i="4" s="1"/>
  <c r="G106" i="3"/>
  <c r="F106" i="3"/>
  <c r="E106" i="3"/>
  <c r="C106" i="3"/>
  <c r="D106" i="3" s="1"/>
  <c r="B106" i="3"/>
  <c r="A106" i="3"/>
  <c r="H105" i="3"/>
  <c r="G105" i="3"/>
  <c r="F105" i="3"/>
  <c r="E105" i="3"/>
  <c r="C105" i="3"/>
  <c r="D105" i="3" s="1"/>
  <c r="B105" i="3"/>
  <c r="B105" i="4" s="1"/>
  <c r="A105" i="3"/>
  <c r="A105" i="4" s="1"/>
  <c r="H104" i="3"/>
  <c r="C104" i="4" s="1"/>
  <c r="D104" i="4" s="1"/>
  <c r="G104" i="3"/>
  <c r="F104" i="3"/>
  <c r="E104" i="3"/>
  <c r="D104" i="3"/>
  <c r="B104" i="4" s="1"/>
  <c r="C104" i="3"/>
  <c r="B104" i="3"/>
  <c r="A104" i="3"/>
  <c r="H103" i="3"/>
  <c r="C103" i="4" s="1"/>
  <c r="G103" i="3"/>
  <c r="F103" i="3"/>
  <c r="E103" i="3"/>
  <c r="C103" i="3"/>
  <c r="D103" i="3" s="1"/>
  <c r="B103" i="3"/>
  <c r="B103" i="4" s="1"/>
  <c r="A103" i="3"/>
  <c r="A103" i="4" s="1"/>
  <c r="H102" i="3"/>
  <c r="C102" i="4" s="1"/>
  <c r="D102" i="4" s="1"/>
  <c r="G102" i="3"/>
  <c r="F102" i="3"/>
  <c r="E102" i="3"/>
  <c r="C102" i="3"/>
  <c r="D102" i="3" s="1"/>
  <c r="B102" i="3"/>
  <c r="B102" i="4" s="1"/>
  <c r="A102" i="3"/>
  <c r="A102" i="4" s="1"/>
  <c r="H101" i="3"/>
  <c r="G101" i="3"/>
  <c r="F101" i="3"/>
  <c r="E101" i="3"/>
  <c r="C101" i="3"/>
  <c r="D101" i="3" s="1"/>
  <c r="B101" i="3"/>
  <c r="A101" i="3"/>
  <c r="A101" i="4" s="1"/>
  <c r="H100" i="3"/>
  <c r="C100" i="4" s="1"/>
  <c r="D100" i="4" s="1"/>
  <c r="G100" i="3"/>
  <c r="F100" i="3"/>
  <c r="E100" i="3"/>
  <c r="C100" i="3"/>
  <c r="D100" i="3" s="1"/>
  <c r="B100" i="3"/>
  <c r="A100" i="3"/>
  <c r="H99" i="3"/>
  <c r="C99" i="4" s="1"/>
  <c r="D99" i="4" s="1"/>
  <c r="G99" i="3"/>
  <c r="F99" i="3"/>
  <c r="E99" i="3"/>
  <c r="D99" i="3"/>
  <c r="C99" i="3"/>
  <c r="B99" i="3"/>
  <c r="B99" i="4" s="1"/>
  <c r="A99" i="3"/>
  <c r="H98" i="3"/>
  <c r="G98" i="3"/>
  <c r="F98" i="3"/>
  <c r="E98" i="3"/>
  <c r="C98" i="3"/>
  <c r="B98" i="3"/>
  <c r="A98" i="3"/>
  <c r="A98" i="4" s="1"/>
  <c r="H97" i="3"/>
  <c r="C97" i="4" s="1"/>
  <c r="G97" i="3"/>
  <c r="F97" i="3"/>
  <c r="E97" i="3"/>
  <c r="D97" i="3"/>
  <c r="B97" i="4" s="1"/>
  <c r="C97" i="3"/>
  <c r="B97" i="3"/>
  <c r="A97" i="3"/>
  <c r="H96" i="3"/>
  <c r="C96" i="4" s="1"/>
  <c r="G96" i="3"/>
  <c r="F96" i="3"/>
  <c r="E96" i="3"/>
  <c r="C96" i="3"/>
  <c r="B96" i="3"/>
  <c r="A96" i="3"/>
  <c r="A96" i="4" s="1"/>
  <c r="H95" i="3"/>
  <c r="G95" i="3"/>
  <c r="F95" i="3"/>
  <c r="E95" i="3"/>
  <c r="C95" i="3"/>
  <c r="B95" i="3"/>
  <c r="A95" i="3"/>
  <c r="H94" i="3"/>
  <c r="C94" i="4" s="1"/>
  <c r="D94" i="4" s="1"/>
  <c r="G94" i="3"/>
  <c r="F94" i="3"/>
  <c r="E94" i="3"/>
  <c r="C94" i="3"/>
  <c r="B94" i="3"/>
  <c r="A94" i="3"/>
  <c r="A94" i="4" s="1"/>
  <c r="H93" i="3"/>
  <c r="C93" i="4" s="1"/>
  <c r="D93" i="4" s="1"/>
  <c r="G93" i="3"/>
  <c r="F93" i="3"/>
  <c r="E93" i="3"/>
  <c r="C93" i="3"/>
  <c r="B93" i="3"/>
  <c r="A93" i="3"/>
  <c r="A93" i="4" s="1"/>
  <c r="H92" i="3"/>
  <c r="C92" i="4" s="1"/>
  <c r="G92" i="3"/>
  <c r="F92" i="3"/>
  <c r="E92" i="3"/>
  <c r="C92" i="3"/>
  <c r="B92" i="3"/>
  <c r="A92" i="3"/>
  <c r="H91" i="3"/>
  <c r="G91" i="3"/>
  <c r="F91" i="3"/>
  <c r="E91" i="3"/>
  <c r="D91" i="3"/>
  <c r="B91" i="4" s="1"/>
  <c r="C91" i="3"/>
  <c r="B91" i="3"/>
  <c r="A91" i="3"/>
  <c r="A91" i="4" s="1"/>
  <c r="H90" i="3"/>
  <c r="G90" i="3"/>
  <c r="F90" i="3"/>
  <c r="E90" i="3"/>
  <c r="D90" i="3"/>
  <c r="B90" i="4" s="1"/>
  <c r="C90" i="3"/>
  <c r="B90" i="3"/>
  <c r="A90" i="3"/>
  <c r="A90" i="4" s="1"/>
  <c r="H89" i="3"/>
  <c r="G89" i="3"/>
  <c r="F89" i="3"/>
  <c r="E89" i="3"/>
  <c r="C89" i="3"/>
  <c r="D89" i="3" s="1"/>
  <c r="B89" i="3"/>
  <c r="B89" i="4" s="1"/>
  <c r="A89" i="3"/>
  <c r="A89" i="4" s="1"/>
  <c r="H88" i="3"/>
  <c r="G88" i="3"/>
  <c r="F88" i="3"/>
  <c r="E88" i="3"/>
  <c r="C88" i="3"/>
  <c r="D88" i="3" s="1"/>
  <c r="B88" i="3"/>
  <c r="B88" i="4" s="1"/>
  <c r="A88" i="3"/>
  <c r="H87" i="3"/>
  <c r="C87" i="4" s="1"/>
  <c r="G87" i="3"/>
  <c r="F87" i="3"/>
  <c r="E87" i="3"/>
  <c r="C87" i="3"/>
  <c r="D87" i="3" s="1"/>
  <c r="B87" i="3"/>
  <c r="A87" i="3"/>
  <c r="A87" i="4" s="1"/>
  <c r="H86" i="3"/>
  <c r="C86" i="4" s="1"/>
  <c r="D86" i="4" s="1"/>
  <c r="G86" i="4" s="1"/>
  <c r="G86" i="3"/>
  <c r="F86" i="3"/>
  <c r="E86" i="3"/>
  <c r="D86" i="3"/>
  <c r="C86" i="3"/>
  <c r="B86" i="3"/>
  <c r="A86" i="3"/>
  <c r="A86" i="4" s="1"/>
  <c r="H85" i="3"/>
  <c r="C85" i="4" s="1"/>
  <c r="D85" i="4" s="1"/>
  <c r="G85" i="3"/>
  <c r="F85" i="3"/>
  <c r="E85" i="3"/>
  <c r="C85" i="3"/>
  <c r="D85" i="3" s="1"/>
  <c r="B85" i="3"/>
  <c r="A85" i="3"/>
  <c r="A85" i="4" s="1"/>
  <c r="H84" i="3"/>
  <c r="G84" i="3"/>
  <c r="F84" i="3"/>
  <c r="E84" i="3"/>
  <c r="C84" i="3"/>
  <c r="D84" i="3" s="1"/>
  <c r="B84" i="3"/>
  <c r="B84" i="4" s="1"/>
  <c r="A84" i="3"/>
  <c r="A84" i="4" s="1"/>
  <c r="H83" i="3"/>
  <c r="C83" i="4" s="1"/>
  <c r="G83" i="3"/>
  <c r="F83" i="3"/>
  <c r="E83" i="3"/>
  <c r="D83" i="3"/>
  <c r="B83" i="4" s="1"/>
  <c r="C83" i="3"/>
  <c r="B83" i="3"/>
  <c r="A83" i="3"/>
  <c r="H82" i="3"/>
  <c r="C82" i="4" s="1"/>
  <c r="D82" i="4" s="1"/>
  <c r="G82" i="3"/>
  <c r="F82" i="3"/>
  <c r="E82" i="3"/>
  <c r="C82" i="3"/>
  <c r="D82" i="3" s="1"/>
  <c r="B82" i="3"/>
  <c r="A82" i="3"/>
  <c r="A82" i="4" s="1"/>
  <c r="H81" i="3"/>
  <c r="G81" i="3"/>
  <c r="F81" i="3"/>
  <c r="E81" i="3"/>
  <c r="C81" i="3"/>
  <c r="D81" i="3" s="1"/>
  <c r="B81" i="3"/>
  <c r="B81" i="4" s="1"/>
  <c r="A81" i="3"/>
  <c r="H80" i="3"/>
  <c r="G80" i="3"/>
  <c r="F80" i="3"/>
  <c r="E80" i="3"/>
  <c r="D80" i="3"/>
  <c r="B80" i="4" s="1"/>
  <c r="C80" i="3"/>
  <c r="B80" i="3"/>
  <c r="A80" i="3"/>
  <c r="A80" i="4" s="1"/>
  <c r="H79" i="3"/>
  <c r="C79" i="4" s="1"/>
  <c r="D79" i="4" s="1"/>
  <c r="G79" i="3"/>
  <c r="F79" i="3"/>
  <c r="E79" i="3"/>
  <c r="C79" i="3"/>
  <c r="D79" i="3" s="1"/>
  <c r="B79" i="4" s="1"/>
  <c r="B79" i="3"/>
  <c r="A79" i="3"/>
  <c r="H78" i="3"/>
  <c r="C78" i="4" s="1"/>
  <c r="G78" i="3"/>
  <c r="F78" i="3"/>
  <c r="E78" i="3"/>
  <c r="C78" i="3"/>
  <c r="D78" i="3" s="1"/>
  <c r="B78" i="3"/>
  <c r="A78" i="3"/>
  <c r="H77" i="3"/>
  <c r="G77" i="3"/>
  <c r="F77" i="3"/>
  <c r="E77" i="3"/>
  <c r="C77" i="3"/>
  <c r="D77" i="3" s="1"/>
  <c r="B77" i="3"/>
  <c r="B77" i="4" s="1"/>
  <c r="A77" i="3"/>
  <c r="A77" i="4" s="1"/>
  <c r="H76" i="3"/>
  <c r="C76" i="4" s="1"/>
  <c r="D76" i="4" s="1"/>
  <c r="G76" i="3"/>
  <c r="F76" i="3"/>
  <c r="E76" i="3"/>
  <c r="D76" i="3"/>
  <c r="C76" i="3"/>
  <c r="B76" i="3"/>
  <c r="A76" i="3"/>
  <c r="A76" i="4" s="1"/>
  <c r="H75" i="3"/>
  <c r="C75" i="4" s="1"/>
  <c r="D75" i="4" s="1"/>
  <c r="G75" i="3"/>
  <c r="F75" i="3"/>
  <c r="E75" i="3"/>
  <c r="D75" i="3"/>
  <c r="C75" i="3"/>
  <c r="B75" i="3"/>
  <c r="B75" i="4" s="1"/>
  <c r="A75" i="3"/>
  <c r="A75" i="4" s="1"/>
  <c r="H74" i="3"/>
  <c r="C74" i="4" s="1"/>
  <c r="G74" i="3"/>
  <c r="F74" i="3"/>
  <c r="E74" i="3"/>
  <c r="C74" i="3"/>
  <c r="D74" i="3" s="1"/>
  <c r="B74" i="3"/>
  <c r="B74" i="4" s="1"/>
  <c r="A74" i="3"/>
  <c r="H73" i="3"/>
  <c r="C73" i="4" s="1"/>
  <c r="D73" i="4" s="1"/>
  <c r="G73" i="4" s="1"/>
  <c r="G73" i="3"/>
  <c r="F73" i="3"/>
  <c r="E73" i="3"/>
  <c r="C73" i="3"/>
  <c r="D73" i="3" s="1"/>
  <c r="B73" i="3"/>
  <c r="B73" i="4" s="1"/>
  <c r="A73" i="3"/>
  <c r="H72" i="3"/>
  <c r="C72" i="4" s="1"/>
  <c r="D72" i="4" s="1"/>
  <c r="G72" i="3"/>
  <c r="F72" i="3"/>
  <c r="E72" i="3"/>
  <c r="C72" i="3"/>
  <c r="D72" i="3" s="1"/>
  <c r="B72" i="3"/>
  <c r="A72" i="3"/>
  <c r="H71" i="3"/>
  <c r="G71" i="3"/>
  <c r="F71" i="3"/>
  <c r="E71" i="3"/>
  <c r="D71" i="3"/>
  <c r="C71" i="3"/>
  <c r="B71" i="3"/>
  <c r="B71" i="4" s="1"/>
  <c r="A71" i="3"/>
  <c r="H70" i="3"/>
  <c r="C70" i="4" s="1"/>
  <c r="G70" i="3"/>
  <c r="F70" i="3"/>
  <c r="E70" i="3"/>
  <c r="D70" i="3"/>
  <c r="C70" i="3"/>
  <c r="B70" i="3"/>
  <c r="A70" i="3"/>
  <c r="H69" i="3"/>
  <c r="C69" i="4" s="1"/>
  <c r="D69" i="4" s="1"/>
  <c r="G69" i="3"/>
  <c r="F69" i="3"/>
  <c r="E69" i="3"/>
  <c r="D69" i="3"/>
  <c r="C69" i="3"/>
  <c r="B69" i="3"/>
  <c r="B69" i="4" s="1"/>
  <c r="A69" i="3"/>
  <c r="A69" i="4" s="1"/>
  <c r="H68" i="3"/>
  <c r="C68" i="4" s="1"/>
  <c r="G68" i="3"/>
  <c r="F68" i="3"/>
  <c r="E68" i="3"/>
  <c r="C68" i="3"/>
  <c r="D68" i="3" s="1"/>
  <c r="B68" i="3"/>
  <c r="B68" i="4" s="1"/>
  <c r="A68" i="3"/>
  <c r="A68" i="4" s="1"/>
  <c r="H67" i="3"/>
  <c r="C67" i="4" s="1"/>
  <c r="D67" i="4" s="1"/>
  <c r="G67" i="3"/>
  <c r="F67" i="3"/>
  <c r="E67" i="3"/>
  <c r="C67" i="3"/>
  <c r="D67" i="3" s="1"/>
  <c r="B67" i="3"/>
  <c r="B67" i="4" s="1"/>
  <c r="A67" i="3"/>
  <c r="H66" i="3"/>
  <c r="C66" i="4" s="1"/>
  <c r="D66" i="4" s="1"/>
  <c r="G66" i="3"/>
  <c r="F66" i="3"/>
  <c r="E66" i="3"/>
  <c r="C66" i="3"/>
  <c r="D66" i="3" s="1"/>
  <c r="B66" i="4" s="1"/>
  <c r="B66" i="3"/>
  <c r="A66" i="3"/>
  <c r="A66" i="4" s="1"/>
  <c r="H65" i="3"/>
  <c r="C65" i="4" s="1"/>
  <c r="D65" i="4" s="1"/>
  <c r="G65" i="3"/>
  <c r="F65" i="3"/>
  <c r="E65" i="3"/>
  <c r="C65" i="3"/>
  <c r="D65" i="3" s="1"/>
  <c r="B65" i="3"/>
  <c r="B65" i="4" s="1"/>
  <c r="A65" i="3"/>
  <c r="A65" i="4" s="1"/>
  <c r="H64" i="3"/>
  <c r="G64" i="3"/>
  <c r="F64" i="3"/>
  <c r="E64" i="3"/>
  <c r="C64" i="3"/>
  <c r="D64" i="3" s="1"/>
  <c r="B64" i="3"/>
  <c r="A64" i="3"/>
  <c r="H63" i="3"/>
  <c r="G63" i="3"/>
  <c r="F63" i="3"/>
  <c r="E63" i="3"/>
  <c r="D63" i="3"/>
  <c r="B63" i="4" s="1"/>
  <c r="C63" i="3"/>
  <c r="B63" i="3"/>
  <c r="A63" i="3"/>
  <c r="H62" i="3"/>
  <c r="C62" i="4" s="1"/>
  <c r="D62" i="4" s="1"/>
  <c r="G62" i="3"/>
  <c r="F62" i="3"/>
  <c r="E62" i="3"/>
  <c r="D62" i="3"/>
  <c r="B62" i="4" s="1"/>
  <c r="C62" i="3"/>
  <c r="B62" i="3"/>
  <c r="A62" i="3"/>
  <c r="H61" i="3"/>
  <c r="C61" i="4" s="1"/>
  <c r="D61" i="4" s="1"/>
  <c r="G61" i="3"/>
  <c r="F61" i="3"/>
  <c r="E61" i="3"/>
  <c r="C61" i="3"/>
  <c r="D61" i="3" s="1"/>
  <c r="B61" i="3"/>
  <c r="B61" i="4" s="1"/>
  <c r="A61" i="3"/>
  <c r="A61" i="4" s="1"/>
  <c r="H60" i="3"/>
  <c r="C60" i="4" s="1"/>
  <c r="D60" i="4" s="1"/>
  <c r="G60" i="3"/>
  <c r="F60" i="3"/>
  <c r="E60" i="3"/>
  <c r="C60" i="3"/>
  <c r="D60" i="3" s="1"/>
  <c r="B60" i="3"/>
  <c r="A60" i="3"/>
  <c r="H59" i="3"/>
  <c r="C59" i="4" s="1"/>
  <c r="D59" i="4" s="1"/>
  <c r="G59" i="3"/>
  <c r="F59" i="3"/>
  <c r="E59" i="3"/>
  <c r="C59" i="3"/>
  <c r="D59" i="3" s="1"/>
  <c r="B59" i="3"/>
  <c r="B59" i="4" s="1"/>
  <c r="A59" i="3"/>
  <c r="A59" i="4" s="1"/>
  <c r="H58" i="3"/>
  <c r="G58" i="3"/>
  <c r="F58" i="3"/>
  <c r="E58" i="3"/>
  <c r="C58" i="3"/>
  <c r="D58" i="3" s="1"/>
  <c r="B58" i="3"/>
  <c r="B58" i="4" s="1"/>
  <c r="A58" i="3"/>
  <c r="H57" i="3"/>
  <c r="C57" i="4" s="1"/>
  <c r="D57" i="4" s="1"/>
  <c r="G57" i="3"/>
  <c r="F57" i="3"/>
  <c r="E57" i="3"/>
  <c r="C57" i="3"/>
  <c r="D57" i="3" s="1"/>
  <c r="B57" i="4" s="1"/>
  <c r="B57" i="3"/>
  <c r="A57" i="3"/>
  <c r="H56" i="3"/>
  <c r="G56" i="3"/>
  <c r="F56" i="3"/>
  <c r="E56" i="3"/>
  <c r="C56" i="3"/>
  <c r="D56" i="3" s="1"/>
  <c r="B56" i="3"/>
  <c r="B56" i="4" s="1"/>
  <c r="A56" i="3"/>
  <c r="H55" i="3"/>
  <c r="G55" i="3"/>
  <c r="F55" i="3"/>
  <c r="E55" i="3"/>
  <c r="D55" i="3"/>
  <c r="B55" i="4" s="1"/>
  <c r="C55" i="3"/>
  <c r="B55" i="3"/>
  <c r="A55" i="3"/>
  <c r="A55" i="4" s="1"/>
  <c r="H54" i="3"/>
  <c r="C54" i="4" s="1"/>
  <c r="G54" i="3"/>
  <c r="F54" i="3"/>
  <c r="E54" i="3"/>
  <c r="D54" i="3"/>
  <c r="B54" i="4" s="1"/>
  <c r="C54" i="3"/>
  <c r="B54" i="3"/>
  <c r="A54" i="3"/>
  <c r="A54" i="4" s="1"/>
  <c r="H53" i="3"/>
  <c r="C53" i="4" s="1"/>
  <c r="D53" i="4" s="1"/>
  <c r="G53" i="4" s="1"/>
  <c r="G53" i="3"/>
  <c r="F53" i="3"/>
  <c r="E53" i="3"/>
  <c r="C53" i="3"/>
  <c r="D53" i="3" s="1"/>
  <c r="B53" i="3"/>
  <c r="B53" i="4" s="1"/>
  <c r="A53" i="3"/>
  <c r="A53" i="4" s="1"/>
  <c r="H52" i="3"/>
  <c r="G52" i="3"/>
  <c r="F52" i="3"/>
  <c r="E52" i="3"/>
  <c r="C52" i="3"/>
  <c r="D52" i="3" s="1"/>
  <c r="B52" i="3"/>
  <c r="B52" i="4" s="1"/>
  <c r="A52" i="3"/>
  <c r="A52" i="4" s="1"/>
  <c r="H51" i="3"/>
  <c r="G51" i="3"/>
  <c r="F51" i="3"/>
  <c r="E51" i="3"/>
  <c r="C51" i="3"/>
  <c r="D51" i="3" s="1"/>
  <c r="B51" i="4" s="1"/>
  <c r="B51" i="3"/>
  <c r="A51" i="3"/>
  <c r="A51" i="4" s="1"/>
  <c r="H50" i="3"/>
  <c r="G50" i="3"/>
  <c r="F50" i="3"/>
  <c r="E50" i="3"/>
  <c r="C50" i="3"/>
  <c r="D50" i="3" s="1"/>
  <c r="B50" i="4" s="1"/>
  <c r="B50" i="3"/>
  <c r="A50" i="3"/>
  <c r="H49" i="3"/>
  <c r="G49" i="3"/>
  <c r="F49" i="3"/>
  <c r="E49" i="3"/>
  <c r="C49" i="3"/>
  <c r="D49" i="3" s="1"/>
  <c r="B49" i="3"/>
  <c r="B49" i="4" s="1"/>
  <c r="A49" i="3"/>
  <c r="A49" i="4" s="1"/>
  <c r="H48" i="3"/>
  <c r="G48" i="3"/>
  <c r="F48" i="3"/>
  <c r="E48" i="3"/>
  <c r="D48" i="3"/>
  <c r="B48" i="4" s="1"/>
  <c r="C48" i="3"/>
  <c r="B48" i="3"/>
  <c r="A48" i="3"/>
  <c r="A48" i="4" s="1"/>
  <c r="H47" i="3"/>
  <c r="G47" i="3"/>
  <c r="F47" i="3"/>
  <c r="E47" i="3"/>
  <c r="C47" i="3"/>
  <c r="D47" i="3" s="1"/>
  <c r="B47" i="4" s="1"/>
  <c r="B47" i="3"/>
  <c r="A47" i="3"/>
  <c r="H46" i="3"/>
  <c r="C46" i="4" s="1"/>
  <c r="D46" i="4" s="1"/>
  <c r="G46" i="4" s="1"/>
  <c r="G46" i="3"/>
  <c r="F46" i="3"/>
  <c r="E46" i="3"/>
  <c r="C46" i="3"/>
  <c r="D46" i="3" s="1"/>
  <c r="B46" i="3"/>
  <c r="A46" i="3"/>
  <c r="A46" i="4" s="1"/>
  <c r="H45" i="3"/>
  <c r="G45" i="3"/>
  <c r="F45" i="3"/>
  <c r="E45" i="3"/>
  <c r="D45" i="3"/>
  <c r="C45" i="3"/>
  <c r="B45" i="3"/>
  <c r="A45" i="3"/>
  <c r="A45" i="4" s="1"/>
  <c r="H44" i="3"/>
  <c r="C44" i="4" s="1"/>
  <c r="D44" i="4" s="1"/>
  <c r="G44" i="3"/>
  <c r="F44" i="3"/>
  <c r="E44" i="3"/>
  <c r="C44" i="3"/>
  <c r="D44" i="3" s="1"/>
  <c r="B44" i="3"/>
  <c r="B44" i="4" s="1"/>
  <c r="A44" i="3"/>
  <c r="H43" i="3"/>
  <c r="G43" i="3"/>
  <c r="F43" i="3"/>
  <c r="E43" i="3"/>
  <c r="C43" i="3"/>
  <c r="D43" i="3" s="1"/>
  <c r="B43" i="3"/>
  <c r="B43" i="4" s="1"/>
  <c r="A43" i="3"/>
  <c r="H42" i="3"/>
  <c r="G42" i="3"/>
  <c r="F42" i="3"/>
  <c r="E42" i="3"/>
  <c r="C42" i="3"/>
  <c r="D42" i="3" s="1"/>
  <c r="B42" i="4" s="1"/>
  <c r="B42" i="3"/>
  <c r="A42" i="3"/>
  <c r="H41" i="3"/>
  <c r="C41" i="4" s="1"/>
  <c r="G41" i="3"/>
  <c r="F41" i="3"/>
  <c r="E41" i="3"/>
  <c r="D41" i="3"/>
  <c r="B41" i="4" s="1"/>
  <c r="C41" i="3"/>
  <c r="B41" i="3"/>
  <c r="A41" i="3"/>
  <c r="A41" i="4" s="1"/>
  <c r="H40" i="3"/>
  <c r="C40" i="4" s="1"/>
  <c r="D40" i="4" s="1"/>
  <c r="G40" i="3"/>
  <c r="F40" i="3"/>
  <c r="E40" i="3"/>
  <c r="C40" i="3"/>
  <c r="D40" i="3" s="1"/>
  <c r="B40" i="3"/>
  <c r="A40" i="3"/>
  <c r="H39" i="3"/>
  <c r="G39" i="3"/>
  <c r="F39" i="3"/>
  <c r="E39" i="3"/>
  <c r="C39" i="3"/>
  <c r="D39" i="3" s="1"/>
  <c r="B39" i="3"/>
  <c r="B39" i="4" s="1"/>
  <c r="A39" i="3"/>
  <c r="A39" i="4" s="1"/>
  <c r="H38" i="3"/>
  <c r="G38" i="3"/>
  <c r="F38" i="3"/>
  <c r="E38" i="3"/>
  <c r="C38" i="3"/>
  <c r="D38" i="3" s="1"/>
  <c r="B38" i="4" s="1"/>
  <c r="B38" i="3"/>
  <c r="A38" i="3"/>
  <c r="A38" i="4" s="1"/>
  <c r="H37" i="3"/>
  <c r="C37" i="4" s="1"/>
  <c r="D37" i="4" s="1"/>
  <c r="G37" i="3"/>
  <c r="F37" i="3"/>
  <c r="E37" i="3"/>
  <c r="C37" i="3"/>
  <c r="D37" i="3" s="1"/>
  <c r="B37" i="3"/>
  <c r="A37" i="3"/>
  <c r="A37" i="4" s="1"/>
  <c r="H36" i="3"/>
  <c r="C36" i="4" s="1"/>
  <c r="D36" i="4" s="1"/>
  <c r="G36" i="3"/>
  <c r="F36" i="3"/>
  <c r="E36" i="3"/>
  <c r="C36" i="3"/>
  <c r="D36" i="3" s="1"/>
  <c r="B36" i="3"/>
  <c r="B36" i="4" s="1"/>
  <c r="A36" i="3"/>
  <c r="A36" i="4" s="1"/>
  <c r="H35" i="3"/>
  <c r="G35" i="3"/>
  <c r="F35" i="3"/>
  <c r="E35" i="3"/>
  <c r="D35" i="3"/>
  <c r="C35" i="3"/>
  <c r="B35" i="3"/>
  <c r="B35" i="4" s="1"/>
  <c r="A35" i="3"/>
  <c r="A35" i="4" s="1"/>
  <c r="H34" i="3"/>
  <c r="G34" i="3"/>
  <c r="F34" i="3"/>
  <c r="E34" i="3"/>
  <c r="D34" i="3"/>
  <c r="C34" i="3"/>
  <c r="B34" i="3"/>
  <c r="A34" i="3"/>
  <c r="H33" i="3"/>
  <c r="C33" i="4" s="1"/>
  <c r="D33" i="4" s="1"/>
  <c r="G33" i="3"/>
  <c r="F33" i="3"/>
  <c r="E33" i="3"/>
  <c r="D33" i="3"/>
  <c r="B33" i="4" s="1"/>
  <c r="C33" i="3"/>
  <c r="B33" i="3"/>
  <c r="A33" i="3"/>
  <c r="H32" i="3"/>
  <c r="G32" i="3"/>
  <c r="F32" i="3"/>
  <c r="E32" i="3"/>
  <c r="C32" i="3"/>
  <c r="D32" i="3" s="1"/>
  <c r="B32" i="3"/>
  <c r="B32" i="4" s="1"/>
  <c r="A32" i="3"/>
  <c r="A32" i="4" s="1"/>
  <c r="H31" i="3"/>
  <c r="C31" i="4" s="1"/>
  <c r="D31" i="4" s="1"/>
  <c r="G31" i="3"/>
  <c r="F31" i="3"/>
  <c r="E31" i="3"/>
  <c r="D31" i="3"/>
  <c r="C31" i="3"/>
  <c r="B31" i="3"/>
  <c r="A31" i="3"/>
  <c r="H30" i="3"/>
  <c r="C30" i="4" s="1"/>
  <c r="G30" i="3"/>
  <c r="F30" i="3"/>
  <c r="E30" i="3"/>
  <c r="C30" i="3"/>
  <c r="D30" i="3" s="1"/>
  <c r="B30" i="3"/>
  <c r="B30" i="4" s="1"/>
  <c r="A30" i="3"/>
  <c r="A30" i="4" s="1"/>
  <c r="H29" i="3"/>
  <c r="C29" i="4" s="1"/>
  <c r="D29" i="4" s="1"/>
  <c r="G29" i="3"/>
  <c r="F29" i="3"/>
  <c r="E29" i="3"/>
  <c r="D29" i="3"/>
  <c r="C29" i="3"/>
  <c r="B29" i="3"/>
  <c r="A29" i="3"/>
  <c r="H28" i="3"/>
  <c r="G28" i="3"/>
  <c r="F28" i="3"/>
  <c r="E28" i="3"/>
  <c r="C28" i="3"/>
  <c r="D28" i="3" s="1"/>
  <c r="B28" i="3"/>
  <c r="A28" i="3"/>
  <c r="A28" i="4" s="1"/>
  <c r="H27" i="3"/>
  <c r="G27" i="3"/>
  <c r="F27" i="3"/>
  <c r="E27" i="3"/>
  <c r="D27" i="3"/>
  <c r="C27" i="3"/>
  <c r="B27" i="3"/>
  <c r="A27" i="3"/>
  <c r="A27" i="4" s="1"/>
  <c r="H26" i="3"/>
  <c r="C26" i="4" s="1"/>
  <c r="D26" i="4" s="1"/>
  <c r="G26" i="3"/>
  <c r="F26" i="3"/>
  <c r="E26" i="3"/>
  <c r="C26" i="3"/>
  <c r="D26" i="3" s="1"/>
  <c r="B26" i="3"/>
  <c r="B26" i="4" s="1"/>
  <c r="A26" i="3"/>
  <c r="H25" i="3"/>
  <c r="G25" i="3"/>
  <c r="F25" i="3"/>
  <c r="E25" i="3"/>
  <c r="C25" i="3"/>
  <c r="D25" i="3" s="1"/>
  <c r="B25" i="3"/>
  <c r="B25" i="4" s="1"/>
  <c r="A25" i="3"/>
  <c r="H24" i="3"/>
  <c r="G24" i="3"/>
  <c r="F24" i="3"/>
  <c r="E24" i="3"/>
  <c r="C24" i="3"/>
  <c r="D24" i="3" s="1"/>
  <c r="B24" i="4" s="1"/>
  <c r="B24" i="3"/>
  <c r="A24" i="3"/>
  <c r="H23" i="3"/>
  <c r="G23" i="3"/>
  <c r="F23" i="3"/>
  <c r="E23" i="3"/>
  <c r="C23" i="3"/>
  <c r="D23" i="3" s="1"/>
  <c r="B23" i="3"/>
  <c r="A23" i="3"/>
  <c r="A23" i="4" s="1"/>
  <c r="H22" i="3"/>
  <c r="C22" i="4" s="1"/>
  <c r="D22" i="4" s="1"/>
  <c r="G22" i="3"/>
  <c r="F22" i="3"/>
  <c r="E22" i="3"/>
  <c r="C22" i="3"/>
  <c r="D22" i="3" s="1"/>
  <c r="B22" i="4" s="1"/>
  <c r="B22" i="3"/>
  <c r="A22" i="3"/>
  <c r="H21" i="3"/>
  <c r="G21" i="3"/>
  <c r="F21" i="3"/>
  <c r="E21" i="3"/>
  <c r="C21" i="3"/>
  <c r="D21" i="3" s="1"/>
  <c r="B21" i="4" s="1"/>
  <c r="B21" i="3"/>
  <c r="A21" i="3"/>
  <c r="A21" i="4" s="1"/>
  <c r="H20" i="3"/>
  <c r="C20" i="4" s="1"/>
  <c r="D20" i="4" s="1"/>
  <c r="G20" i="3"/>
  <c r="F20" i="3"/>
  <c r="E20" i="3"/>
  <c r="D20" i="3"/>
  <c r="C20" i="3"/>
  <c r="B20" i="3"/>
  <c r="A20" i="3"/>
  <c r="A20" i="4" s="1"/>
  <c r="H19" i="3"/>
  <c r="C19" i="4" s="1"/>
  <c r="D19" i="4" s="1"/>
  <c r="G19" i="3"/>
  <c r="F19" i="3"/>
  <c r="E19" i="3"/>
  <c r="D19" i="3"/>
  <c r="C19" i="3"/>
  <c r="B19" i="3"/>
  <c r="B19" i="4" s="1"/>
  <c r="A19" i="3"/>
  <c r="A19" i="4" s="1"/>
  <c r="H18" i="3"/>
  <c r="C18" i="4" s="1"/>
  <c r="G18" i="3"/>
  <c r="F18" i="3"/>
  <c r="E18" i="3"/>
  <c r="C18" i="3"/>
  <c r="D18" i="3" s="1"/>
  <c r="B18" i="3"/>
  <c r="B18" i="4" s="1"/>
  <c r="A18" i="3"/>
  <c r="A18" i="4" s="1"/>
  <c r="H17" i="3"/>
  <c r="C17" i="4" s="1"/>
  <c r="G17" i="3"/>
  <c r="F17" i="3"/>
  <c r="E17" i="3"/>
  <c r="C17" i="3"/>
  <c r="D17" i="3" s="1"/>
  <c r="B17" i="3"/>
  <c r="B17" i="4" s="1"/>
  <c r="A17" i="3"/>
  <c r="A17" i="4" s="1"/>
  <c r="H16" i="3"/>
  <c r="G16" i="3"/>
  <c r="F16" i="3"/>
  <c r="E16" i="3"/>
  <c r="C16" i="3"/>
  <c r="D16" i="3" s="1"/>
  <c r="B16" i="4" s="1"/>
  <c r="B16" i="3"/>
  <c r="A16" i="3"/>
  <c r="A16" i="4" s="1"/>
  <c r="H15" i="3"/>
  <c r="C15" i="4" s="1"/>
  <c r="D15" i="4" s="1"/>
  <c r="G15" i="3"/>
  <c r="F15" i="3"/>
  <c r="E15" i="3"/>
  <c r="D15" i="3"/>
  <c r="C15" i="3"/>
  <c r="B15" i="3"/>
  <c r="A15" i="3"/>
  <c r="H14" i="3"/>
  <c r="G14" i="3"/>
  <c r="F14" i="3"/>
  <c r="E14" i="3"/>
  <c r="C14" i="3"/>
  <c r="D14" i="3" s="1"/>
  <c r="B14" i="3"/>
  <c r="A14" i="3"/>
  <c r="A14" i="4" s="1"/>
  <c r="H13" i="3"/>
  <c r="G13" i="3"/>
  <c r="F13" i="3"/>
  <c r="E13" i="3"/>
  <c r="D13" i="3"/>
  <c r="B13" i="4" s="1"/>
  <c r="C13" i="3"/>
  <c r="B13" i="3"/>
  <c r="A13" i="3"/>
  <c r="A13" i="4" s="1"/>
  <c r="H12" i="3"/>
  <c r="G12" i="3"/>
  <c r="F12" i="3"/>
  <c r="E12" i="3"/>
  <c r="C12" i="3"/>
  <c r="D12" i="3" s="1"/>
  <c r="B12" i="4" s="1"/>
  <c r="B12" i="3"/>
  <c r="A12" i="3"/>
  <c r="A12" i="4" s="1"/>
  <c r="H11" i="3"/>
  <c r="C11" i="4" s="1"/>
  <c r="D11" i="4" s="1"/>
  <c r="G11" i="3"/>
  <c r="F11" i="3"/>
  <c r="E11" i="3"/>
  <c r="C11" i="3"/>
  <c r="D11" i="3" s="1"/>
  <c r="B11" i="3"/>
  <c r="B11" i="4" s="1"/>
  <c r="A11" i="3"/>
  <c r="A11" i="4" s="1"/>
  <c r="H10" i="3"/>
  <c r="G10" i="3"/>
  <c r="F10" i="3"/>
  <c r="E10" i="3"/>
  <c r="D10" i="3"/>
  <c r="C10" i="3"/>
  <c r="B10" i="3"/>
  <c r="B10" i="4" s="1"/>
  <c r="A10" i="3"/>
  <c r="A10" i="4" s="1"/>
  <c r="H9" i="3"/>
  <c r="G9" i="3"/>
  <c r="F9" i="3"/>
  <c r="E9" i="3"/>
  <c r="D9" i="3"/>
  <c r="B9" i="4" s="1"/>
  <c r="C9" i="3"/>
  <c r="B9" i="3"/>
  <c r="A9" i="3"/>
  <c r="H8" i="3"/>
  <c r="C8" i="4" s="1"/>
  <c r="D8" i="4" s="1"/>
  <c r="G8" i="3"/>
  <c r="F8" i="3"/>
  <c r="E8" i="3"/>
  <c r="C8" i="3"/>
  <c r="D8" i="3" s="1"/>
  <c r="B8" i="4" s="1"/>
  <c r="B8" i="3"/>
  <c r="A8" i="3"/>
  <c r="H7" i="3"/>
  <c r="G7" i="3"/>
  <c r="F7" i="3"/>
  <c r="E7" i="3"/>
  <c r="C7" i="3"/>
  <c r="D7" i="3" s="1"/>
  <c r="B7" i="3"/>
  <c r="A7" i="3"/>
  <c r="A7" i="4" s="1"/>
  <c r="H6" i="3"/>
  <c r="C6" i="4" s="1"/>
  <c r="D6" i="4" s="1"/>
  <c r="G6" i="4" s="1"/>
  <c r="H6" i="4" s="1"/>
  <c r="G6" i="3"/>
  <c r="F6" i="3"/>
  <c r="E6" i="3"/>
  <c r="D6" i="3"/>
  <c r="C6" i="3"/>
  <c r="B6" i="3"/>
  <c r="A6" i="3"/>
  <c r="O16" i="14" l="1"/>
  <c r="P16" i="14"/>
  <c r="G33" i="14"/>
  <c r="N34" i="14"/>
  <c r="O69" i="14"/>
  <c r="P69" i="14"/>
  <c r="G51" i="14"/>
  <c r="P51" i="14" s="1"/>
  <c r="N52" i="14"/>
  <c r="O62" i="14"/>
  <c r="P62" i="14"/>
  <c r="G26" i="14"/>
  <c r="P26" i="14" s="1"/>
  <c r="N27" i="14"/>
  <c r="P27" i="14"/>
  <c r="P90" i="14"/>
  <c r="I90" i="14"/>
  <c r="R90" i="14" s="1"/>
  <c r="G98" i="14"/>
  <c r="P98" i="14" s="1"/>
  <c r="P99" i="14"/>
  <c r="N104" i="14"/>
  <c r="G103" i="14"/>
  <c r="P82" i="14"/>
  <c r="O82" i="14"/>
  <c r="T83" i="14" s="1"/>
  <c r="P44" i="14"/>
  <c r="G3" i="14"/>
  <c r="P3" i="14" s="1"/>
  <c r="N4" i="14"/>
  <c r="T4" i="14" s="1"/>
  <c r="P4" i="14"/>
  <c r="G85" i="14"/>
  <c r="O8" i="14"/>
  <c r="P8" i="14"/>
  <c r="G19" i="14"/>
  <c r="P19" i="14" s="1"/>
  <c r="N20" i="14"/>
  <c r="M20" i="14"/>
  <c r="M10" i="14"/>
  <c r="G9" i="14"/>
  <c r="P9" i="14" s="1"/>
  <c r="N10" i="14"/>
  <c r="F11" i="14"/>
  <c r="M11" i="14" s="1"/>
  <c r="G53" i="14"/>
  <c r="N54" i="14"/>
  <c r="F55" i="14"/>
  <c r="M55" i="14" s="1"/>
  <c r="O76" i="14"/>
  <c r="P76" i="14"/>
  <c r="N9" i="14"/>
  <c r="P73" i="14"/>
  <c r="T74" i="14"/>
  <c r="O30" i="14"/>
  <c r="P30" i="14"/>
  <c r="G46" i="14"/>
  <c r="P46" i="14" s="1"/>
  <c r="N47" i="14"/>
  <c r="P47" i="14"/>
  <c r="T87" i="14"/>
  <c r="G58" i="14"/>
  <c r="P58" i="14" s="1"/>
  <c r="N59" i="14"/>
  <c r="P86" i="14"/>
  <c r="P111" i="14"/>
  <c r="N25" i="14"/>
  <c r="N111" i="14"/>
  <c r="G110" i="14"/>
  <c r="T102" i="14"/>
  <c r="P23" i="14"/>
  <c r="P50" i="14"/>
  <c r="P104" i="14"/>
  <c r="M13" i="14"/>
  <c r="P75" i="14"/>
  <c r="O6" i="14"/>
  <c r="P6" i="14"/>
  <c r="F16" i="14"/>
  <c r="M16" i="14" s="1"/>
  <c r="F26" i="14"/>
  <c r="M26" i="14" s="1"/>
  <c r="M36" i="14"/>
  <c r="N43" i="14"/>
  <c r="T43" i="14" s="1"/>
  <c r="O50" i="14"/>
  <c r="T80" i="14"/>
  <c r="H90" i="14"/>
  <c r="F107" i="14"/>
  <c r="M107" i="14" s="1"/>
  <c r="P109" i="14"/>
  <c r="M90" i="14"/>
  <c r="T90" i="14" s="1"/>
  <c r="P18" i="14"/>
  <c r="M9" i="14"/>
  <c r="H24" i="14"/>
  <c r="O66" i="14"/>
  <c r="P66" i="14"/>
  <c r="O22" i="14"/>
  <c r="P22" i="14"/>
  <c r="H51" i="14"/>
  <c r="I51" i="14" s="1"/>
  <c r="R51" i="14" s="1"/>
  <c r="T64" i="14"/>
  <c r="O78" i="14"/>
  <c r="P78" i="14"/>
  <c r="F98" i="14"/>
  <c r="M98" i="14" s="1"/>
  <c r="P70" i="14"/>
  <c r="N22" i="14"/>
  <c r="O34" i="14"/>
  <c r="P34" i="14"/>
  <c r="O41" i="14"/>
  <c r="N49" i="14"/>
  <c r="F105" i="14"/>
  <c r="M105" i="14" s="1"/>
  <c r="N87" i="14"/>
  <c r="M38" i="14"/>
  <c r="F12" i="14"/>
  <c r="M12" i="14" s="1"/>
  <c r="M22" i="14"/>
  <c r="P25" i="14"/>
  <c r="F44" i="14"/>
  <c r="M44" i="14" s="1"/>
  <c r="O64" i="14"/>
  <c r="P64" i="14"/>
  <c r="T76" i="14"/>
  <c r="P79" i="14"/>
  <c r="F91" i="14"/>
  <c r="M91" i="14" s="1"/>
  <c r="M97" i="14"/>
  <c r="P89" i="14"/>
  <c r="N91" i="14"/>
  <c r="O108" i="14"/>
  <c r="P108" i="14"/>
  <c r="N30" i="14"/>
  <c r="T30" i="14" s="1"/>
  <c r="M49" i="14"/>
  <c r="P54" i="14"/>
  <c r="N84" i="14"/>
  <c r="G96" i="14"/>
  <c r="N99" i="14"/>
  <c r="O106" i="14"/>
  <c r="P106" i="14"/>
  <c r="N109" i="14"/>
  <c r="N73" i="14"/>
  <c r="G5" i="14"/>
  <c r="N6" i="14"/>
  <c r="F7" i="14"/>
  <c r="M7" i="14" s="1"/>
  <c r="N15" i="14"/>
  <c r="M79" i="14"/>
  <c r="O92" i="14"/>
  <c r="P92" i="14"/>
  <c r="N106" i="14"/>
  <c r="P59" i="14"/>
  <c r="G12" i="14"/>
  <c r="N13" i="14"/>
  <c r="M15" i="14"/>
  <c r="O40" i="14"/>
  <c r="P40" i="14"/>
  <c r="F52" i="14"/>
  <c r="M52" i="14" s="1"/>
  <c r="G67" i="14"/>
  <c r="P67" i="14" s="1"/>
  <c r="P77" i="14"/>
  <c r="M84" i="14"/>
  <c r="G94" i="14"/>
  <c r="P94" i="14" s="1"/>
  <c r="N95" i="14"/>
  <c r="N82" i="14"/>
  <c r="M51" i="14"/>
  <c r="F17" i="14"/>
  <c r="M17" i="14" s="1"/>
  <c r="F27" i="14"/>
  <c r="M27" i="14" s="1"/>
  <c r="F47" i="14"/>
  <c r="M47" i="14" s="1"/>
  <c r="F56" i="14"/>
  <c r="M56" i="14" s="1"/>
  <c r="F63" i="14"/>
  <c r="M63" i="14" s="1"/>
  <c r="F70" i="14"/>
  <c r="M70" i="14" s="1"/>
  <c r="F104" i="14"/>
  <c r="F77" i="14"/>
  <c r="M77" i="14" s="1"/>
  <c r="F93" i="14"/>
  <c r="M93" i="14" s="1"/>
  <c r="F34" i="14"/>
  <c r="M34" i="14" s="1"/>
  <c r="F54" i="14"/>
  <c r="M54" i="14" s="1"/>
  <c r="F73" i="14"/>
  <c r="M73" i="14" s="1"/>
  <c r="F82" i="14"/>
  <c r="M82" i="14" s="1"/>
  <c r="F111" i="14"/>
  <c r="P20" i="14"/>
  <c r="H21" i="14"/>
  <c r="H23" i="14"/>
  <c r="I23" i="14" s="1"/>
  <c r="R23" i="14" s="1"/>
  <c r="H54" i="14"/>
  <c r="I54" i="14" s="1"/>
  <c r="R54" i="14" s="1"/>
  <c r="H37" i="14"/>
  <c r="I37" i="14" s="1"/>
  <c r="R37" i="14" s="1"/>
  <c r="T37" i="14" s="1"/>
  <c r="H7" i="14"/>
  <c r="H9" i="14"/>
  <c r="I18" i="14"/>
  <c r="R18" i="14" s="1"/>
  <c r="H14" i="14"/>
  <c r="H16" i="14"/>
  <c r="I16" i="14" s="1"/>
  <c r="R16" i="14" s="1"/>
  <c r="H41" i="14"/>
  <c r="G28" i="14"/>
  <c r="P28" i="14" s="1"/>
  <c r="O51" i="14"/>
  <c r="H29" i="14"/>
  <c r="I29" i="14" s="1"/>
  <c r="R29" i="14" s="1"/>
  <c r="H33" i="14"/>
  <c r="I33" i="14" s="1"/>
  <c r="R33" i="14" s="1"/>
  <c r="I41" i="14"/>
  <c r="R41" i="14" s="1"/>
  <c r="T41" i="14" s="1"/>
  <c r="G10" i="14"/>
  <c r="P10" i="14" s="1"/>
  <c r="G14" i="14"/>
  <c r="P14" i="14" s="1"/>
  <c r="H20" i="14"/>
  <c r="I20" i="14" s="1"/>
  <c r="R20" i="14" s="1"/>
  <c r="O32" i="14"/>
  <c r="O43" i="14"/>
  <c r="O46" i="14"/>
  <c r="F50" i="14"/>
  <c r="M50" i="14" s="1"/>
  <c r="G24" i="14"/>
  <c r="H30" i="14"/>
  <c r="I30" i="14" s="1"/>
  <c r="R30" i="14" s="1"/>
  <c r="H40" i="14"/>
  <c r="I40" i="14" s="1"/>
  <c r="R40" i="14" s="1"/>
  <c r="T40" i="14" s="1"/>
  <c r="H47" i="14"/>
  <c r="O3" i="14"/>
  <c r="H15" i="14"/>
  <c r="I15" i="14" s="1"/>
  <c r="R15" i="14" s="1"/>
  <c r="H19" i="14"/>
  <c r="I19" i="14" s="1"/>
  <c r="R19" i="14" s="1"/>
  <c r="T19" i="14" s="1"/>
  <c r="O37" i="14"/>
  <c r="G49" i="14"/>
  <c r="P49" i="14" s="1"/>
  <c r="F53" i="14"/>
  <c r="M53" i="14" s="1"/>
  <c r="O54" i="14"/>
  <c r="F61" i="14"/>
  <c r="M61" i="14" s="1"/>
  <c r="H5" i="14"/>
  <c r="I5" i="14" s="1"/>
  <c r="R5" i="14" s="1"/>
  <c r="G52" i="14"/>
  <c r="P52" i="14" s="1"/>
  <c r="O4" i="14"/>
  <c r="O19" i="14"/>
  <c r="G31" i="14"/>
  <c r="P31" i="14" s="1"/>
  <c r="F35" i="14"/>
  <c r="M35" i="14" s="1"/>
  <c r="O56" i="14"/>
  <c r="F65" i="14"/>
  <c r="M65" i="14" s="1"/>
  <c r="H70" i="14"/>
  <c r="I70" i="14" s="1"/>
  <c r="R70" i="14" s="1"/>
  <c r="G17" i="14"/>
  <c r="P17" i="14" s="1"/>
  <c r="G21" i="14"/>
  <c r="P21" i="14" s="1"/>
  <c r="H83" i="14"/>
  <c r="I83" i="14" s="1"/>
  <c r="R83" i="14" s="1"/>
  <c r="H110" i="14"/>
  <c r="F67" i="14"/>
  <c r="M67" i="14" s="1"/>
  <c r="G91" i="14"/>
  <c r="P91" i="14" s="1"/>
  <c r="H28" i="14"/>
  <c r="G35" i="14"/>
  <c r="P35" i="14" s="1"/>
  <c r="H43" i="14"/>
  <c r="I43" i="14" s="1"/>
  <c r="R43" i="14" s="1"/>
  <c r="H46" i="14"/>
  <c r="O61" i="14"/>
  <c r="O39" i="14"/>
  <c r="O42" i="14"/>
  <c r="H74" i="14"/>
  <c r="I74" i="14" s="1"/>
  <c r="R74" i="14" s="1"/>
  <c r="H87" i="14"/>
  <c r="I87" i="14" s="1"/>
  <c r="R87" i="14" s="1"/>
  <c r="H18" i="14"/>
  <c r="H26" i="14"/>
  <c r="G7" i="14"/>
  <c r="P7" i="14" s="1"/>
  <c r="H13" i="14"/>
  <c r="I13" i="14" s="1"/>
  <c r="R13" i="14" s="1"/>
  <c r="O23" i="14"/>
  <c r="O25" i="14"/>
  <c r="H31" i="14"/>
  <c r="F48" i="14"/>
  <c r="M48" i="14" s="1"/>
  <c r="H55" i="14"/>
  <c r="F60" i="14"/>
  <c r="M60" i="14" s="1"/>
  <c r="H38" i="14"/>
  <c r="I38" i="14" s="1"/>
  <c r="R38" i="14" s="1"/>
  <c r="H80" i="14"/>
  <c r="I80" i="14" s="1"/>
  <c r="R80" i="14" s="1"/>
  <c r="O18" i="14"/>
  <c r="O38" i="14"/>
  <c r="O45" i="14"/>
  <c r="H49" i="14"/>
  <c r="G55" i="14"/>
  <c r="P55" i="14" s="1"/>
  <c r="O81" i="14"/>
  <c r="H4" i="14"/>
  <c r="I4" i="14" s="1"/>
  <c r="R4" i="14" s="1"/>
  <c r="H8" i="14"/>
  <c r="I8" i="14" s="1"/>
  <c r="R8" i="14" s="1"/>
  <c r="H12" i="14"/>
  <c r="I12" i="14" s="1"/>
  <c r="R12" i="14" s="1"/>
  <c r="J3" i="14"/>
  <c r="J4" i="14" s="1"/>
  <c r="J5" i="14" s="1"/>
  <c r="J6" i="14" s="1"/>
  <c r="J7" i="14" s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H3" i="14"/>
  <c r="O11" i="14"/>
  <c r="H17" i="14"/>
  <c r="H42" i="14"/>
  <c r="I42" i="14" s="1"/>
  <c r="R42" i="14" s="1"/>
  <c r="T42" i="14" s="1"/>
  <c r="H45" i="14"/>
  <c r="I45" i="14" s="1"/>
  <c r="R45" i="14" s="1"/>
  <c r="T45" i="14" s="1"/>
  <c r="O48" i="14"/>
  <c r="H73" i="14"/>
  <c r="I73" i="14" s="1"/>
  <c r="R73" i="14" s="1"/>
  <c r="G84" i="14"/>
  <c r="P84" i="14" s="1"/>
  <c r="O70" i="14"/>
  <c r="F78" i="14"/>
  <c r="M78" i="14" s="1"/>
  <c r="H98" i="14"/>
  <c r="I98" i="14" s="1"/>
  <c r="R98" i="14" s="1"/>
  <c r="H109" i="14"/>
  <c r="I109" i="14" s="1"/>
  <c r="R109" i="14" s="1"/>
  <c r="O87" i="14"/>
  <c r="H103" i="14"/>
  <c r="F106" i="14"/>
  <c r="M106" i="14" s="1"/>
  <c r="O109" i="14"/>
  <c r="O101" i="14"/>
  <c r="H39" i="14"/>
  <c r="I39" i="14" s="1"/>
  <c r="R39" i="14" s="1"/>
  <c r="T39" i="14" s="1"/>
  <c r="I47" i="14"/>
  <c r="R47" i="14" s="1"/>
  <c r="F62" i="14"/>
  <c r="M62" i="14" s="1"/>
  <c r="O77" i="14"/>
  <c r="H81" i="14"/>
  <c r="I81" i="14" s="1"/>
  <c r="R81" i="14" s="1"/>
  <c r="T81" i="14" s="1"/>
  <c r="H84" i="14"/>
  <c r="H89" i="14"/>
  <c r="I89" i="14" s="1"/>
  <c r="R89" i="14" s="1"/>
  <c r="F92" i="14"/>
  <c r="M92" i="14" s="1"/>
  <c r="O95" i="14"/>
  <c r="F100" i="14"/>
  <c r="M100" i="14" s="1"/>
  <c r="O74" i="14"/>
  <c r="F86" i="14"/>
  <c r="M86" i="14" s="1"/>
  <c r="O105" i="14"/>
  <c r="F58" i="14"/>
  <c r="M58" i="14" s="1"/>
  <c r="F59" i="14"/>
  <c r="M59" i="14" s="1"/>
  <c r="O60" i="14"/>
  <c r="F72" i="14"/>
  <c r="M72" i="14" s="1"/>
  <c r="O83" i="14"/>
  <c r="H96" i="14"/>
  <c r="F99" i="14"/>
  <c r="M99" i="14" s="1"/>
  <c r="O102" i="14"/>
  <c r="O112" i="14"/>
  <c r="H64" i="14"/>
  <c r="H79" i="14"/>
  <c r="I79" i="14" s="1"/>
  <c r="R79" i="14" s="1"/>
  <c r="H88" i="14"/>
  <c r="I88" i="14" s="1"/>
  <c r="R88" i="14" s="1"/>
  <c r="T88" i="14" s="1"/>
  <c r="H107" i="14"/>
  <c r="I107" i="14" s="1"/>
  <c r="R107" i="14" s="1"/>
  <c r="F69" i="14"/>
  <c r="M69" i="14" s="1"/>
  <c r="O80" i="14"/>
  <c r="H102" i="14"/>
  <c r="I102" i="14" s="1"/>
  <c r="R102" i="14" s="1"/>
  <c r="H105" i="14"/>
  <c r="I105" i="14" s="1"/>
  <c r="R105" i="14" s="1"/>
  <c r="F57" i="14"/>
  <c r="M57" i="14" s="1"/>
  <c r="H82" i="14"/>
  <c r="I82" i="14" s="1"/>
  <c r="R82" i="14" s="1"/>
  <c r="F85" i="14"/>
  <c r="M85" i="14" s="1"/>
  <c r="O88" i="14"/>
  <c r="T89" i="14" s="1"/>
  <c r="O63" i="14"/>
  <c r="O98" i="14"/>
  <c r="H56" i="14"/>
  <c r="I56" i="14" s="1"/>
  <c r="R56" i="14" s="1"/>
  <c r="I64" i="14"/>
  <c r="R64" i="14" s="1"/>
  <c r="F71" i="14"/>
  <c r="M71" i="14" s="1"/>
  <c r="H76" i="14"/>
  <c r="I76" i="14" s="1"/>
  <c r="R76" i="14" s="1"/>
  <c r="F68" i="14"/>
  <c r="M68" i="14" s="1"/>
  <c r="F75" i="14"/>
  <c r="M75" i="14" s="1"/>
  <c r="O90" i="14"/>
  <c r="O97" i="14"/>
  <c r="O104" i="14"/>
  <c r="O111" i="14"/>
  <c r="H112" i="14"/>
  <c r="I112" i="14" s="1"/>
  <c r="R112" i="14" s="1"/>
  <c r="T112" i="14" s="1"/>
  <c r="F66" i="14"/>
  <c r="M66" i="14" s="1"/>
  <c r="F94" i="14"/>
  <c r="M94" i="14" s="1"/>
  <c r="F101" i="14"/>
  <c r="M101" i="14" s="1"/>
  <c r="F108" i="14"/>
  <c r="M108" i="14" s="1"/>
  <c r="O58" i="14"/>
  <c r="O65" i="14"/>
  <c r="O72" i="14"/>
  <c r="O79" i="14"/>
  <c r="O86" i="14"/>
  <c r="O93" i="14"/>
  <c r="O100" i="14"/>
  <c r="O107" i="14"/>
  <c r="P93" i="13"/>
  <c r="Q93" i="13" s="1"/>
  <c r="H98" i="13"/>
  <c r="O37" i="13"/>
  <c r="Q108" i="13"/>
  <c r="O43" i="13"/>
  <c r="P35" i="13"/>
  <c r="O27" i="13"/>
  <c r="P14" i="13"/>
  <c r="Q14" i="13" s="1"/>
  <c r="P102" i="13"/>
  <c r="Q102" i="13" s="1"/>
  <c r="O101" i="13"/>
  <c r="P56" i="13"/>
  <c r="Q56" i="13" s="1"/>
  <c r="O55" i="13"/>
  <c r="P88" i="13"/>
  <c r="Q88" i="13" s="1"/>
  <c r="O87" i="13"/>
  <c r="P22" i="13"/>
  <c r="Q22" i="13" s="1"/>
  <c r="O21" i="13"/>
  <c r="Q105" i="13"/>
  <c r="O29" i="13"/>
  <c r="P30" i="13"/>
  <c r="Q30" i="13" s="1"/>
  <c r="M82" i="13"/>
  <c r="H82" i="13"/>
  <c r="H111" i="13"/>
  <c r="I111" i="13" s="1"/>
  <c r="R111" i="13" s="1"/>
  <c r="S111" i="13" s="1"/>
  <c r="M111" i="13"/>
  <c r="Q18" i="13"/>
  <c r="O39" i="13"/>
  <c r="P40" i="13"/>
  <c r="Q40" i="13" s="1"/>
  <c r="O71" i="13"/>
  <c r="P72" i="13"/>
  <c r="Q72" i="13" s="1"/>
  <c r="O103" i="13"/>
  <c r="P104" i="13"/>
  <c r="Q104" i="13" s="1"/>
  <c r="P50" i="13"/>
  <c r="Q50" i="13" s="1"/>
  <c r="P26" i="13"/>
  <c r="Q26" i="13" s="1"/>
  <c r="N74" i="13"/>
  <c r="F105" i="13"/>
  <c r="H105" i="13" s="1"/>
  <c r="I105" i="13" s="1"/>
  <c r="R105" i="13" s="1"/>
  <c r="Q73" i="13"/>
  <c r="M87" i="13"/>
  <c r="Q60" i="13"/>
  <c r="P20" i="13"/>
  <c r="Q20" i="13" s="1"/>
  <c r="N66" i="13"/>
  <c r="M55" i="13"/>
  <c r="O81" i="13"/>
  <c r="Q89" i="13"/>
  <c r="N10" i="13"/>
  <c r="P47" i="13"/>
  <c r="N61" i="13"/>
  <c r="Q35" i="13"/>
  <c r="P92" i="13"/>
  <c r="Q92" i="13" s="1"/>
  <c r="Q103" i="13"/>
  <c r="P103" i="13"/>
  <c r="Q28" i="13"/>
  <c r="M71" i="13"/>
  <c r="Q57" i="13"/>
  <c r="O2" i="13"/>
  <c r="N2" i="13"/>
  <c r="M2" i="13"/>
  <c r="H7" i="13"/>
  <c r="M7" i="13"/>
  <c r="O10" i="13"/>
  <c r="P11" i="13"/>
  <c r="Q11" i="13" s="1"/>
  <c r="M18" i="13"/>
  <c r="H18" i="13"/>
  <c r="I18" i="13" s="1"/>
  <c r="P17" i="13"/>
  <c r="Q17" i="13" s="1"/>
  <c r="O16" i="13"/>
  <c r="O26" i="13"/>
  <c r="P27" i="13"/>
  <c r="Q27" i="13" s="1"/>
  <c r="M10" i="13"/>
  <c r="H10" i="13"/>
  <c r="I10" i="13" s="1"/>
  <c r="R10" i="13" s="1"/>
  <c r="M13" i="13"/>
  <c r="H13" i="13"/>
  <c r="I13" i="13" s="1"/>
  <c r="H21" i="13"/>
  <c r="I21" i="13" s="1"/>
  <c r="R21" i="13" s="1"/>
  <c r="M21" i="13"/>
  <c r="P25" i="13"/>
  <c r="Q25" i="13" s="1"/>
  <c r="O24" i="13"/>
  <c r="P9" i="13"/>
  <c r="Q9" i="13" s="1"/>
  <c r="O8" i="13"/>
  <c r="M5" i="13"/>
  <c r="H5" i="13"/>
  <c r="M16" i="13"/>
  <c r="H16" i="13"/>
  <c r="I16" i="13" s="1"/>
  <c r="H11" i="13"/>
  <c r="I11" i="13" s="1"/>
  <c r="M11" i="13"/>
  <c r="P12" i="13"/>
  <c r="Q12" i="13" s="1"/>
  <c r="O11" i="13"/>
  <c r="M19" i="13"/>
  <c r="H19" i="13"/>
  <c r="M58" i="13"/>
  <c r="H58" i="13"/>
  <c r="I58" i="13" s="1"/>
  <c r="P4" i="13"/>
  <c r="Q4" i="13" s="1"/>
  <c r="O3" i="13"/>
  <c r="H8" i="13"/>
  <c r="I8" i="13" s="1"/>
  <c r="M8" i="13"/>
  <c r="O22" i="13"/>
  <c r="P23" i="13"/>
  <c r="Q23" i="13" s="1"/>
  <c r="O14" i="13"/>
  <c r="I14" i="13"/>
  <c r="R14" i="13" s="1"/>
  <c r="P15" i="13"/>
  <c r="Q15" i="13" s="1"/>
  <c r="J3" i="13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H3" i="13"/>
  <c r="I3" i="13" s="1"/>
  <c r="M3" i="13"/>
  <c r="H22" i="13"/>
  <c r="I22" i="13" s="1"/>
  <c r="R22" i="13" s="1"/>
  <c r="M22" i="13"/>
  <c r="M36" i="13"/>
  <c r="H36" i="13"/>
  <c r="M74" i="13"/>
  <c r="H74" i="13"/>
  <c r="I74" i="13" s="1"/>
  <c r="P13" i="13"/>
  <c r="Q13" i="13" s="1"/>
  <c r="O12" i="13"/>
  <c r="M27" i="13"/>
  <c r="H27" i="13"/>
  <c r="M6" i="13"/>
  <c r="H6" i="13"/>
  <c r="I6" i="13" s="1"/>
  <c r="M9" i="13"/>
  <c r="H9" i="13"/>
  <c r="I9" i="13" s="1"/>
  <c r="P43" i="13"/>
  <c r="Q43" i="13" s="1"/>
  <c r="I42" i="13"/>
  <c r="R42" i="13" s="1"/>
  <c r="O42" i="13"/>
  <c r="M17" i="13"/>
  <c r="H17" i="13"/>
  <c r="I17" i="13" s="1"/>
  <c r="R17" i="13" s="1"/>
  <c r="P5" i="13"/>
  <c r="Q5" i="13" s="1"/>
  <c r="O4" i="13"/>
  <c r="P16" i="13"/>
  <c r="Q16" i="13" s="1"/>
  <c r="O15" i="13"/>
  <c r="M25" i="13"/>
  <c r="H25" i="13"/>
  <c r="I25" i="13" s="1"/>
  <c r="R25" i="13" s="1"/>
  <c r="O6" i="13"/>
  <c r="P7" i="13"/>
  <c r="Q7" i="13" s="1"/>
  <c r="M12" i="13"/>
  <c r="H12" i="13"/>
  <c r="I12" i="13" s="1"/>
  <c r="R12" i="13" s="1"/>
  <c r="I7" i="13"/>
  <c r="R7" i="13" s="1"/>
  <c r="P8" i="13"/>
  <c r="Q8" i="13" s="1"/>
  <c r="O7" i="13"/>
  <c r="H15" i="13"/>
  <c r="I15" i="13" s="1"/>
  <c r="R15" i="13" s="1"/>
  <c r="M15" i="13"/>
  <c r="O18" i="13"/>
  <c r="P19" i="13"/>
  <c r="Q19" i="13" s="1"/>
  <c r="M23" i="13"/>
  <c r="H23" i="13"/>
  <c r="I23" i="13" s="1"/>
  <c r="R23" i="13" s="1"/>
  <c r="P29" i="13"/>
  <c r="Q29" i="13" s="1"/>
  <c r="O28" i="13"/>
  <c r="H29" i="13"/>
  <c r="I29" i="13" s="1"/>
  <c r="H37" i="13"/>
  <c r="I37" i="13" s="1"/>
  <c r="R37" i="13" s="1"/>
  <c r="M37" i="13"/>
  <c r="M14" i="13"/>
  <c r="H14" i="13"/>
  <c r="M4" i="13"/>
  <c r="H4" i="13"/>
  <c r="I4" i="13" s="1"/>
  <c r="M90" i="13"/>
  <c r="H90" i="13"/>
  <c r="I90" i="13" s="1"/>
  <c r="R90" i="13" s="1"/>
  <c r="N36" i="13"/>
  <c r="M47" i="13"/>
  <c r="M52" i="13"/>
  <c r="H57" i="13"/>
  <c r="I57" i="13" s="1"/>
  <c r="R57" i="13" s="1"/>
  <c r="M57" i="13"/>
  <c r="M77" i="13"/>
  <c r="H77" i="13"/>
  <c r="I77" i="13" s="1"/>
  <c r="R77" i="13" s="1"/>
  <c r="O23" i="13"/>
  <c r="Q47" i="13"/>
  <c r="P58" i="13"/>
  <c r="Q58" i="13" s="1"/>
  <c r="O57" i="13"/>
  <c r="P64" i="13"/>
  <c r="Q64" i="13" s="1"/>
  <c r="P66" i="13"/>
  <c r="Q66" i="13" s="1"/>
  <c r="P94" i="13"/>
  <c r="Q94" i="13" s="1"/>
  <c r="O93" i="13"/>
  <c r="F95" i="13"/>
  <c r="N100" i="13"/>
  <c r="H110" i="13"/>
  <c r="I110" i="13" s="1"/>
  <c r="R110" i="13" s="1"/>
  <c r="M110" i="13"/>
  <c r="H44" i="13"/>
  <c r="I44" i="13" s="1"/>
  <c r="R44" i="13" s="1"/>
  <c r="H47" i="13"/>
  <c r="I47" i="13" s="1"/>
  <c r="R47" i="13" s="1"/>
  <c r="M49" i="13"/>
  <c r="M61" i="13"/>
  <c r="H61" i="13"/>
  <c r="I61" i="13" s="1"/>
  <c r="P78" i="13"/>
  <c r="Q78" i="13" s="1"/>
  <c r="O77" i="13"/>
  <c r="M79" i="13"/>
  <c r="M81" i="13"/>
  <c r="P86" i="13"/>
  <c r="Q86" i="13" s="1"/>
  <c r="O85" i="13"/>
  <c r="H88" i="13"/>
  <c r="I88" i="13" s="1"/>
  <c r="R88" i="13" s="1"/>
  <c r="P91" i="13"/>
  <c r="Q91" i="13" s="1"/>
  <c r="O90" i="13"/>
  <c r="P106" i="13"/>
  <c r="Q106" i="13" s="1"/>
  <c r="O105" i="13"/>
  <c r="F41" i="13"/>
  <c r="N51" i="13"/>
  <c r="M63" i="13"/>
  <c r="M65" i="13"/>
  <c r="P70" i="13"/>
  <c r="Q70" i="13" s="1"/>
  <c r="O69" i="13"/>
  <c r="H72" i="13"/>
  <c r="I72" i="13" s="1"/>
  <c r="R72" i="13" s="1"/>
  <c r="P75" i="13"/>
  <c r="Q75" i="13" s="1"/>
  <c r="O74" i="13"/>
  <c r="N85" i="13"/>
  <c r="P3" i="13"/>
  <c r="Q3" i="13" s="1"/>
  <c r="P24" i="13"/>
  <c r="Q24" i="13" s="1"/>
  <c r="P42" i="13"/>
  <c r="Q42" i="13" s="1"/>
  <c r="O41" i="13"/>
  <c r="P45" i="13"/>
  <c r="Q45" i="13" s="1"/>
  <c r="P62" i="13"/>
  <c r="Q62" i="13" s="1"/>
  <c r="O61" i="13"/>
  <c r="N69" i="13"/>
  <c r="H79" i="13"/>
  <c r="I79" i="13" s="1"/>
  <c r="R79" i="13" s="1"/>
  <c r="O98" i="13"/>
  <c r="I98" i="13"/>
  <c r="R98" i="13" s="1"/>
  <c r="P99" i="13"/>
  <c r="Q99" i="13" s="1"/>
  <c r="M108" i="13"/>
  <c r="H108" i="13"/>
  <c r="I108" i="13" s="1"/>
  <c r="I5" i="13"/>
  <c r="R5" i="13" s="1"/>
  <c r="P54" i="13"/>
  <c r="Q54" i="13" s="1"/>
  <c r="O53" i="13"/>
  <c r="H56" i="13"/>
  <c r="I56" i="13" s="1"/>
  <c r="R56" i="13" s="1"/>
  <c r="P59" i="13"/>
  <c r="Q59" i="13" s="1"/>
  <c r="O58" i="13"/>
  <c r="H63" i="13"/>
  <c r="I63" i="13" s="1"/>
  <c r="R63" i="13" s="1"/>
  <c r="F83" i="13"/>
  <c r="M85" i="13"/>
  <c r="H85" i="13"/>
  <c r="I85" i="13" s="1"/>
  <c r="M92" i="13"/>
  <c r="H92" i="13"/>
  <c r="I92" i="13" s="1"/>
  <c r="N96" i="13"/>
  <c r="H100" i="13"/>
  <c r="M100" i="13"/>
  <c r="F20" i="13"/>
  <c r="M44" i="13"/>
  <c r="N48" i="13"/>
  <c r="F51" i="13"/>
  <c r="N53" i="13"/>
  <c r="O65" i="13"/>
  <c r="F67" i="13"/>
  <c r="Q67" i="13"/>
  <c r="M69" i="13"/>
  <c r="M76" i="13"/>
  <c r="H76" i="13"/>
  <c r="I76" i="13" s="1"/>
  <c r="M88" i="13"/>
  <c r="P33" i="13"/>
  <c r="Q33" i="13" s="1"/>
  <c r="P39" i="13"/>
  <c r="Q39" i="13" s="1"/>
  <c r="O38" i="13"/>
  <c r="H40" i="13"/>
  <c r="I40" i="13" s="1"/>
  <c r="R40" i="13" s="1"/>
  <c r="M43" i="13"/>
  <c r="H43" i="13"/>
  <c r="I43" i="13" s="1"/>
  <c r="R43" i="13" s="1"/>
  <c r="M46" i="13"/>
  <c r="M72" i="13"/>
  <c r="Q80" i="13"/>
  <c r="N80" i="13"/>
  <c r="M96" i="13"/>
  <c r="H96" i="13"/>
  <c r="M98" i="13"/>
  <c r="M106" i="13"/>
  <c r="H106" i="13"/>
  <c r="I19" i="13"/>
  <c r="R19" i="13" s="1"/>
  <c r="H35" i="13"/>
  <c r="I35" i="13" s="1"/>
  <c r="P36" i="13"/>
  <c r="Q36" i="13" s="1"/>
  <c r="H39" i="13"/>
  <c r="I39" i="13" s="1"/>
  <c r="R39" i="13" s="1"/>
  <c r="M48" i="13"/>
  <c r="H48" i="13"/>
  <c r="M53" i="13"/>
  <c r="M60" i="13"/>
  <c r="H60" i="13"/>
  <c r="I60" i="13" s="1"/>
  <c r="R60" i="13" s="1"/>
  <c r="N64" i="13"/>
  <c r="H65" i="13"/>
  <c r="I65" i="13" s="1"/>
  <c r="M94" i="13"/>
  <c r="M32" i="13"/>
  <c r="H33" i="13"/>
  <c r="I33" i="13" s="1"/>
  <c r="H34" i="13"/>
  <c r="I34" i="13" s="1"/>
  <c r="R34" i="13" s="1"/>
  <c r="O46" i="13"/>
  <c r="M56" i="13"/>
  <c r="M78" i="13"/>
  <c r="M80" i="13"/>
  <c r="H80" i="13"/>
  <c r="O82" i="13"/>
  <c r="I82" i="13"/>
  <c r="R82" i="13" s="1"/>
  <c r="S82" i="13" s="1"/>
  <c r="P83" i="13"/>
  <c r="Q83" i="13" s="1"/>
  <c r="M104" i="13"/>
  <c r="H104" i="13"/>
  <c r="I104" i="13" s="1"/>
  <c r="O5" i="13"/>
  <c r="O9" i="13"/>
  <c r="O13" i="13"/>
  <c r="O17" i="13"/>
  <c r="I27" i="13"/>
  <c r="R27" i="13" s="1"/>
  <c r="N31" i="13"/>
  <c r="M39" i="13"/>
  <c r="M40" i="13"/>
  <c r="H46" i="13"/>
  <c r="I46" i="13" s="1"/>
  <c r="R46" i="13" s="1"/>
  <c r="O50" i="13"/>
  <c r="P51" i="13"/>
  <c r="Q51" i="13" s="1"/>
  <c r="M64" i="13"/>
  <c r="H64" i="13"/>
  <c r="O66" i="13"/>
  <c r="P67" i="13"/>
  <c r="N84" i="13"/>
  <c r="P87" i="13"/>
  <c r="Q87" i="13" s="1"/>
  <c r="O86" i="13"/>
  <c r="P95" i="13"/>
  <c r="Q95" i="13" s="1"/>
  <c r="O94" i="13"/>
  <c r="H24" i="13"/>
  <c r="I24" i="13" s="1"/>
  <c r="N26" i="13"/>
  <c r="H32" i="13"/>
  <c r="I32" i="13" s="1"/>
  <c r="R32" i="13" s="1"/>
  <c r="M35" i="13"/>
  <c r="M38" i="13"/>
  <c r="H38" i="13"/>
  <c r="I38" i="13" s="1"/>
  <c r="N42" i="13"/>
  <c r="M62" i="13"/>
  <c r="N68" i="13"/>
  <c r="P71" i="13"/>
  <c r="Q71" i="13" s="1"/>
  <c r="O70" i="13"/>
  <c r="P79" i="13"/>
  <c r="Q79" i="13" s="1"/>
  <c r="O78" i="13"/>
  <c r="H94" i="13"/>
  <c r="I94" i="13" s="1"/>
  <c r="R94" i="13" s="1"/>
  <c r="M109" i="13"/>
  <c r="H109" i="13"/>
  <c r="I109" i="13" s="1"/>
  <c r="H28" i="13"/>
  <c r="I28" i="13" s="1"/>
  <c r="Q31" i="13"/>
  <c r="M34" i="13"/>
  <c r="N35" i="13"/>
  <c r="N52" i="13"/>
  <c r="H78" i="13"/>
  <c r="I78" i="13" s="1"/>
  <c r="Q82" i="13"/>
  <c r="M91" i="13"/>
  <c r="H91" i="13"/>
  <c r="I91" i="13" s="1"/>
  <c r="P98" i="13"/>
  <c r="O97" i="13"/>
  <c r="N32" i="13"/>
  <c r="N33" i="13"/>
  <c r="M45" i="13"/>
  <c r="H45" i="13"/>
  <c r="I45" i="13" s="1"/>
  <c r="F50" i="13"/>
  <c r="P55" i="13"/>
  <c r="Q55" i="13" s="1"/>
  <c r="O54" i="13"/>
  <c r="P63" i="13"/>
  <c r="Q63" i="13" s="1"/>
  <c r="O62" i="13"/>
  <c r="M75" i="13"/>
  <c r="H75" i="13"/>
  <c r="I75" i="13" s="1"/>
  <c r="Q84" i="13"/>
  <c r="H89" i="13"/>
  <c r="I89" i="13" s="1"/>
  <c r="R89" i="13" s="1"/>
  <c r="M89" i="13"/>
  <c r="M107" i="13"/>
  <c r="P110" i="13"/>
  <c r="Q110" i="13" s="1"/>
  <c r="O109" i="13"/>
  <c r="F26" i="13"/>
  <c r="F30" i="13"/>
  <c r="H31" i="13"/>
  <c r="I31" i="13" s="1"/>
  <c r="O32" i="13"/>
  <c r="O33" i="13"/>
  <c r="O34" i="13"/>
  <c r="P38" i="13"/>
  <c r="Q38" i="13" s="1"/>
  <c r="M42" i="13"/>
  <c r="H42" i="13"/>
  <c r="P48" i="13"/>
  <c r="Q48" i="13" s="1"/>
  <c r="H62" i="13"/>
  <c r="I62" i="13" s="1"/>
  <c r="R62" i="13" s="1"/>
  <c r="H66" i="13"/>
  <c r="I66" i="13" s="1"/>
  <c r="Q68" i="13"/>
  <c r="H73" i="13"/>
  <c r="I73" i="13" s="1"/>
  <c r="R73" i="13" s="1"/>
  <c r="M73" i="13"/>
  <c r="F84" i="13"/>
  <c r="P90" i="13"/>
  <c r="Q90" i="13" s="1"/>
  <c r="O89" i="13"/>
  <c r="F99" i="13"/>
  <c r="O20" i="13"/>
  <c r="P32" i="13"/>
  <c r="Q32" i="13" s="1"/>
  <c r="P34" i="13"/>
  <c r="Q34" i="13" s="1"/>
  <c r="P46" i="13"/>
  <c r="Q46" i="13" s="1"/>
  <c r="O45" i="13"/>
  <c r="M59" i="13"/>
  <c r="H59" i="13"/>
  <c r="I59" i="13" s="1"/>
  <c r="R59" i="13" s="1"/>
  <c r="M66" i="13"/>
  <c r="F68" i="13"/>
  <c r="P74" i="13"/>
  <c r="Q74" i="13" s="1"/>
  <c r="O73" i="13"/>
  <c r="N86" i="13"/>
  <c r="M93" i="13"/>
  <c r="H93" i="13"/>
  <c r="I93" i="13" s="1"/>
  <c r="P96" i="13"/>
  <c r="Q96" i="13" s="1"/>
  <c r="M97" i="13"/>
  <c r="H97" i="13"/>
  <c r="I97" i="13" s="1"/>
  <c r="P111" i="13"/>
  <c r="Q111" i="13" s="1"/>
  <c r="O110" i="13"/>
  <c r="N67" i="13"/>
  <c r="N83" i="13"/>
  <c r="Q98" i="13"/>
  <c r="N99" i="13"/>
  <c r="O40" i="13"/>
  <c r="O56" i="13"/>
  <c r="O67" i="13"/>
  <c r="O72" i="13"/>
  <c r="O83" i="13"/>
  <c r="O88" i="13"/>
  <c r="O99" i="13"/>
  <c r="O104" i="13"/>
  <c r="O47" i="13"/>
  <c r="H54" i="13"/>
  <c r="I54" i="13" s="1"/>
  <c r="O63" i="13"/>
  <c r="H70" i="13"/>
  <c r="I70" i="13" s="1"/>
  <c r="O79" i="13"/>
  <c r="H86" i="13"/>
  <c r="I86" i="13" s="1"/>
  <c r="R86" i="13" s="1"/>
  <c r="O95" i="13"/>
  <c r="H102" i="13"/>
  <c r="I102" i="13" s="1"/>
  <c r="R102" i="13" s="1"/>
  <c r="N106" i="13"/>
  <c r="P100" i="13"/>
  <c r="Q100" i="13" s="1"/>
  <c r="H55" i="13"/>
  <c r="I55" i="13" s="1"/>
  <c r="R55" i="13" s="1"/>
  <c r="H71" i="13"/>
  <c r="I71" i="13" s="1"/>
  <c r="R71" i="13" s="1"/>
  <c r="H87" i="13"/>
  <c r="I87" i="13" s="1"/>
  <c r="R87" i="13" s="1"/>
  <c r="H103" i="13"/>
  <c r="I103" i="13" s="1"/>
  <c r="R103" i="13" s="1"/>
  <c r="M54" i="13"/>
  <c r="M70" i="13"/>
  <c r="M86" i="13"/>
  <c r="M102" i="13"/>
  <c r="P112" i="13"/>
  <c r="Q112" i="13"/>
  <c r="O108" i="13"/>
  <c r="N112" i="13"/>
  <c r="M112" i="13"/>
  <c r="H112" i="13"/>
  <c r="U4" i="11"/>
  <c r="P75" i="11"/>
  <c r="O72" i="11"/>
  <c r="P17" i="11"/>
  <c r="P11" i="11"/>
  <c r="P53" i="11"/>
  <c r="P103" i="11"/>
  <c r="O37" i="11"/>
  <c r="P27" i="11"/>
  <c r="O68" i="11"/>
  <c r="P96" i="11"/>
  <c r="O67" i="11"/>
  <c r="P93" i="11"/>
  <c r="O90" i="11"/>
  <c r="O20" i="11"/>
  <c r="O64" i="11"/>
  <c r="P35" i="11"/>
  <c r="P9" i="11"/>
  <c r="P64" i="11"/>
  <c r="O78" i="11"/>
  <c r="P70" i="11"/>
  <c r="P28" i="11"/>
  <c r="P111" i="11"/>
  <c r="O36" i="11"/>
  <c r="P5" i="11"/>
  <c r="O53" i="11"/>
  <c r="P33" i="11"/>
  <c r="P57" i="11"/>
  <c r="P36" i="11"/>
  <c r="P12" i="11"/>
  <c r="P82" i="11"/>
  <c r="P31" i="11"/>
  <c r="P15" i="11"/>
  <c r="P101" i="11"/>
  <c r="P84" i="11"/>
  <c r="P59" i="11"/>
  <c r="P42" i="11"/>
  <c r="O96" i="11"/>
  <c r="O54" i="11"/>
  <c r="P87" i="11"/>
  <c r="P45" i="11"/>
  <c r="O9" i="11"/>
  <c r="P40" i="11"/>
  <c r="P13" i="11"/>
  <c r="O109" i="11"/>
  <c r="O91" i="11"/>
  <c r="P41" i="11"/>
  <c r="P29" i="11"/>
  <c r="P26" i="11"/>
  <c r="P14" i="11"/>
  <c r="P8" i="11"/>
  <c r="P98" i="11"/>
  <c r="P86" i="11"/>
  <c r="P80" i="11"/>
  <c r="P77" i="11"/>
  <c r="O71" i="11"/>
  <c r="P30" i="11"/>
  <c r="O15" i="11"/>
  <c r="P99" i="11"/>
  <c r="O57" i="11"/>
  <c r="O42" i="11"/>
  <c r="O111" i="11"/>
  <c r="O99" i="11"/>
  <c r="O84" i="11"/>
  <c r="P83" i="11"/>
  <c r="P56" i="11"/>
  <c r="P44" i="11"/>
  <c r="P71" i="11"/>
  <c r="H71" i="11"/>
  <c r="I71" i="11" s="1"/>
  <c r="H15" i="11"/>
  <c r="I15" i="11" s="1"/>
  <c r="H28" i="11"/>
  <c r="I28" i="11" s="1"/>
  <c r="H16" i="11"/>
  <c r="I16" i="11" s="1"/>
  <c r="F112" i="11"/>
  <c r="F98" i="11"/>
  <c r="F84" i="11"/>
  <c r="F56" i="11"/>
  <c r="F42" i="11"/>
  <c r="F14" i="11"/>
  <c r="F100" i="11"/>
  <c r="H100" i="11" s="1"/>
  <c r="I100" i="11" s="1"/>
  <c r="F44" i="11"/>
  <c r="H44" i="11" s="1"/>
  <c r="I44" i="11" s="1"/>
  <c r="F30" i="11"/>
  <c r="H30" i="11" s="1"/>
  <c r="I30" i="11" s="1"/>
  <c r="F109" i="11"/>
  <c r="H109" i="11" s="1"/>
  <c r="I109" i="11" s="1"/>
  <c r="F102" i="11"/>
  <c r="H102" i="11" s="1"/>
  <c r="I102" i="11" s="1"/>
  <c r="F95" i="11"/>
  <c r="H95" i="11" s="1"/>
  <c r="I95" i="11" s="1"/>
  <c r="F88" i="11"/>
  <c r="H88" i="11" s="1"/>
  <c r="I88" i="11" s="1"/>
  <c r="F81" i="11"/>
  <c r="H81" i="11" s="1"/>
  <c r="I81" i="11" s="1"/>
  <c r="F74" i="11"/>
  <c r="F67" i="11"/>
  <c r="H67" i="11" s="1"/>
  <c r="I67" i="11" s="1"/>
  <c r="F60" i="11"/>
  <c r="F53" i="11"/>
  <c r="H53" i="11" s="1"/>
  <c r="I53" i="11" s="1"/>
  <c r="F46" i="11"/>
  <c r="F39" i="11"/>
  <c r="H39" i="11" s="1"/>
  <c r="I39" i="11" s="1"/>
  <c r="F32" i="11"/>
  <c r="F25" i="11"/>
  <c r="H25" i="11" s="1"/>
  <c r="I25" i="11" s="1"/>
  <c r="F18" i="11"/>
  <c r="F11" i="11"/>
  <c r="F4" i="11"/>
  <c r="H4" i="11" s="1"/>
  <c r="I4" i="11" s="1"/>
  <c r="F111" i="11"/>
  <c r="H111" i="11" s="1"/>
  <c r="I111" i="11" s="1"/>
  <c r="F104" i="11"/>
  <c r="H104" i="11" s="1"/>
  <c r="I104" i="11" s="1"/>
  <c r="F97" i="11"/>
  <c r="H97" i="11" s="1"/>
  <c r="I97" i="11" s="1"/>
  <c r="F90" i="11"/>
  <c r="F83" i="11"/>
  <c r="F76" i="11"/>
  <c r="F69" i="11"/>
  <c r="H69" i="11" s="1"/>
  <c r="I69" i="11" s="1"/>
  <c r="F62" i="11"/>
  <c r="H62" i="11" s="1"/>
  <c r="I62" i="11" s="1"/>
  <c r="F55" i="11"/>
  <c r="F48" i="11"/>
  <c r="F41" i="11"/>
  <c r="F34" i="11"/>
  <c r="F27" i="11"/>
  <c r="F20" i="11"/>
  <c r="F13" i="11"/>
  <c r="H13" i="11" s="1"/>
  <c r="I13" i="11" s="1"/>
  <c r="F6" i="11"/>
  <c r="H6" i="11" s="1"/>
  <c r="I6" i="11" s="1"/>
  <c r="F99" i="11"/>
  <c r="H99" i="11" s="1"/>
  <c r="I99" i="11" s="1"/>
  <c r="F85" i="11"/>
  <c r="H85" i="11" s="1"/>
  <c r="I85" i="11" s="1"/>
  <c r="F57" i="11"/>
  <c r="H57" i="11" s="1"/>
  <c r="I57" i="11" s="1"/>
  <c r="F43" i="11"/>
  <c r="H43" i="11" s="1"/>
  <c r="I43" i="11" s="1"/>
  <c r="F29" i="11"/>
  <c r="H29" i="11" s="1"/>
  <c r="I29" i="11" s="1"/>
  <c r="F73" i="11"/>
  <c r="H87" i="11"/>
  <c r="I87" i="11" s="1"/>
  <c r="H17" i="11"/>
  <c r="I17" i="11" s="1"/>
  <c r="H59" i="11"/>
  <c r="I59" i="11" s="1"/>
  <c r="F107" i="11"/>
  <c r="H107" i="11" s="1"/>
  <c r="I107" i="11" s="1"/>
  <c r="F93" i="11"/>
  <c r="H93" i="11" s="1"/>
  <c r="I93" i="11" s="1"/>
  <c r="F79" i="11"/>
  <c r="H79" i="11" s="1"/>
  <c r="I79" i="11" s="1"/>
  <c r="F65" i="11"/>
  <c r="H65" i="11" s="1"/>
  <c r="I65" i="11" s="1"/>
  <c r="F51" i="11"/>
  <c r="H51" i="11" s="1"/>
  <c r="I51" i="11" s="1"/>
  <c r="F37" i="11"/>
  <c r="H37" i="11" s="1"/>
  <c r="I37" i="11" s="1"/>
  <c r="F23" i="11"/>
  <c r="H23" i="11" s="1"/>
  <c r="I23" i="11" s="1"/>
  <c r="F9" i="11"/>
  <c r="H9" i="11" s="1"/>
  <c r="I9" i="11" s="1"/>
  <c r="H101" i="11"/>
  <c r="I101" i="11" s="1"/>
  <c r="H86" i="11"/>
  <c r="I86" i="11" s="1"/>
  <c r="H72" i="11"/>
  <c r="I72" i="11" s="1"/>
  <c r="H58" i="11"/>
  <c r="I58" i="11" s="1"/>
  <c r="F96" i="11"/>
  <c r="H96" i="11" s="1"/>
  <c r="I96" i="11" s="1"/>
  <c r="F61" i="11"/>
  <c r="H61" i="11" s="1"/>
  <c r="I61" i="11" s="1"/>
  <c r="F47" i="11"/>
  <c r="H47" i="11" s="1"/>
  <c r="I47" i="11" s="1"/>
  <c r="F33" i="11"/>
  <c r="H33" i="11" s="1"/>
  <c r="I33" i="11" s="1"/>
  <c r="F12" i="11"/>
  <c r="H12" i="11" s="1"/>
  <c r="I12" i="11" s="1"/>
  <c r="H112" i="11"/>
  <c r="I112" i="11" s="1"/>
  <c r="H84" i="11"/>
  <c r="I84" i="11" s="1"/>
  <c r="H70" i="11"/>
  <c r="I70" i="11" s="1"/>
  <c r="F103" i="11"/>
  <c r="H103" i="11" s="1"/>
  <c r="I103" i="11" s="1"/>
  <c r="F82" i="11"/>
  <c r="H82" i="11" s="1"/>
  <c r="I82" i="11" s="1"/>
  <c r="F54" i="11"/>
  <c r="H54" i="11" s="1"/>
  <c r="I54" i="11" s="1"/>
  <c r="F40" i="11"/>
  <c r="H40" i="11" s="1"/>
  <c r="I40" i="11" s="1"/>
  <c r="F19" i="11"/>
  <c r="H19" i="11" s="1"/>
  <c r="I19" i="11" s="1"/>
  <c r="F5" i="11"/>
  <c r="H5" i="11" s="1"/>
  <c r="I5" i="11" s="1"/>
  <c r="H98" i="11"/>
  <c r="I98" i="11" s="1"/>
  <c r="H56" i="11"/>
  <c r="I56" i="11" s="1"/>
  <c r="H42" i="11"/>
  <c r="I42" i="11" s="1"/>
  <c r="H14" i="11"/>
  <c r="I14" i="11" s="1"/>
  <c r="H45" i="11"/>
  <c r="I45" i="11" s="1"/>
  <c r="H90" i="11"/>
  <c r="I90" i="11" s="1"/>
  <c r="H83" i="11"/>
  <c r="I83" i="11" s="1"/>
  <c r="H76" i="11"/>
  <c r="I76" i="11" s="1"/>
  <c r="H55" i="11"/>
  <c r="I55" i="11" s="1"/>
  <c r="H48" i="11"/>
  <c r="I48" i="11" s="1"/>
  <c r="H41" i="11"/>
  <c r="I41" i="11" s="1"/>
  <c r="H34" i="11"/>
  <c r="I34" i="11" s="1"/>
  <c r="H27" i="11"/>
  <c r="I27" i="11" s="1"/>
  <c r="H20" i="11"/>
  <c r="I20" i="11" s="1"/>
  <c r="H106" i="11"/>
  <c r="I106" i="11" s="1"/>
  <c r="H50" i="11"/>
  <c r="I50" i="11" s="1"/>
  <c r="H22" i="11"/>
  <c r="I22" i="11" s="1"/>
  <c r="F68" i="11"/>
  <c r="H68" i="11" s="1"/>
  <c r="I68" i="11" s="1"/>
  <c r="F89" i="11"/>
  <c r="H89" i="11" s="1"/>
  <c r="I89" i="11" s="1"/>
  <c r="F75" i="11"/>
  <c r="H75" i="11" s="1"/>
  <c r="I75" i="11" s="1"/>
  <c r="H92" i="11"/>
  <c r="I92" i="11" s="1"/>
  <c r="H36" i="11"/>
  <c r="I36" i="11" s="1"/>
  <c r="H31" i="11"/>
  <c r="I31" i="11" s="1"/>
  <c r="F110" i="11"/>
  <c r="H110" i="11" s="1"/>
  <c r="I110" i="11" s="1"/>
  <c r="F26" i="11"/>
  <c r="H26" i="11" s="1"/>
  <c r="I26" i="11" s="1"/>
  <c r="H78" i="11"/>
  <c r="I78" i="11" s="1"/>
  <c r="H64" i="11"/>
  <c r="I64" i="11" s="1"/>
  <c r="F108" i="11"/>
  <c r="H108" i="11" s="1"/>
  <c r="I108" i="11" s="1"/>
  <c r="F94" i="11"/>
  <c r="H94" i="11" s="1"/>
  <c r="I94" i="11" s="1"/>
  <c r="F80" i="11"/>
  <c r="H80" i="11" s="1"/>
  <c r="I80" i="11" s="1"/>
  <c r="F66" i="11"/>
  <c r="H66" i="11" s="1"/>
  <c r="I66" i="11" s="1"/>
  <c r="F52" i="11"/>
  <c r="H52" i="11" s="1"/>
  <c r="I52" i="11" s="1"/>
  <c r="F38" i="11"/>
  <c r="H38" i="11" s="1"/>
  <c r="I38" i="11" s="1"/>
  <c r="F24" i="11"/>
  <c r="H24" i="11" s="1"/>
  <c r="I24" i="11" s="1"/>
  <c r="F10" i="11"/>
  <c r="H10" i="11" s="1"/>
  <c r="I10" i="11" s="1"/>
  <c r="H7" i="11"/>
  <c r="I7" i="11" s="1"/>
  <c r="H74" i="11"/>
  <c r="I74" i="11" s="1"/>
  <c r="H60" i="11"/>
  <c r="I60" i="11" s="1"/>
  <c r="H46" i="11"/>
  <c r="I46" i="11" s="1"/>
  <c r="H32" i="11"/>
  <c r="I32" i="11" s="1"/>
  <c r="H18" i="11"/>
  <c r="I18" i="11" s="1"/>
  <c r="H11" i="11"/>
  <c r="I11" i="11" s="1"/>
  <c r="H8" i="11"/>
  <c r="I8" i="11" s="1"/>
  <c r="H3" i="11"/>
  <c r="I3" i="11" s="1"/>
  <c r="K3" i="11" s="1"/>
  <c r="H73" i="11"/>
  <c r="I73" i="11" s="1"/>
  <c r="J3" i="11"/>
  <c r="I105" i="11"/>
  <c r="I91" i="11"/>
  <c r="I77" i="11"/>
  <c r="I63" i="11"/>
  <c r="I49" i="11"/>
  <c r="I35" i="11"/>
  <c r="I21" i="11"/>
  <c r="G100" i="4"/>
  <c r="J100" i="4"/>
  <c r="K100" i="4" s="1"/>
  <c r="G63" i="4"/>
  <c r="H63" i="4" s="1"/>
  <c r="I63" i="4" s="1"/>
  <c r="M63" i="4" s="1"/>
  <c r="J63" i="4"/>
  <c r="K63" i="4" s="1"/>
  <c r="G104" i="4"/>
  <c r="H104" i="4" s="1"/>
  <c r="J104" i="4" s="1"/>
  <c r="K104" i="4" s="1"/>
  <c r="G16" i="4"/>
  <c r="H16" i="4" s="1"/>
  <c r="G85" i="4"/>
  <c r="H85" i="4" s="1"/>
  <c r="J85" i="4" s="1"/>
  <c r="K85" i="4" s="1"/>
  <c r="G82" i="4"/>
  <c r="H82" i="4" s="1"/>
  <c r="G48" i="4"/>
  <c r="H48" i="4" s="1"/>
  <c r="J81" i="4"/>
  <c r="K81" i="4" s="1"/>
  <c r="G81" i="4"/>
  <c r="G40" i="4"/>
  <c r="H40" i="4" s="1"/>
  <c r="G67" i="4"/>
  <c r="G109" i="4"/>
  <c r="I58" i="4"/>
  <c r="M58" i="4" s="1"/>
  <c r="D53" i="9"/>
  <c r="G44" i="4"/>
  <c r="H44" i="4" s="1"/>
  <c r="G113" i="4"/>
  <c r="G32" i="4"/>
  <c r="G45" i="4"/>
  <c r="H45" i="4" s="1"/>
  <c r="B98" i="9"/>
  <c r="I15" i="4"/>
  <c r="M15" i="4" s="1"/>
  <c r="G35" i="4"/>
  <c r="H35" i="4" s="1"/>
  <c r="G52" i="4"/>
  <c r="H52" i="4" s="1"/>
  <c r="G94" i="4"/>
  <c r="G9" i="4"/>
  <c r="H9" i="4" s="1"/>
  <c r="G89" i="4"/>
  <c r="H89" i="4" s="1"/>
  <c r="G90" i="9"/>
  <c r="G8" i="9"/>
  <c r="G31" i="4"/>
  <c r="G75" i="4"/>
  <c r="H75" i="4" s="1"/>
  <c r="J75" i="4" s="1"/>
  <c r="K75" i="4" s="1"/>
  <c r="I75" i="4"/>
  <c r="M75" i="4" s="1"/>
  <c r="H69" i="4"/>
  <c r="I69" i="4" s="1"/>
  <c r="M69" i="4" s="1"/>
  <c r="F7" i="9"/>
  <c r="L6" i="9"/>
  <c r="F6" i="9"/>
  <c r="I6" i="8"/>
  <c r="J6" i="8" s="1"/>
  <c r="C6" i="9" s="1"/>
  <c r="D6" i="9" s="1"/>
  <c r="I7" i="8"/>
  <c r="J7" i="8" s="1"/>
  <c r="C7" i="9" s="1"/>
  <c r="G20" i="4"/>
  <c r="H20" i="4" s="1"/>
  <c r="G22" i="4"/>
  <c r="H22" i="4" s="1"/>
  <c r="J22" i="4"/>
  <c r="K22" i="4" s="1"/>
  <c r="I22" i="4"/>
  <c r="M22" i="4" s="1"/>
  <c r="G77" i="4"/>
  <c r="H77" i="4" s="1"/>
  <c r="D75" i="9"/>
  <c r="J47" i="4"/>
  <c r="K47" i="4" s="1"/>
  <c r="I47" i="4"/>
  <c r="M47" i="4" s="1"/>
  <c r="G47" i="4"/>
  <c r="G72" i="4"/>
  <c r="J88" i="4"/>
  <c r="K88" i="4" s="1"/>
  <c r="J21" i="4"/>
  <c r="K21" i="4" s="1"/>
  <c r="G20" i="9"/>
  <c r="H42" i="4"/>
  <c r="J42" i="4" s="1"/>
  <c r="K42" i="4" s="1"/>
  <c r="I42" i="4"/>
  <c r="M42" i="4" s="1"/>
  <c r="G64" i="4"/>
  <c r="H64" i="4" s="1"/>
  <c r="J64" i="4"/>
  <c r="K64" i="4" s="1"/>
  <c r="I64" i="4"/>
  <c r="M64" i="4" s="1"/>
  <c r="G91" i="4"/>
  <c r="G57" i="4"/>
  <c r="H57" i="4" s="1"/>
  <c r="G61" i="4"/>
  <c r="H61" i="4" s="1"/>
  <c r="G58" i="4"/>
  <c r="B7" i="4"/>
  <c r="G90" i="4"/>
  <c r="H90" i="4" s="1"/>
  <c r="I90" i="4" s="1"/>
  <c r="M90" i="4" s="1"/>
  <c r="F94" i="8"/>
  <c r="H94" i="8"/>
  <c r="B93" i="4"/>
  <c r="I93" i="4" s="1"/>
  <c r="M93" i="4" s="1"/>
  <c r="G34" i="4"/>
  <c r="H34" i="4" s="1"/>
  <c r="H65" i="4"/>
  <c r="J65" i="4" s="1"/>
  <c r="K65" i="4" s="1"/>
  <c r="G112" i="4"/>
  <c r="E39" i="9"/>
  <c r="H39" i="8"/>
  <c r="L53" i="9"/>
  <c r="F54" i="9"/>
  <c r="I54" i="8"/>
  <c r="J54" i="8" s="1"/>
  <c r="C54" i="9" s="1"/>
  <c r="D54" i="9" s="1"/>
  <c r="H55" i="8"/>
  <c r="E55" i="9"/>
  <c r="L67" i="9"/>
  <c r="F68" i="9"/>
  <c r="I68" i="8"/>
  <c r="J68" i="8" s="1"/>
  <c r="C68" i="9" s="1"/>
  <c r="D68" i="9" s="1"/>
  <c r="G29" i="4"/>
  <c r="B82" i="4"/>
  <c r="J82" i="4" s="1"/>
  <c r="K82" i="4" s="1"/>
  <c r="J24" i="4"/>
  <c r="K24" i="4" s="1"/>
  <c r="G24" i="4"/>
  <c r="I24" i="8"/>
  <c r="J24" i="8" s="1"/>
  <c r="C24" i="9" s="1"/>
  <c r="F24" i="9"/>
  <c r="L23" i="9"/>
  <c r="E39" i="8"/>
  <c r="B39" i="9" s="1"/>
  <c r="E55" i="8"/>
  <c r="B55" i="9" s="1"/>
  <c r="L73" i="9"/>
  <c r="I74" i="8"/>
  <c r="F74" i="9"/>
  <c r="I100" i="8"/>
  <c r="J100" i="8" s="1"/>
  <c r="C100" i="9" s="1"/>
  <c r="L99" i="9"/>
  <c r="E106" i="9"/>
  <c r="H106" i="8"/>
  <c r="E106" i="8"/>
  <c r="F106" i="8"/>
  <c r="J11" i="4"/>
  <c r="K11" i="4" s="1"/>
  <c r="B101" i="4"/>
  <c r="H13" i="4"/>
  <c r="I13" i="4" s="1"/>
  <c r="M13" i="4" s="1"/>
  <c r="F39" i="8"/>
  <c r="F52" i="9"/>
  <c r="I52" i="8"/>
  <c r="J52" i="8" s="1"/>
  <c r="C52" i="9" s="1"/>
  <c r="D52" i="9" s="1"/>
  <c r="F55" i="8"/>
  <c r="J57" i="8"/>
  <c r="C57" i="9" s="1"/>
  <c r="D57" i="9" s="1"/>
  <c r="E88" i="9"/>
  <c r="H88" i="8"/>
  <c r="F88" i="8"/>
  <c r="B88" i="9" s="1"/>
  <c r="L97" i="9"/>
  <c r="I98" i="8"/>
  <c r="J98" i="8" s="1"/>
  <c r="C98" i="9" s="1"/>
  <c r="D98" i="9" s="1"/>
  <c r="F98" i="9"/>
  <c r="H46" i="4"/>
  <c r="H50" i="4"/>
  <c r="J50" i="4" s="1"/>
  <c r="K50" i="4" s="1"/>
  <c r="G68" i="4"/>
  <c r="H68" i="4" s="1"/>
  <c r="I91" i="4"/>
  <c r="M91" i="4" s="1"/>
  <c r="E6" i="8"/>
  <c r="E93" i="9"/>
  <c r="H93" i="8"/>
  <c r="G33" i="4"/>
  <c r="H33" i="4" s="1"/>
  <c r="I33" i="4" s="1"/>
  <c r="M33" i="4" s="1"/>
  <c r="J76" i="4"/>
  <c r="K76" i="4" s="1"/>
  <c r="J13" i="4"/>
  <c r="K13" i="4" s="1"/>
  <c r="H32" i="4"/>
  <c r="I32" i="4" s="1"/>
  <c r="M32" i="4" s="1"/>
  <c r="G39" i="4"/>
  <c r="G95" i="4"/>
  <c r="F6" i="8"/>
  <c r="E22" i="9"/>
  <c r="E23" i="9"/>
  <c r="E26" i="9"/>
  <c r="E26" i="8"/>
  <c r="H26" i="8"/>
  <c r="E62" i="9"/>
  <c r="E63" i="9"/>
  <c r="I83" i="8"/>
  <c r="J83" i="8" s="1"/>
  <c r="C83" i="9" s="1"/>
  <c r="L82" i="9"/>
  <c r="F83" i="9"/>
  <c r="B23" i="4"/>
  <c r="G26" i="4"/>
  <c r="H26" i="4" s="1"/>
  <c r="I26" i="4" s="1"/>
  <c r="M26" i="4" s="1"/>
  <c r="G93" i="4"/>
  <c r="H93" i="4" s="1"/>
  <c r="G21" i="4"/>
  <c r="H21" i="4" s="1"/>
  <c r="H43" i="4"/>
  <c r="I43" i="4" s="1"/>
  <c r="M43" i="4" s="1"/>
  <c r="J49" i="4"/>
  <c r="K49" i="4" s="1"/>
  <c r="G49" i="4"/>
  <c r="H58" i="4"/>
  <c r="J58" i="4" s="1"/>
  <c r="K58" i="4" s="1"/>
  <c r="H66" i="4"/>
  <c r="I66" i="4" s="1"/>
  <c r="M66" i="4" s="1"/>
  <c r="I81" i="4"/>
  <c r="M81" i="4" s="1"/>
  <c r="H91" i="4"/>
  <c r="J91" i="4" s="1"/>
  <c r="K91" i="4" s="1"/>
  <c r="G115" i="4"/>
  <c r="E22" i="8"/>
  <c r="B22" i="9" s="1"/>
  <c r="F26" i="8"/>
  <c r="F62" i="8"/>
  <c r="B64" i="9"/>
  <c r="F14" i="9"/>
  <c r="L51" i="9"/>
  <c r="B14" i="4"/>
  <c r="G15" i="4"/>
  <c r="H15" i="4" s="1"/>
  <c r="J15" i="4" s="1"/>
  <c r="K15" i="4" s="1"/>
  <c r="J69" i="4"/>
  <c r="K69" i="4" s="1"/>
  <c r="B92" i="4"/>
  <c r="J27" i="4"/>
  <c r="K27" i="4" s="1"/>
  <c r="G27" i="4"/>
  <c r="G106" i="4"/>
  <c r="H106" i="4" s="1"/>
  <c r="G108" i="4"/>
  <c r="H108" i="4" s="1"/>
  <c r="L8" i="9"/>
  <c r="H8" i="9" s="1"/>
  <c r="J8" i="9" s="1"/>
  <c r="K8" i="9" s="1"/>
  <c r="F9" i="9"/>
  <c r="F21" i="9"/>
  <c r="I21" i="8"/>
  <c r="L20" i="9"/>
  <c r="F22" i="8"/>
  <c r="F33" i="9"/>
  <c r="I33" i="8"/>
  <c r="J33" i="8" s="1"/>
  <c r="C33" i="9" s="1"/>
  <c r="D33" i="9" s="1"/>
  <c r="L32" i="9"/>
  <c r="E34" i="9"/>
  <c r="H34" i="8"/>
  <c r="E35" i="9"/>
  <c r="E66" i="9"/>
  <c r="H66" i="8"/>
  <c r="F81" i="9"/>
  <c r="I81" i="8"/>
  <c r="J81" i="8" s="1"/>
  <c r="C81" i="9" s="1"/>
  <c r="D81" i="9" s="1"/>
  <c r="L80" i="9"/>
  <c r="F85" i="9"/>
  <c r="I85" i="8"/>
  <c r="J85" i="8" s="1"/>
  <c r="C85" i="9" s="1"/>
  <c r="D85" i="9" s="1"/>
  <c r="L84" i="9"/>
  <c r="E107" i="9"/>
  <c r="H107" i="8"/>
  <c r="F107" i="8"/>
  <c r="E107" i="8"/>
  <c r="B107" i="9" s="1"/>
  <c r="G8" i="4"/>
  <c r="J8" i="4"/>
  <c r="K8" i="4" s="1"/>
  <c r="D17" i="4"/>
  <c r="G37" i="4"/>
  <c r="D95" i="3"/>
  <c r="B95" i="4" s="1"/>
  <c r="D93" i="3"/>
  <c r="D98" i="3"/>
  <c r="B98" i="4" s="1"/>
  <c r="D96" i="3"/>
  <c r="D94" i="3"/>
  <c r="B94" i="4"/>
  <c r="J94" i="4" s="1"/>
  <c r="K94" i="4" s="1"/>
  <c r="B96" i="4"/>
  <c r="J99" i="4"/>
  <c r="K99" i="4" s="1"/>
  <c r="G99" i="4"/>
  <c r="H99" i="4" s="1"/>
  <c r="I99" i="4" s="1"/>
  <c r="M99" i="4" s="1"/>
  <c r="I6" i="4"/>
  <c r="M6" i="4" s="1"/>
  <c r="G12" i="4"/>
  <c r="I21" i="4"/>
  <c r="M21" i="4" s="1"/>
  <c r="H74" i="4"/>
  <c r="J74" i="4" s="1"/>
  <c r="K74" i="4" s="1"/>
  <c r="H79" i="4"/>
  <c r="J79" i="4" s="1"/>
  <c r="K79" i="4" s="1"/>
  <c r="H115" i="4"/>
  <c r="E34" i="8"/>
  <c r="B34" i="9" s="1"/>
  <c r="L52" i="9"/>
  <c r="F53" i="9"/>
  <c r="H62" i="8"/>
  <c r="D64" i="9"/>
  <c r="J74" i="8"/>
  <c r="C74" i="9" s="1"/>
  <c r="D74" i="9" s="1"/>
  <c r="B79" i="9"/>
  <c r="E91" i="9"/>
  <c r="H91" i="8"/>
  <c r="F91" i="8"/>
  <c r="E91" i="8"/>
  <c r="B91" i="9" s="1"/>
  <c r="G19" i="4"/>
  <c r="H19" i="4" s="1"/>
  <c r="D41" i="4"/>
  <c r="D92" i="3"/>
  <c r="B113" i="4"/>
  <c r="I113" i="4" s="1"/>
  <c r="M113" i="4" s="1"/>
  <c r="J6" i="4"/>
  <c r="K6" i="4" s="1"/>
  <c r="I27" i="4"/>
  <c r="M27" i="4" s="1"/>
  <c r="J29" i="4"/>
  <c r="K29" i="4" s="1"/>
  <c r="H39" i="4"/>
  <c r="J39" i="4" s="1"/>
  <c r="K39" i="4" s="1"/>
  <c r="H49" i="4"/>
  <c r="I49" i="4" s="1"/>
  <c r="M49" i="4" s="1"/>
  <c r="G51" i="4"/>
  <c r="H51" i="4" s="1"/>
  <c r="I53" i="4"/>
  <c r="M53" i="4" s="1"/>
  <c r="G74" i="4"/>
  <c r="G76" i="4"/>
  <c r="H76" i="4" s="1"/>
  <c r="G98" i="4"/>
  <c r="H22" i="8"/>
  <c r="E29" i="8"/>
  <c r="B29" i="9" s="1"/>
  <c r="E29" i="9"/>
  <c r="E36" i="9"/>
  <c r="H36" i="8"/>
  <c r="F36" i="8"/>
  <c r="F49" i="9"/>
  <c r="D49" i="9" s="1"/>
  <c r="L48" i="9"/>
  <c r="E50" i="9"/>
  <c r="H50" i="8"/>
  <c r="F65" i="9"/>
  <c r="L64" i="9"/>
  <c r="I65" i="8"/>
  <c r="J65" i="8" s="1"/>
  <c r="C65" i="9" s="1"/>
  <c r="D65" i="9" s="1"/>
  <c r="I18" i="4"/>
  <c r="M18" i="4" s="1"/>
  <c r="G60" i="4"/>
  <c r="H60" i="4" s="1"/>
  <c r="B115" i="4"/>
  <c r="I115" i="4" s="1"/>
  <c r="M115" i="4" s="1"/>
  <c r="G10" i="4"/>
  <c r="H10" i="4" s="1"/>
  <c r="G25" i="4"/>
  <c r="H25" i="4" s="1"/>
  <c r="H27" i="4"/>
  <c r="J53" i="4"/>
  <c r="K53" i="4" s="1"/>
  <c r="I55" i="4"/>
  <c r="M55" i="4" s="1"/>
  <c r="J71" i="4"/>
  <c r="K71" i="4" s="1"/>
  <c r="I71" i="4"/>
  <c r="M71" i="4" s="1"/>
  <c r="H78" i="4"/>
  <c r="I78" i="4" s="1"/>
  <c r="M78" i="4" s="1"/>
  <c r="G102" i="4"/>
  <c r="L12" i="9"/>
  <c r="F13" i="9"/>
  <c r="I13" i="8"/>
  <c r="J13" i="8" s="1"/>
  <c r="C13" i="9" s="1"/>
  <c r="I14" i="8"/>
  <c r="J14" i="8" s="1"/>
  <c r="C14" i="9" s="1"/>
  <c r="F29" i="8"/>
  <c r="H31" i="8"/>
  <c r="E31" i="9"/>
  <c r="E36" i="8"/>
  <c r="I62" i="4"/>
  <c r="M62" i="4" s="1"/>
  <c r="B72" i="4"/>
  <c r="G107" i="4"/>
  <c r="H107" i="4" s="1"/>
  <c r="I107" i="4" s="1"/>
  <c r="M107" i="4" s="1"/>
  <c r="G14" i="4"/>
  <c r="H29" i="4"/>
  <c r="I29" i="4" s="1"/>
  <c r="M29" i="4" s="1"/>
  <c r="J55" i="4"/>
  <c r="K55" i="4" s="1"/>
  <c r="G59" i="4"/>
  <c r="H67" i="4"/>
  <c r="J67" i="4" s="1"/>
  <c r="K67" i="4" s="1"/>
  <c r="G80" i="4"/>
  <c r="H80" i="4" s="1"/>
  <c r="H102" i="4"/>
  <c r="I102" i="4" s="1"/>
  <c r="M102" i="4" s="1"/>
  <c r="H113" i="4"/>
  <c r="B19" i="9"/>
  <c r="L54" i="9"/>
  <c r="F55" i="9"/>
  <c r="I55" i="8"/>
  <c r="J55" i="8" s="1"/>
  <c r="C55" i="9" s="1"/>
  <c r="F57" i="9"/>
  <c r="I57" i="8"/>
  <c r="L56" i="9"/>
  <c r="E92" i="8"/>
  <c r="E94" i="8"/>
  <c r="F106" i="9"/>
  <c r="I106" i="8"/>
  <c r="J106" i="8" s="1"/>
  <c r="C106" i="9" s="1"/>
  <c r="D106" i="9" s="1"/>
  <c r="L105" i="9"/>
  <c r="H105" i="9" s="1"/>
  <c r="I105" i="9" s="1"/>
  <c r="M105" i="9" s="1"/>
  <c r="L79" i="9"/>
  <c r="B106" i="4"/>
  <c r="H8" i="4"/>
  <c r="I8" i="4" s="1"/>
  <c r="M8" i="4" s="1"/>
  <c r="H47" i="4"/>
  <c r="G84" i="4"/>
  <c r="H84" i="4" s="1"/>
  <c r="H100" i="4"/>
  <c r="I100" i="4" s="1"/>
  <c r="M100" i="4" s="1"/>
  <c r="I109" i="4"/>
  <c r="M109" i="4" s="1"/>
  <c r="H111" i="4"/>
  <c r="J111" i="4" s="1"/>
  <c r="K111" i="4" s="1"/>
  <c r="L29" i="9"/>
  <c r="F30" i="9"/>
  <c r="I30" i="8"/>
  <c r="J30" i="8" s="1"/>
  <c r="C30" i="9" s="1"/>
  <c r="B41" i="9"/>
  <c r="B43" i="9"/>
  <c r="E45" i="9"/>
  <c r="H45" i="8"/>
  <c r="D87" i="9"/>
  <c r="E101" i="9"/>
  <c r="F101" i="8"/>
  <c r="E101" i="8"/>
  <c r="B101" i="9" s="1"/>
  <c r="G105" i="9"/>
  <c r="J66" i="4"/>
  <c r="K66" i="4" s="1"/>
  <c r="G66" i="4"/>
  <c r="B108" i="4"/>
  <c r="J108" i="4" s="1"/>
  <c r="K108" i="4" s="1"/>
  <c r="G7" i="4"/>
  <c r="H7" i="4" s="1"/>
  <c r="H11" i="8"/>
  <c r="E11" i="9"/>
  <c r="L27" i="9"/>
  <c r="I28" i="8"/>
  <c r="J28" i="8" s="1"/>
  <c r="C28" i="9" s="1"/>
  <c r="D28" i="9" s="1"/>
  <c r="E45" i="8"/>
  <c r="B45" i="9" s="1"/>
  <c r="B57" i="9"/>
  <c r="E61" i="9"/>
  <c r="F61" i="8"/>
  <c r="H61" i="8"/>
  <c r="F67" i="8"/>
  <c r="E67" i="8"/>
  <c r="B67" i="9" s="1"/>
  <c r="E67" i="9"/>
  <c r="B90" i="9"/>
  <c r="H92" i="8"/>
  <c r="F92" i="8"/>
  <c r="E92" i="9"/>
  <c r="F69" i="9"/>
  <c r="L86" i="9"/>
  <c r="I36" i="4"/>
  <c r="M36" i="4" s="1"/>
  <c r="B110" i="4"/>
  <c r="G111" i="4"/>
  <c r="G50" i="4"/>
  <c r="D101" i="4"/>
  <c r="H109" i="4"/>
  <c r="J109" i="4" s="1"/>
  <c r="K109" i="4" s="1"/>
  <c r="G114" i="4"/>
  <c r="H114" i="4" s="1"/>
  <c r="F10" i="9"/>
  <c r="I10" i="8"/>
  <c r="J10" i="8" s="1"/>
  <c r="C10" i="9" s="1"/>
  <c r="D10" i="9" s="1"/>
  <c r="L9" i="9"/>
  <c r="E11" i="8"/>
  <c r="B11" i="9" s="1"/>
  <c r="F13" i="8"/>
  <c r="E13" i="8"/>
  <c r="E15" i="9"/>
  <c r="E15" i="8"/>
  <c r="B15" i="9" s="1"/>
  <c r="H15" i="8"/>
  <c r="E17" i="9"/>
  <c r="H17" i="8"/>
  <c r="F45" i="8"/>
  <c r="E61" i="8"/>
  <c r="B61" i="9" s="1"/>
  <c r="I69" i="8"/>
  <c r="J69" i="8" s="1"/>
  <c r="C69" i="9" s="1"/>
  <c r="E71" i="9"/>
  <c r="H71" i="8"/>
  <c r="I78" i="8"/>
  <c r="J78" i="8" s="1"/>
  <c r="C78" i="9" s="1"/>
  <c r="F78" i="9"/>
  <c r="L77" i="9"/>
  <c r="H101" i="8"/>
  <c r="E12" i="9"/>
  <c r="F80" i="9"/>
  <c r="F100" i="9"/>
  <c r="H12" i="4"/>
  <c r="I12" i="4" s="1"/>
  <c r="M12" i="4" s="1"/>
  <c r="I46" i="4"/>
  <c r="M46" i="4" s="1"/>
  <c r="H94" i="4"/>
  <c r="G105" i="4"/>
  <c r="B7" i="9"/>
  <c r="F19" i="8"/>
  <c r="B54" i="9"/>
  <c r="F63" i="8"/>
  <c r="B63" i="9" s="1"/>
  <c r="F76" i="8"/>
  <c r="B76" i="9" s="1"/>
  <c r="F103" i="9"/>
  <c r="I103" i="8"/>
  <c r="J103" i="8" s="1"/>
  <c r="C103" i="9" s="1"/>
  <c r="D103" i="9" s="1"/>
  <c r="D97" i="4"/>
  <c r="H38" i="4"/>
  <c r="F44" i="9"/>
  <c r="I44" i="8"/>
  <c r="E52" i="9"/>
  <c r="E52" i="8"/>
  <c r="B52" i="9" s="1"/>
  <c r="E68" i="9"/>
  <c r="E68" i="8"/>
  <c r="F68" i="8"/>
  <c r="E81" i="9"/>
  <c r="H81" i="8"/>
  <c r="E96" i="9"/>
  <c r="H96" i="8"/>
  <c r="E98" i="9"/>
  <c r="H98" i="8"/>
  <c r="E100" i="9"/>
  <c r="H100" i="8"/>
  <c r="D70" i="4"/>
  <c r="B78" i="4"/>
  <c r="H112" i="4"/>
  <c r="I112" i="4" s="1"/>
  <c r="M112" i="4" s="1"/>
  <c r="F40" i="8"/>
  <c r="B40" i="9" s="1"/>
  <c r="E40" i="9"/>
  <c r="E47" i="9"/>
  <c r="H47" i="8"/>
  <c r="L59" i="9"/>
  <c r="I60" i="8"/>
  <c r="J60" i="8" s="1"/>
  <c r="C60" i="9" s="1"/>
  <c r="F60" i="9"/>
  <c r="F98" i="8"/>
  <c r="I109" i="8"/>
  <c r="J109" i="8" s="1"/>
  <c r="C109" i="9" s="1"/>
  <c r="F109" i="9"/>
  <c r="L108" i="9"/>
  <c r="D110" i="4"/>
  <c r="H24" i="4"/>
  <c r="I24" i="4" s="1"/>
  <c r="M24" i="4" s="1"/>
  <c r="H31" i="4"/>
  <c r="I31" i="4" s="1"/>
  <c r="M31" i="4" s="1"/>
  <c r="D56" i="4"/>
  <c r="M6" i="5"/>
  <c r="L7" i="5" s="1"/>
  <c r="F47" i="8"/>
  <c r="B47" i="9" s="1"/>
  <c r="H72" i="8"/>
  <c r="F72" i="8"/>
  <c r="E76" i="9"/>
  <c r="H76" i="8"/>
  <c r="E87" i="9"/>
  <c r="E87" i="8"/>
  <c r="B87" i="9" s="1"/>
  <c r="E93" i="8"/>
  <c r="D54" i="4"/>
  <c r="D83" i="4"/>
  <c r="D103" i="4"/>
  <c r="I11" i="4"/>
  <c r="M11" i="4" s="1"/>
  <c r="G69" i="4"/>
  <c r="I73" i="4"/>
  <c r="M73" i="4" s="1"/>
  <c r="I76" i="4"/>
  <c r="M76" i="4" s="1"/>
  <c r="H105" i="4"/>
  <c r="I105" i="4" s="1"/>
  <c r="M105" i="4" s="1"/>
  <c r="B9" i="9"/>
  <c r="F11" i="9"/>
  <c r="I11" i="8"/>
  <c r="J11" i="8" s="1"/>
  <c r="C11" i="9" s="1"/>
  <c r="D11" i="9" s="1"/>
  <c r="L10" i="9"/>
  <c r="E14" i="9"/>
  <c r="E16" i="8"/>
  <c r="B16" i="9" s="1"/>
  <c r="B18" i="9"/>
  <c r="J21" i="8"/>
  <c r="C21" i="9" s="1"/>
  <c r="D21" i="9" s="1"/>
  <c r="H28" i="8"/>
  <c r="H40" i="8"/>
  <c r="E42" i="9"/>
  <c r="H42" i="8"/>
  <c r="B51" i="9"/>
  <c r="E60" i="8"/>
  <c r="B60" i="9" s="1"/>
  <c r="F71" i="9"/>
  <c r="L70" i="9"/>
  <c r="I71" i="8"/>
  <c r="J71" i="8" s="1"/>
  <c r="C71" i="9" s="1"/>
  <c r="D71" i="9" s="1"/>
  <c r="F74" i="8"/>
  <c r="B74" i="9" s="1"/>
  <c r="E82" i="8"/>
  <c r="F93" i="8"/>
  <c r="B99" i="9"/>
  <c r="B105" i="9"/>
  <c r="J105" i="9" s="1"/>
  <c r="K105" i="9" s="1"/>
  <c r="G31" i="9"/>
  <c r="E64" i="9"/>
  <c r="L102" i="9"/>
  <c r="I17" i="8"/>
  <c r="J17" i="8" s="1"/>
  <c r="C17" i="9" s="1"/>
  <c r="D17" i="9" s="1"/>
  <c r="L16" i="9"/>
  <c r="E37" i="9"/>
  <c r="H37" i="8"/>
  <c r="I59" i="8"/>
  <c r="J59" i="8" s="1"/>
  <c r="C59" i="9" s="1"/>
  <c r="D59" i="9" s="1"/>
  <c r="L58" i="9"/>
  <c r="E60" i="9"/>
  <c r="H60" i="8"/>
  <c r="F75" i="9"/>
  <c r="L74" i="9"/>
  <c r="L87" i="9"/>
  <c r="F88" i="9"/>
  <c r="D88" i="9" s="1"/>
  <c r="B28" i="4"/>
  <c r="B37" i="4"/>
  <c r="B46" i="4"/>
  <c r="D28" i="4"/>
  <c r="H73" i="4"/>
  <c r="J73" i="4" s="1"/>
  <c r="K73" i="4" s="1"/>
  <c r="L14" i="9"/>
  <c r="F15" i="9"/>
  <c r="H25" i="8"/>
  <c r="J42" i="8"/>
  <c r="C42" i="9" s="1"/>
  <c r="J44" i="8"/>
  <c r="C44" i="9" s="1"/>
  <c r="D44" i="9" s="1"/>
  <c r="E53" i="9"/>
  <c r="I66" i="8"/>
  <c r="J66" i="8" s="1"/>
  <c r="C66" i="9" s="1"/>
  <c r="D66" i="9" s="1"/>
  <c r="L65" i="9"/>
  <c r="L69" i="9"/>
  <c r="I70" i="8"/>
  <c r="J70" i="8" s="1"/>
  <c r="C70" i="9" s="1"/>
  <c r="D70" i="9" s="1"/>
  <c r="B77" i="9"/>
  <c r="H95" i="8"/>
  <c r="F95" i="8"/>
  <c r="E95" i="9"/>
  <c r="H103" i="8"/>
  <c r="E103" i="9"/>
  <c r="B86" i="4"/>
  <c r="H86" i="4" s="1"/>
  <c r="E49" i="9"/>
  <c r="E57" i="9"/>
  <c r="H57" i="8"/>
  <c r="I91" i="8"/>
  <c r="J91" i="8" s="1"/>
  <c r="C91" i="9" s="1"/>
  <c r="D91" i="9" s="1"/>
  <c r="E102" i="9"/>
  <c r="E104" i="9"/>
  <c r="E105" i="9"/>
  <c r="F39" i="9"/>
  <c r="E24" i="9"/>
  <c r="H24" i="8"/>
  <c r="E27" i="9"/>
  <c r="B46" i="9"/>
  <c r="E78" i="9"/>
  <c r="H78" i="8"/>
  <c r="B85" i="9"/>
  <c r="B29" i="4"/>
  <c r="D30" i="4"/>
  <c r="B45" i="4"/>
  <c r="D87" i="4"/>
  <c r="H81" i="4"/>
  <c r="E18" i="9"/>
  <c r="I19" i="8"/>
  <c r="J19" i="8" s="1"/>
  <c r="C19" i="9" s="1"/>
  <c r="D19" i="9" s="1"/>
  <c r="E21" i="9"/>
  <c r="H21" i="8"/>
  <c r="F34" i="9"/>
  <c r="I34" i="8"/>
  <c r="J34" i="8" s="1"/>
  <c r="C34" i="9" s="1"/>
  <c r="D34" i="9" s="1"/>
  <c r="E38" i="9"/>
  <c r="I39" i="8"/>
  <c r="J39" i="8" s="1"/>
  <c r="C39" i="9" s="1"/>
  <c r="D39" i="9" s="1"/>
  <c r="E41" i="9"/>
  <c r="E44" i="9"/>
  <c r="H44" i="8"/>
  <c r="E7" i="9"/>
  <c r="E32" i="9"/>
  <c r="I36" i="8"/>
  <c r="J36" i="8" s="1"/>
  <c r="C36" i="9" s="1"/>
  <c r="D36" i="9" s="1"/>
  <c r="E49" i="8"/>
  <c r="B49" i="9" s="1"/>
  <c r="E70" i="9"/>
  <c r="F78" i="8"/>
  <c r="B78" i="9" s="1"/>
  <c r="E85" i="9"/>
  <c r="E95" i="8"/>
  <c r="B95" i="9" s="1"/>
  <c r="B97" i="9"/>
  <c r="F102" i="8"/>
  <c r="E104" i="8"/>
  <c r="B104" i="9" s="1"/>
  <c r="E9" i="9"/>
  <c r="L90" i="9"/>
  <c r="E37" i="8"/>
  <c r="B37" i="9" s="1"/>
  <c r="L41" i="9"/>
  <c r="F42" i="9"/>
  <c r="F47" i="9"/>
  <c r="I47" i="8"/>
  <c r="J47" i="8" s="1"/>
  <c r="C47" i="9" s="1"/>
  <c r="D47" i="9" s="1"/>
  <c r="E48" i="9"/>
  <c r="L49" i="9"/>
  <c r="F50" i="9"/>
  <c r="E51" i="9"/>
  <c r="B59" i="9"/>
  <c r="E72" i="8"/>
  <c r="E75" i="9"/>
  <c r="H75" i="8"/>
  <c r="F75" i="8"/>
  <c r="B75" i="9" s="1"/>
  <c r="F82" i="8"/>
  <c r="F86" i="9"/>
  <c r="I86" i="8"/>
  <c r="J86" i="8" s="1"/>
  <c r="C86" i="9" s="1"/>
  <c r="D86" i="9" s="1"/>
  <c r="L85" i="9"/>
  <c r="E99" i="9"/>
  <c r="E56" i="9"/>
  <c r="E62" i="8"/>
  <c r="B62" i="9" s="1"/>
  <c r="E65" i="8"/>
  <c r="B65" i="9" s="1"/>
  <c r="L83" i="9"/>
  <c r="F84" i="9"/>
  <c r="D84" i="9" s="1"/>
  <c r="E97" i="9"/>
  <c r="E108" i="9"/>
  <c r="E83" i="9"/>
  <c r="E86" i="9"/>
  <c r="H59" i="4"/>
  <c r="J59" i="4" s="1"/>
  <c r="K59" i="4" s="1"/>
  <c r="E20" i="9"/>
  <c r="E23" i="8"/>
  <c r="B23" i="9" s="1"/>
  <c r="E30" i="9"/>
  <c r="E33" i="9"/>
  <c r="E46" i="9"/>
  <c r="I88" i="4"/>
  <c r="M88" i="4" s="1"/>
  <c r="E59" i="9"/>
  <c r="E102" i="8"/>
  <c r="F108" i="8"/>
  <c r="B108" i="9" s="1"/>
  <c r="E89" i="9"/>
  <c r="M6" i="10"/>
  <c r="L7" i="10" s="1"/>
  <c r="T71" i="14" l="1"/>
  <c r="T101" i="14"/>
  <c r="T77" i="14"/>
  <c r="T94" i="14"/>
  <c r="H63" i="14"/>
  <c r="I63" i="14" s="1"/>
  <c r="R63" i="14" s="1"/>
  <c r="I9" i="14"/>
  <c r="R9" i="14" s="1"/>
  <c r="H104" i="14"/>
  <c r="I104" i="14" s="1"/>
  <c r="R104" i="14" s="1"/>
  <c r="M104" i="14"/>
  <c r="T84" i="14"/>
  <c r="P96" i="14"/>
  <c r="O96" i="14"/>
  <c r="T97" i="14" s="1"/>
  <c r="T10" i="14"/>
  <c r="O85" i="14"/>
  <c r="P85" i="14"/>
  <c r="T66" i="14"/>
  <c r="T70" i="14"/>
  <c r="H34" i="14"/>
  <c r="I34" i="14" s="1"/>
  <c r="R34" i="14" s="1"/>
  <c r="O33" i="14"/>
  <c r="P33" i="14"/>
  <c r="T33" i="14" s="1"/>
  <c r="T56" i="14"/>
  <c r="T79" i="14"/>
  <c r="T23" i="14"/>
  <c r="T47" i="14"/>
  <c r="T49" i="14"/>
  <c r="T22" i="14"/>
  <c r="O110" i="14"/>
  <c r="P110" i="14"/>
  <c r="T34" i="14"/>
  <c r="T63" i="14"/>
  <c r="T44" i="14"/>
  <c r="I26" i="14"/>
  <c r="R26" i="14" s="1"/>
  <c r="T26" i="14" s="1"/>
  <c r="T57" i="14"/>
  <c r="H91" i="14"/>
  <c r="I91" i="14" s="1"/>
  <c r="R91" i="14" s="1"/>
  <c r="T91" i="14" s="1"/>
  <c r="I103" i="14"/>
  <c r="R103" i="14" s="1"/>
  <c r="T103" i="14" s="1"/>
  <c r="O26" i="14"/>
  <c r="I110" i="14"/>
  <c r="R110" i="14" s="1"/>
  <c r="T110" i="14" s="1"/>
  <c r="H77" i="14"/>
  <c r="I77" i="14" s="1"/>
  <c r="R77" i="14" s="1"/>
  <c r="T38" i="14"/>
  <c r="T13" i="14"/>
  <c r="M111" i="14"/>
  <c r="H111" i="14"/>
  <c r="I111" i="14" s="1"/>
  <c r="R111" i="14" s="1"/>
  <c r="T55" i="14"/>
  <c r="H93" i="14"/>
  <c r="I93" i="14" s="1"/>
  <c r="R93" i="14" s="1"/>
  <c r="T93" i="14" s="1"/>
  <c r="T106" i="14"/>
  <c r="T16" i="14"/>
  <c r="O103" i="14"/>
  <c r="P103" i="14"/>
  <c r="I96" i="14"/>
  <c r="R96" i="14" s="1"/>
  <c r="H25" i="14"/>
  <c r="I25" i="14" s="1"/>
  <c r="R25" i="14" s="1"/>
  <c r="T25" i="14" s="1"/>
  <c r="P24" i="14"/>
  <c r="T27" i="14"/>
  <c r="T12" i="14"/>
  <c r="T9" i="14"/>
  <c r="T20" i="14"/>
  <c r="T75" i="14"/>
  <c r="H95" i="14"/>
  <c r="I95" i="14" s="1"/>
  <c r="R95" i="14" s="1"/>
  <c r="T95" i="14" s="1"/>
  <c r="T61" i="14"/>
  <c r="H97" i="14"/>
  <c r="I97" i="14" s="1"/>
  <c r="R97" i="14" s="1"/>
  <c r="H27" i="14"/>
  <c r="I27" i="14" s="1"/>
  <c r="R27" i="14" s="1"/>
  <c r="T82" i="14"/>
  <c r="T51" i="14"/>
  <c r="H6" i="14"/>
  <c r="I6" i="14" s="1"/>
  <c r="R6" i="14" s="1"/>
  <c r="P5" i="14"/>
  <c r="T5" i="14" s="1"/>
  <c r="O5" i="14"/>
  <c r="T98" i="14"/>
  <c r="O94" i="14"/>
  <c r="O67" i="14"/>
  <c r="O9" i="14"/>
  <c r="I46" i="14"/>
  <c r="R46" i="14" s="1"/>
  <c r="T46" i="14" s="1"/>
  <c r="I3" i="14"/>
  <c r="R3" i="14" s="1"/>
  <c r="T73" i="14"/>
  <c r="H10" i="14"/>
  <c r="T105" i="14"/>
  <c r="T107" i="14"/>
  <c r="O53" i="14"/>
  <c r="T54" i="14" s="1"/>
  <c r="P53" i="14"/>
  <c r="T59" i="14"/>
  <c r="H52" i="14"/>
  <c r="I52" i="14" s="1"/>
  <c r="R52" i="14" s="1"/>
  <c r="T52" i="14" s="1"/>
  <c r="H44" i="14"/>
  <c r="I44" i="14" s="1"/>
  <c r="R44" i="14" s="1"/>
  <c r="P12" i="14"/>
  <c r="O12" i="14"/>
  <c r="T109" i="14"/>
  <c r="H68" i="14"/>
  <c r="I68" i="14" s="1"/>
  <c r="R68" i="14" s="1"/>
  <c r="T68" i="14" s="1"/>
  <c r="H99" i="14"/>
  <c r="I99" i="14" s="1"/>
  <c r="R99" i="14" s="1"/>
  <c r="T99" i="14" s="1"/>
  <c r="H53" i="14"/>
  <c r="I53" i="14" s="1"/>
  <c r="R53" i="14" s="1"/>
  <c r="T53" i="14" s="1"/>
  <c r="I10" i="14"/>
  <c r="R10" i="14" s="1"/>
  <c r="O10" i="14"/>
  <c r="H92" i="14"/>
  <c r="I92" i="14" s="1"/>
  <c r="R92" i="14" s="1"/>
  <c r="T92" i="14" s="1"/>
  <c r="I31" i="14"/>
  <c r="R31" i="14" s="1"/>
  <c r="T31" i="14" s="1"/>
  <c r="O31" i="14"/>
  <c r="H32" i="14"/>
  <c r="I32" i="14" s="1"/>
  <c r="R32" i="14" s="1"/>
  <c r="T32" i="14" s="1"/>
  <c r="H71" i="14"/>
  <c r="I71" i="14" s="1"/>
  <c r="R71" i="14" s="1"/>
  <c r="H59" i="14"/>
  <c r="I59" i="14" s="1"/>
  <c r="R59" i="14" s="1"/>
  <c r="I7" i="14"/>
  <c r="R7" i="14" s="1"/>
  <c r="T7" i="14" s="1"/>
  <c r="O7" i="14"/>
  <c r="T8" i="14" s="1"/>
  <c r="I28" i="14"/>
  <c r="R28" i="14" s="1"/>
  <c r="T28" i="14" s="1"/>
  <c r="O28" i="14"/>
  <c r="T29" i="14" s="1"/>
  <c r="H108" i="14"/>
  <c r="I108" i="14" s="1"/>
  <c r="R108" i="14" s="1"/>
  <c r="T108" i="14" s="1"/>
  <c r="H85" i="14"/>
  <c r="I85" i="14" s="1"/>
  <c r="R85" i="14" s="1"/>
  <c r="T85" i="14" s="1"/>
  <c r="H62" i="14"/>
  <c r="I62" i="14" s="1"/>
  <c r="R62" i="14" s="1"/>
  <c r="T62" i="14" s="1"/>
  <c r="H78" i="14"/>
  <c r="I78" i="14" s="1"/>
  <c r="R78" i="14" s="1"/>
  <c r="T78" i="14" s="1"/>
  <c r="H65" i="14"/>
  <c r="I65" i="14" s="1"/>
  <c r="R65" i="14" s="1"/>
  <c r="T65" i="14" s="1"/>
  <c r="H60" i="14"/>
  <c r="I60" i="14" s="1"/>
  <c r="R60" i="14" s="1"/>
  <c r="T60" i="14" s="1"/>
  <c r="H66" i="14"/>
  <c r="I66" i="14" s="1"/>
  <c r="R66" i="14" s="1"/>
  <c r="H106" i="14"/>
  <c r="I106" i="14" s="1"/>
  <c r="R106" i="14" s="1"/>
  <c r="I49" i="14"/>
  <c r="R49" i="14" s="1"/>
  <c r="O49" i="14"/>
  <c r="H101" i="14"/>
  <c r="I101" i="14" s="1"/>
  <c r="R101" i="14" s="1"/>
  <c r="H58" i="14"/>
  <c r="I58" i="14" s="1"/>
  <c r="R58" i="14" s="1"/>
  <c r="T58" i="14" s="1"/>
  <c r="H50" i="14"/>
  <c r="I50" i="14" s="1"/>
  <c r="R50" i="14" s="1"/>
  <c r="T50" i="14" s="1"/>
  <c r="H94" i="14"/>
  <c r="I94" i="14" s="1"/>
  <c r="R94" i="14" s="1"/>
  <c r="O35" i="14"/>
  <c r="H11" i="14"/>
  <c r="I11" i="14" s="1"/>
  <c r="R11" i="14" s="1"/>
  <c r="T11" i="14" s="1"/>
  <c r="H36" i="14"/>
  <c r="I36" i="14" s="1"/>
  <c r="R36" i="14" s="1"/>
  <c r="T36" i="14" s="1"/>
  <c r="H86" i="14"/>
  <c r="I86" i="14" s="1"/>
  <c r="R86" i="14" s="1"/>
  <c r="T86" i="14" s="1"/>
  <c r="H100" i="14"/>
  <c r="I100" i="14" s="1"/>
  <c r="R100" i="14" s="1"/>
  <c r="T100" i="14" s="1"/>
  <c r="J35" i="14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J87" i="14" s="1"/>
  <c r="J88" i="14" s="1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107" i="14" s="1"/>
  <c r="J108" i="14" s="1"/>
  <c r="J109" i="14" s="1"/>
  <c r="J110" i="14" s="1"/>
  <c r="J111" i="14" s="1"/>
  <c r="J112" i="14" s="1"/>
  <c r="H35" i="14"/>
  <c r="I35" i="14" s="1"/>
  <c r="R35" i="14" s="1"/>
  <c r="T35" i="14" s="1"/>
  <c r="H61" i="14"/>
  <c r="I61" i="14" s="1"/>
  <c r="R61" i="14" s="1"/>
  <c r="I21" i="14"/>
  <c r="R21" i="14" s="1"/>
  <c r="T21" i="14" s="1"/>
  <c r="O21" i="14"/>
  <c r="K3" i="14"/>
  <c r="K4" i="14" s="1"/>
  <c r="K5" i="14" s="1"/>
  <c r="K6" i="14" s="1"/>
  <c r="V4" i="14"/>
  <c r="H22" i="14"/>
  <c r="I22" i="14" s="1"/>
  <c r="R22" i="14" s="1"/>
  <c r="O52" i="14"/>
  <c r="I24" i="14"/>
  <c r="R24" i="14" s="1"/>
  <c r="T24" i="14" s="1"/>
  <c r="O24" i="14"/>
  <c r="I14" i="14"/>
  <c r="R14" i="14" s="1"/>
  <c r="T14" i="14" s="1"/>
  <c r="O14" i="14"/>
  <c r="T15" i="14" s="1"/>
  <c r="O84" i="14"/>
  <c r="I84" i="14"/>
  <c r="R84" i="14" s="1"/>
  <c r="O55" i="14"/>
  <c r="I55" i="14"/>
  <c r="R55" i="14" s="1"/>
  <c r="O91" i="14"/>
  <c r="I17" i="14"/>
  <c r="R17" i="14" s="1"/>
  <c r="T17" i="14" s="1"/>
  <c r="O17" i="14"/>
  <c r="T18" i="14" s="1"/>
  <c r="H75" i="14"/>
  <c r="I75" i="14" s="1"/>
  <c r="R75" i="14" s="1"/>
  <c r="H57" i="14"/>
  <c r="I57" i="14" s="1"/>
  <c r="R57" i="14" s="1"/>
  <c r="H69" i="14"/>
  <c r="I69" i="14" s="1"/>
  <c r="R69" i="14" s="1"/>
  <c r="T69" i="14" s="1"/>
  <c r="H72" i="14"/>
  <c r="I72" i="14" s="1"/>
  <c r="R72" i="14" s="1"/>
  <c r="T72" i="14" s="1"/>
  <c r="H48" i="14"/>
  <c r="I48" i="14" s="1"/>
  <c r="R48" i="14" s="1"/>
  <c r="T48" i="14" s="1"/>
  <c r="H67" i="14"/>
  <c r="I67" i="14" s="1"/>
  <c r="R67" i="14" s="1"/>
  <c r="T67" i="14" s="1"/>
  <c r="M105" i="13"/>
  <c r="S105" i="13" s="1"/>
  <c r="S103" i="13"/>
  <c r="S71" i="13"/>
  <c r="R91" i="13"/>
  <c r="S91" i="13" s="1"/>
  <c r="R35" i="13"/>
  <c r="S35" i="13" s="1"/>
  <c r="R13" i="13"/>
  <c r="R9" i="13"/>
  <c r="S9" i="13" s="1"/>
  <c r="R3" i="13"/>
  <c r="S3" i="13" s="1"/>
  <c r="K3" i="13"/>
  <c r="K4" i="13" s="1"/>
  <c r="K5" i="13" s="1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R93" i="13"/>
  <c r="S93" i="13" s="1"/>
  <c r="R31" i="13"/>
  <c r="R104" i="13"/>
  <c r="S104" i="13" s="1"/>
  <c r="R65" i="13"/>
  <c r="R11" i="13"/>
  <c r="S11" i="13" s="1"/>
  <c r="R97" i="13"/>
  <c r="R85" i="13"/>
  <c r="R18" i="13"/>
  <c r="S18" i="13" s="1"/>
  <c r="R38" i="13"/>
  <c r="S38" i="13" s="1"/>
  <c r="R33" i="13"/>
  <c r="R78" i="13"/>
  <c r="R76" i="13"/>
  <c r="R16" i="13"/>
  <c r="S16" i="13" s="1"/>
  <c r="R70" i="13"/>
  <c r="S70" i="13" s="1"/>
  <c r="R74" i="13"/>
  <c r="S74" i="13" s="1"/>
  <c r="R6" i="13"/>
  <c r="R108" i="13"/>
  <c r="R92" i="13"/>
  <c r="S92" i="13" s="1"/>
  <c r="R109" i="13"/>
  <c r="S109" i="13" s="1"/>
  <c r="R24" i="13"/>
  <c r="R8" i="13"/>
  <c r="S8" i="13" s="1"/>
  <c r="R54" i="13"/>
  <c r="S54" i="13" s="1"/>
  <c r="R66" i="13"/>
  <c r="S66" i="13" s="1"/>
  <c r="R61" i="13"/>
  <c r="R4" i="13"/>
  <c r="S4" i="13" s="1"/>
  <c r="R75" i="13"/>
  <c r="R58" i="13"/>
  <c r="S58" i="13" s="1"/>
  <c r="S62" i="13"/>
  <c r="H67" i="13"/>
  <c r="I67" i="13" s="1"/>
  <c r="R67" i="13" s="1"/>
  <c r="M67" i="13"/>
  <c r="S14" i="13"/>
  <c r="S15" i="13"/>
  <c r="S59" i="13"/>
  <c r="M84" i="13"/>
  <c r="H84" i="13"/>
  <c r="I84" i="13" s="1"/>
  <c r="M50" i="13"/>
  <c r="H50" i="13"/>
  <c r="I50" i="13" s="1"/>
  <c r="R50" i="13" s="1"/>
  <c r="S87" i="13"/>
  <c r="P97" i="13"/>
  <c r="Q97" i="13" s="1"/>
  <c r="I96" i="13"/>
  <c r="O96" i="13"/>
  <c r="S79" i="13"/>
  <c r="R45" i="13"/>
  <c r="S47" i="13"/>
  <c r="S25" i="13"/>
  <c r="S21" i="13"/>
  <c r="O112" i="13"/>
  <c r="I112" i="13"/>
  <c r="S55" i="13"/>
  <c r="P81" i="13"/>
  <c r="Q81" i="13" s="1"/>
  <c r="I80" i="13"/>
  <c r="O80" i="13"/>
  <c r="S88" i="13"/>
  <c r="P37" i="13"/>
  <c r="Q37" i="13" s="1"/>
  <c r="S37" i="13" s="1"/>
  <c r="O36" i="13"/>
  <c r="I36" i="13"/>
  <c r="M30" i="13"/>
  <c r="H30" i="13"/>
  <c r="I30" i="13" s="1"/>
  <c r="R30" i="13" s="1"/>
  <c r="H51" i="13"/>
  <c r="I51" i="13" s="1"/>
  <c r="R51" i="13" s="1"/>
  <c r="M51" i="13"/>
  <c r="P101" i="13"/>
  <c r="Q101" i="13" s="1"/>
  <c r="O100" i="13"/>
  <c r="I100" i="13"/>
  <c r="R29" i="13"/>
  <c r="S73" i="13"/>
  <c r="S40" i="13"/>
  <c r="S72" i="13"/>
  <c r="P49" i="13"/>
  <c r="Q49" i="13" s="1"/>
  <c r="I48" i="13"/>
  <c r="O48" i="13"/>
  <c r="H95" i="13"/>
  <c r="I95" i="13" s="1"/>
  <c r="R95" i="13" s="1"/>
  <c r="M95" i="13"/>
  <c r="P65" i="13"/>
  <c r="Q65" i="13" s="1"/>
  <c r="I64" i="13"/>
  <c r="O64" i="13"/>
  <c r="S77" i="13"/>
  <c r="S90" i="13"/>
  <c r="R28" i="13"/>
  <c r="P107" i="13"/>
  <c r="Q107" i="13" s="1"/>
  <c r="O106" i="13"/>
  <c r="I106" i="13"/>
  <c r="P53" i="13"/>
  <c r="Q53" i="13" s="1"/>
  <c r="O52" i="13"/>
  <c r="P85" i="13"/>
  <c r="Q85" i="13" s="1"/>
  <c r="O84" i="13"/>
  <c r="S60" i="13"/>
  <c r="S46" i="13"/>
  <c r="S76" i="13"/>
  <c r="S63" i="13"/>
  <c r="S78" i="13"/>
  <c r="S44" i="13"/>
  <c r="S19" i="13"/>
  <c r="S13" i="13"/>
  <c r="M26" i="13"/>
  <c r="H26" i="13"/>
  <c r="I26" i="13" s="1"/>
  <c r="R26" i="13" s="1"/>
  <c r="S102" i="13"/>
  <c r="H107" i="13"/>
  <c r="I107" i="13" s="1"/>
  <c r="H53" i="13"/>
  <c r="I53" i="13" s="1"/>
  <c r="M20" i="13"/>
  <c r="J20" i="13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H20" i="13"/>
  <c r="I20" i="13" s="1"/>
  <c r="R20" i="13" s="1"/>
  <c r="O51" i="13"/>
  <c r="P52" i="13"/>
  <c r="Q52" i="13" s="1"/>
  <c r="S33" i="13"/>
  <c r="S5" i="13"/>
  <c r="P69" i="13"/>
  <c r="Q69" i="13" s="1"/>
  <c r="O68" i="13"/>
  <c r="S94" i="13"/>
  <c r="S39" i="13"/>
  <c r="S34" i="13"/>
  <c r="H69" i="13"/>
  <c r="I69" i="13" s="1"/>
  <c r="H49" i="13"/>
  <c r="I49" i="13" s="1"/>
  <c r="S57" i="13"/>
  <c r="S12" i="13"/>
  <c r="S7" i="13"/>
  <c r="S43" i="13"/>
  <c r="H41" i="13"/>
  <c r="I41" i="13" s="1"/>
  <c r="R41" i="13" s="1"/>
  <c r="M41" i="13"/>
  <c r="H81" i="13"/>
  <c r="I81" i="13" s="1"/>
  <c r="S23" i="13"/>
  <c r="S22" i="13"/>
  <c r="M68" i="13"/>
  <c r="H68" i="13"/>
  <c r="I68" i="13" s="1"/>
  <c r="H101" i="13"/>
  <c r="I101" i="13" s="1"/>
  <c r="S98" i="13"/>
  <c r="S110" i="13"/>
  <c r="S27" i="13"/>
  <c r="S10" i="13"/>
  <c r="S89" i="13"/>
  <c r="S56" i="13"/>
  <c r="S86" i="13"/>
  <c r="M99" i="13"/>
  <c r="H99" i="13"/>
  <c r="I99" i="13" s="1"/>
  <c r="R99" i="13" s="1"/>
  <c r="S42" i="13"/>
  <c r="S32" i="13"/>
  <c r="H83" i="13"/>
  <c r="I83" i="13" s="1"/>
  <c r="R83" i="13" s="1"/>
  <c r="M83" i="13"/>
  <c r="H52" i="13"/>
  <c r="I52" i="13" s="1"/>
  <c r="S17" i="13"/>
  <c r="U5" i="11"/>
  <c r="U6" i="11" s="1"/>
  <c r="T7" i="11" s="1"/>
  <c r="K4" i="11"/>
  <c r="K5" i="11" s="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K110" i="11" s="1"/>
  <c r="K111" i="11" s="1"/>
  <c r="K112" i="11" s="1"/>
  <c r="J4" i="1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44" i="4"/>
  <c r="K44" i="4" s="1"/>
  <c r="I44" i="4"/>
  <c r="M44" i="4" s="1"/>
  <c r="G11" i="9"/>
  <c r="G84" i="9"/>
  <c r="G10" i="9"/>
  <c r="J89" i="4"/>
  <c r="K89" i="4" s="1"/>
  <c r="I89" i="4"/>
  <c r="M89" i="4" s="1"/>
  <c r="J40" i="4"/>
  <c r="K40" i="4" s="1"/>
  <c r="I40" i="4"/>
  <c r="M40" i="4" s="1"/>
  <c r="G17" i="9"/>
  <c r="I114" i="4"/>
  <c r="M114" i="4" s="1"/>
  <c r="J114" i="4"/>
  <c r="K114" i="4" s="1"/>
  <c r="G49" i="9"/>
  <c r="G98" i="9"/>
  <c r="G19" i="9"/>
  <c r="H19" i="9" s="1"/>
  <c r="J19" i="9"/>
  <c r="K19" i="9" s="1"/>
  <c r="I19" i="9"/>
  <c r="M19" i="9" s="1"/>
  <c r="J37" i="4"/>
  <c r="K37" i="4" s="1"/>
  <c r="J52" i="4"/>
  <c r="K52" i="4" s="1"/>
  <c r="I52" i="4"/>
  <c r="M52" i="4" s="1"/>
  <c r="J35" i="4"/>
  <c r="K35" i="4" s="1"/>
  <c r="I35" i="4"/>
  <c r="M35" i="4" s="1"/>
  <c r="G88" i="9"/>
  <c r="I16" i="4"/>
  <c r="M16" i="4" s="1"/>
  <c r="J16" i="4"/>
  <c r="K16" i="4" s="1"/>
  <c r="I60" i="4"/>
  <c r="M60" i="4" s="1"/>
  <c r="J60" i="4"/>
  <c r="K60" i="4" s="1"/>
  <c r="J19" i="4"/>
  <c r="K19" i="4" s="1"/>
  <c r="I19" i="4"/>
  <c r="M19" i="4" s="1"/>
  <c r="I106" i="4"/>
  <c r="M106" i="4" s="1"/>
  <c r="J106" i="4"/>
  <c r="K106" i="4" s="1"/>
  <c r="G103" i="9"/>
  <c r="G54" i="9"/>
  <c r="H54" i="9" s="1"/>
  <c r="J61" i="4"/>
  <c r="K61" i="4" s="1"/>
  <c r="I61" i="4"/>
  <c r="M61" i="4" s="1"/>
  <c r="G39" i="9"/>
  <c r="I57" i="4"/>
  <c r="M57" i="4" s="1"/>
  <c r="J57" i="4"/>
  <c r="K57" i="4" s="1"/>
  <c r="J59" i="9"/>
  <c r="K59" i="9" s="1"/>
  <c r="G59" i="9"/>
  <c r="J68" i="4"/>
  <c r="K68" i="4" s="1"/>
  <c r="I68" i="4"/>
  <c r="M68" i="4" s="1"/>
  <c r="I77" i="4"/>
  <c r="M77" i="4" s="1"/>
  <c r="J77" i="4"/>
  <c r="K77" i="4" s="1"/>
  <c r="J51" i="4"/>
  <c r="K51" i="4" s="1"/>
  <c r="I51" i="4"/>
  <c r="M51" i="4" s="1"/>
  <c r="I14" i="4"/>
  <c r="M14" i="4" s="1"/>
  <c r="I9" i="4"/>
  <c r="M9" i="4" s="1"/>
  <c r="J9" i="4"/>
  <c r="K9" i="4" s="1"/>
  <c r="I20" i="4"/>
  <c r="M20" i="4" s="1"/>
  <c r="J20" i="4"/>
  <c r="K20" i="4" s="1"/>
  <c r="J34" i="4"/>
  <c r="K34" i="4" s="1"/>
  <c r="I34" i="4"/>
  <c r="M34" i="4" s="1"/>
  <c r="J84" i="4"/>
  <c r="K84" i="4" s="1"/>
  <c r="I84" i="4"/>
  <c r="M84" i="4" s="1"/>
  <c r="I98" i="4"/>
  <c r="M98" i="4" s="1"/>
  <c r="I48" i="4"/>
  <c r="M48" i="4" s="1"/>
  <c r="J48" i="4"/>
  <c r="K48" i="4" s="1"/>
  <c r="J25" i="4"/>
  <c r="K25" i="4" s="1"/>
  <c r="I25" i="4"/>
  <c r="M25" i="4" s="1"/>
  <c r="J10" i="4"/>
  <c r="K10" i="4" s="1"/>
  <c r="I10" i="4"/>
  <c r="M10" i="4" s="1"/>
  <c r="G91" i="9"/>
  <c r="J45" i="4"/>
  <c r="K45" i="4" s="1"/>
  <c r="I45" i="4"/>
  <c r="M45" i="4" s="1"/>
  <c r="G28" i="9"/>
  <c r="J80" i="4"/>
  <c r="K80" i="4" s="1"/>
  <c r="I80" i="4"/>
  <c r="M80" i="4" s="1"/>
  <c r="I86" i="9"/>
  <c r="M86" i="9" s="1"/>
  <c r="I34" i="9"/>
  <c r="M34" i="9" s="1"/>
  <c r="D42" i="9"/>
  <c r="G21" i="9"/>
  <c r="B68" i="9"/>
  <c r="I86" i="4"/>
  <c r="M86" i="4" s="1"/>
  <c r="K7" i="10"/>
  <c r="M7" i="10" s="1"/>
  <c r="L8" i="10" s="1"/>
  <c r="F35" i="9"/>
  <c r="L34" i="9"/>
  <c r="H34" i="9" s="1"/>
  <c r="J34" i="9" s="1"/>
  <c r="K34" i="9" s="1"/>
  <c r="I35" i="8"/>
  <c r="J35" i="8" s="1"/>
  <c r="C35" i="9" s="1"/>
  <c r="D35" i="9" s="1"/>
  <c r="I104" i="8"/>
  <c r="J104" i="8" s="1"/>
  <c r="C104" i="9" s="1"/>
  <c r="L103" i="9"/>
  <c r="H103" i="9" s="1"/>
  <c r="J103" i="9" s="1"/>
  <c r="K103" i="9" s="1"/>
  <c r="F104" i="9"/>
  <c r="B82" i="9"/>
  <c r="D109" i="9"/>
  <c r="L17" i="9"/>
  <c r="F18" i="9"/>
  <c r="I18" i="8"/>
  <c r="J18" i="8" s="1"/>
  <c r="C18" i="9" s="1"/>
  <c r="D18" i="9" s="1"/>
  <c r="G101" i="4"/>
  <c r="H101" i="4" s="1"/>
  <c r="J101" i="4" s="1"/>
  <c r="K101" i="4" s="1"/>
  <c r="L11" i="9"/>
  <c r="H11" i="9" s="1"/>
  <c r="J11" i="9" s="1"/>
  <c r="K11" i="9" s="1"/>
  <c r="F12" i="9"/>
  <c r="I12" i="8"/>
  <c r="J12" i="8" s="1"/>
  <c r="C12" i="9" s="1"/>
  <c r="D12" i="9" s="1"/>
  <c r="G52" i="9"/>
  <c r="I82" i="4"/>
  <c r="M82" i="4" s="1"/>
  <c r="B102" i="9"/>
  <c r="I94" i="4"/>
  <c r="M94" i="4" s="1"/>
  <c r="K7" i="5"/>
  <c r="M7" i="5"/>
  <c r="L8" i="5" s="1"/>
  <c r="L15" i="9"/>
  <c r="F16" i="9"/>
  <c r="I16" i="8"/>
  <c r="J16" i="8" s="1"/>
  <c r="C16" i="9" s="1"/>
  <c r="D16" i="9" s="1"/>
  <c r="I67" i="4"/>
  <c r="M67" i="4" s="1"/>
  <c r="J43" i="4"/>
  <c r="K43" i="4" s="1"/>
  <c r="J98" i="4"/>
  <c r="K98" i="4" s="1"/>
  <c r="J33" i="9"/>
  <c r="K33" i="9" s="1"/>
  <c r="G33" i="9"/>
  <c r="H33" i="9" s="1"/>
  <c r="I50" i="4"/>
  <c r="M50" i="4" s="1"/>
  <c r="L95" i="9"/>
  <c r="F96" i="9"/>
  <c r="I96" i="8"/>
  <c r="J96" i="8" s="1"/>
  <c r="C96" i="9" s="1"/>
  <c r="D96" i="9" s="1"/>
  <c r="H64" i="9"/>
  <c r="I64" i="9" s="1"/>
  <c r="M64" i="9" s="1"/>
  <c r="D14" i="9"/>
  <c r="J31" i="4"/>
  <c r="K31" i="4" s="1"/>
  <c r="J113" i="4"/>
  <c r="K113" i="4" s="1"/>
  <c r="G47" i="9"/>
  <c r="I41" i="8"/>
  <c r="J41" i="8" s="1"/>
  <c r="C41" i="9" s="1"/>
  <c r="F41" i="9"/>
  <c r="L40" i="9"/>
  <c r="G110" i="4"/>
  <c r="H110" i="4" s="1"/>
  <c r="J110" i="4"/>
  <c r="K110" i="4" s="1"/>
  <c r="G97" i="4"/>
  <c r="H97" i="4" s="1"/>
  <c r="J97" i="4" s="1"/>
  <c r="K97" i="4" s="1"/>
  <c r="H86" i="9"/>
  <c r="J86" i="9" s="1"/>
  <c r="K86" i="9" s="1"/>
  <c r="I92" i="4"/>
  <c r="M92" i="4" s="1"/>
  <c r="J92" i="4"/>
  <c r="K92" i="4" s="1"/>
  <c r="G75" i="9"/>
  <c r="G86" i="9"/>
  <c r="G34" i="9"/>
  <c r="L78" i="9"/>
  <c r="I79" i="8"/>
  <c r="J79" i="8" s="1"/>
  <c r="C79" i="9" s="1"/>
  <c r="F79" i="9"/>
  <c r="H87" i="9"/>
  <c r="I87" i="9" s="1"/>
  <c r="M87" i="9" s="1"/>
  <c r="L28" i="9"/>
  <c r="H28" i="9" s="1"/>
  <c r="J28" i="9" s="1"/>
  <c r="K28" i="9" s="1"/>
  <c r="F29" i="9"/>
  <c r="I29" i="8"/>
  <c r="J29" i="8" s="1"/>
  <c r="C29" i="9" s="1"/>
  <c r="I73" i="8"/>
  <c r="J73" i="8" s="1"/>
  <c r="C73" i="9" s="1"/>
  <c r="F73" i="9"/>
  <c r="L72" i="9"/>
  <c r="J107" i="4"/>
  <c r="K107" i="4" s="1"/>
  <c r="F37" i="9"/>
  <c r="L36" i="9"/>
  <c r="I37" i="8"/>
  <c r="J37" i="8" s="1"/>
  <c r="C37" i="9" s="1"/>
  <c r="D37" i="9" s="1"/>
  <c r="J96" i="4"/>
  <c r="K96" i="4" s="1"/>
  <c r="I96" i="4"/>
  <c r="M96" i="4" s="1"/>
  <c r="F67" i="9"/>
  <c r="L66" i="9"/>
  <c r="H66" i="9" s="1"/>
  <c r="I66" i="9" s="1"/>
  <c r="M66" i="9" s="1"/>
  <c r="I67" i="8"/>
  <c r="J67" i="8" s="1"/>
  <c r="C67" i="9" s="1"/>
  <c r="J93" i="4"/>
  <c r="K93" i="4" s="1"/>
  <c r="F89" i="9"/>
  <c r="L88" i="9"/>
  <c r="I89" i="8"/>
  <c r="J89" i="8" s="1"/>
  <c r="C89" i="9" s="1"/>
  <c r="J115" i="4"/>
  <c r="K115" i="4" s="1"/>
  <c r="H53" i="9"/>
  <c r="I53" i="9" s="1"/>
  <c r="M53" i="9" s="1"/>
  <c r="F95" i="9"/>
  <c r="L94" i="9"/>
  <c r="I95" i="8"/>
  <c r="J95" i="8" s="1"/>
  <c r="C95" i="9" s="1"/>
  <c r="D95" i="9" s="1"/>
  <c r="J86" i="4"/>
  <c r="K86" i="4" s="1"/>
  <c r="I103" i="9"/>
  <c r="M103" i="9" s="1"/>
  <c r="D69" i="9"/>
  <c r="G106" i="9"/>
  <c r="J33" i="4"/>
  <c r="K33" i="4" s="1"/>
  <c r="B106" i="9"/>
  <c r="J106" i="9" s="1"/>
  <c r="K106" i="9" s="1"/>
  <c r="J102" i="4"/>
  <c r="K102" i="4" s="1"/>
  <c r="F22" i="9"/>
  <c r="L21" i="9"/>
  <c r="H21" i="9" s="1"/>
  <c r="I21" i="9" s="1"/>
  <c r="M21" i="9" s="1"/>
  <c r="I22" i="8"/>
  <c r="J22" i="8" s="1"/>
  <c r="C22" i="9" s="1"/>
  <c r="D22" i="9" s="1"/>
  <c r="L25" i="9"/>
  <c r="F26" i="9"/>
  <c r="I26" i="8"/>
  <c r="J26" i="8" s="1"/>
  <c r="C26" i="9" s="1"/>
  <c r="I59" i="4"/>
  <c r="M59" i="4" s="1"/>
  <c r="F92" i="9"/>
  <c r="L91" i="9"/>
  <c r="I92" i="8"/>
  <c r="J92" i="8" s="1"/>
  <c r="C92" i="9" s="1"/>
  <c r="D92" i="9" s="1"/>
  <c r="I74" i="4"/>
  <c r="M74" i="4" s="1"/>
  <c r="J26" i="4"/>
  <c r="K26" i="4" s="1"/>
  <c r="H95" i="4"/>
  <c r="J95" i="4" s="1"/>
  <c r="K95" i="4" s="1"/>
  <c r="G57" i="9"/>
  <c r="L106" i="9"/>
  <c r="H106" i="9" s="1"/>
  <c r="F107" i="9"/>
  <c r="I107" i="8"/>
  <c r="J107" i="8" s="1"/>
  <c r="C107" i="9" s="1"/>
  <c r="D107" i="9" s="1"/>
  <c r="D24" i="9"/>
  <c r="L39" i="9"/>
  <c r="F40" i="9"/>
  <c r="I40" i="8"/>
  <c r="J40" i="8" s="1"/>
  <c r="C40" i="9" s="1"/>
  <c r="D40" i="9" s="1"/>
  <c r="D9" i="9"/>
  <c r="I104" i="4"/>
  <c r="M104" i="4" s="1"/>
  <c r="G36" i="9"/>
  <c r="F61" i="9"/>
  <c r="L60" i="9"/>
  <c r="I61" i="8"/>
  <c r="J61" i="8" s="1"/>
  <c r="C61" i="9" s="1"/>
  <c r="D61" i="9" s="1"/>
  <c r="B94" i="9"/>
  <c r="J90" i="4"/>
  <c r="K90" i="4" s="1"/>
  <c r="F76" i="9"/>
  <c r="I76" i="8"/>
  <c r="J76" i="8" s="1"/>
  <c r="C76" i="9" s="1"/>
  <c r="D76" i="9" s="1"/>
  <c r="L75" i="9"/>
  <c r="L24" i="9"/>
  <c r="F25" i="9"/>
  <c r="I25" i="8"/>
  <c r="J25" i="8" s="1"/>
  <c r="C25" i="9" s="1"/>
  <c r="D25" i="9" s="1"/>
  <c r="G103" i="4"/>
  <c r="H103" i="4" s="1"/>
  <c r="I103" i="4" s="1"/>
  <c r="M103" i="4" s="1"/>
  <c r="J78" i="4"/>
  <c r="K78" i="4" s="1"/>
  <c r="I93" i="8"/>
  <c r="J93" i="8" s="1"/>
  <c r="C93" i="9" s="1"/>
  <c r="F93" i="9"/>
  <c r="L92" i="9"/>
  <c r="B92" i="9"/>
  <c r="B36" i="9"/>
  <c r="F23" i="9"/>
  <c r="I23" i="8"/>
  <c r="J23" i="8" s="1"/>
  <c r="C23" i="9" s="1"/>
  <c r="D23" i="9" s="1"/>
  <c r="L22" i="9"/>
  <c r="L107" i="9"/>
  <c r="F108" i="9"/>
  <c r="I108" i="8"/>
  <c r="J108" i="8" s="1"/>
  <c r="C108" i="9" s="1"/>
  <c r="D108" i="9" s="1"/>
  <c r="I8" i="9"/>
  <c r="M8" i="9" s="1"/>
  <c r="J7" i="4"/>
  <c r="K7" i="4" s="1"/>
  <c r="H92" i="4"/>
  <c r="H10" i="9"/>
  <c r="J10" i="9" s="1"/>
  <c r="K10" i="9" s="1"/>
  <c r="G83" i="4"/>
  <c r="H83" i="4" s="1"/>
  <c r="J83" i="4"/>
  <c r="K83" i="4" s="1"/>
  <c r="I83" i="4"/>
  <c r="M83" i="4" s="1"/>
  <c r="G70" i="4"/>
  <c r="H70" i="4" s="1"/>
  <c r="I70" i="4" s="1"/>
  <c r="M70" i="4" s="1"/>
  <c r="J70" i="4"/>
  <c r="K70" i="4" s="1"/>
  <c r="J87" i="9"/>
  <c r="K87" i="9" s="1"/>
  <c r="G87" i="9"/>
  <c r="H98" i="4"/>
  <c r="G74" i="9"/>
  <c r="H74" i="9" s="1"/>
  <c r="I39" i="4"/>
  <c r="M39" i="4" s="1"/>
  <c r="D100" i="9"/>
  <c r="J112" i="4"/>
  <c r="K112" i="4" s="1"/>
  <c r="J72" i="4"/>
  <c r="K72" i="4" s="1"/>
  <c r="J32" i="4"/>
  <c r="K32" i="4" s="1"/>
  <c r="B72" i="9"/>
  <c r="G28" i="4"/>
  <c r="H28" i="4" s="1"/>
  <c r="J28" i="4" s="1"/>
  <c r="K28" i="4" s="1"/>
  <c r="G71" i="9"/>
  <c r="G54" i="4"/>
  <c r="H54" i="4" s="1"/>
  <c r="J54" i="4" s="1"/>
  <c r="K54" i="4" s="1"/>
  <c r="F101" i="9"/>
  <c r="L100" i="9"/>
  <c r="I101" i="8"/>
  <c r="J101" i="8" s="1"/>
  <c r="C101" i="9" s="1"/>
  <c r="D101" i="9" s="1"/>
  <c r="I44" i="9"/>
  <c r="M44" i="9" s="1"/>
  <c r="F32" i="9"/>
  <c r="L31" i="9"/>
  <c r="H31" i="9" s="1"/>
  <c r="J31" i="9" s="1"/>
  <c r="K31" i="9" s="1"/>
  <c r="I32" i="8"/>
  <c r="J32" i="8" s="1"/>
  <c r="C32" i="9" s="1"/>
  <c r="G65" i="9"/>
  <c r="G64" i="9"/>
  <c r="H84" i="9"/>
  <c r="J84" i="9" s="1"/>
  <c r="K84" i="9" s="1"/>
  <c r="D83" i="9"/>
  <c r="L93" i="9"/>
  <c r="F94" i="9"/>
  <c r="I94" i="8"/>
  <c r="J94" i="8" s="1"/>
  <c r="C94" i="9" s="1"/>
  <c r="D94" i="9" s="1"/>
  <c r="G68" i="9"/>
  <c r="H68" i="9" s="1"/>
  <c r="J68" i="9" s="1"/>
  <c r="K68" i="9" s="1"/>
  <c r="H90" i="9"/>
  <c r="J90" i="9" s="1"/>
  <c r="K90" i="9" s="1"/>
  <c r="H23" i="4"/>
  <c r="J23" i="4" s="1"/>
  <c r="K23" i="4" s="1"/>
  <c r="I38" i="8"/>
  <c r="J38" i="8" s="1"/>
  <c r="C38" i="9" s="1"/>
  <c r="D38" i="9" s="1"/>
  <c r="F38" i="9"/>
  <c r="L37" i="9"/>
  <c r="I65" i="4"/>
  <c r="M65" i="4" s="1"/>
  <c r="H37" i="4"/>
  <c r="I37" i="4" s="1"/>
  <c r="M37" i="4" s="1"/>
  <c r="F63" i="9"/>
  <c r="I63" i="8"/>
  <c r="J63" i="8" s="1"/>
  <c r="C63" i="9" s="1"/>
  <c r="D63" i="9" s="1"/>
  <c r="L62" i="9"/>
  <c r="J14" i="4"/>
  <c r="K14" i="4" s="1"/>
  <c r="G85" i="9"/>
  <c r="H85" i="9" s="1"/>
  <c r="I33" i="9"/>
  <c r="M33" i="9" s="1"/>
  <c r="I110" i="4"/>
  <c r="M110" i="4" s="1"/>
  <c r="H96" i="4"/>
  <c r="H72" i="4"/>
  <c r="I72" i="4" s="1"/>
  <c r="M72" i="4" s="1"/>
  <c r="G87" i="4"/>
  <c r="H87" i="4" s="1"/>
  <c r="I87" i="4" s="1"/>
  <c r="M87" i="4" s="1"/>
  <c r="J87" i="4"/>
  <c r="K87" i="4" s="1"/>
  <c r="B93" i="9"/>
  <c r="D60" i="9"/>
  <c r="L98" i="9"/>
  <c r="H98" i="9" s="1"/>
  <c r="I98" i="9" s="1"/>
  <c r="M98" i="9" s="1"/>
  <c r="I99" i="8"/>
  <c r="J99" i="8" s="1"/>
  <c r="C99" i="9" s="1"/>
  <c r="F99" i="9"/>
  <c r="I111" i="4"/>
  <c r="M111" i="4" s="1"/>
  <c r="F46" i="9"/>
  <c r="L45" i="9"/>
  <c r="I46" i="8"/>
  <c r="J46" i="8" s="1"/>
  <c r="C46" i="9" s="1"/>
  <c r="D46" i="9" s="1"/>
  <c r="I54" i="4"/>
  <c r="M54" i="4" s="1"/>
  <c r="L44" i="9"/>
  <c r="H44" i="9" s="1"/>
  <c r="J44" i="9" s="1"/>
  <c r="K44" i="9" s="1"/>
  <c r="I45" i="8"/>
  <c r="J45" i="8" s="1"/>
  <c r="C45" i="9" s="1"/>
  <c r="F45" i="9"/>
  <c r="G70" i="9"/>
  <c r="H70" i="9" s="1"/>
  <c r="J46" i="4"/>
  <c r="K46" i="4" s="1"/>
  <c r="I108" i="4"/>
  <c r="M108" i="4" s="1"/>
  <c r="G56" i="4"/>
  <c r="H56" i="4" s="1"/>
  <c r="J56" i="4"/>
  <c r="K56" i="4" s="1"/>
  <c r="H59" i="9"/>
  <c r="I59" i="9" s="1"/>
  <c r="M59" i="9" s="1"/>
  <c r="D15" i="9"/>
  <c r="F102" i="9"/>
  <c r="I102" i="8"/>
  <c r="J102" i="8" s="1"/>
  <c r="C102" i="9" s="1"/>
  <c r="D102" i="9" s="1"/>
  <c r="L101" i="9"/>
  <c r="B13" i="9"/>
  <c r="I7" i="4"/>
  <c r="M7" i="4" s="1"/>
  <c r="D55" i="9"/>
  <c r="D13" i="9"/>
  <c r="L50" i="9"/>
  <c r="I51" i="8"/>
  <c r="J51" i="8" s="1"/>
  <c r="C51" i="9" s="1"/>
  <c r="D51" i="9" s="1"/>
  <c r="F51" i="9"/>
  <c r="G41" i="4"/>
  <c r="H41" i="4" s="1"/>
  <c r="I41" i="4" s="1"/>
  <c r="M41" i="4" s="1"/>
  <c r="J12" i="4"/>
  <c r="K12" i="4" s="1"/>
  <c r="G17" i="4"/>
  <c r="H17" i="4" s="1"/>
  <c r="I17" i="4" s="1"/>
  <c r="M17" i="4" s="1"/>
  <c r="F27" i="9"/>
  <c r="L26" i="9"/>
  <c r="I27" i="8"/>
  <c r="J27" i="8" s="1"/>
  <c r="C27" i="9" s="1"/>
  <c r="D27" i="9" s="1"/>
  <c r="D7" i="9"/>
  <c r="I56" i="4"/>
  <c r="M56" i="4" s="1"/>
  <c r="L71" i="9"/>
  <c r="F72" i="9"/>
  <c r="I72" i="8"/>
  <c r="J72" i="8" s="1"/>
  <c r="C72" i="9" s="1"/>
  <c r="D72" i="9" s="1"/>
  <c r="G53" i="9"/>
  <c r="G44" i="9"/>
  <c r="D50" i="9"/>
  <c r="G30" i="4"/>
  <c r="H30" i="4" s="1"/>
  <c r="I30" i="4" s="1"/>
  <c r="M30" i="4" s="1"/>
  <c r="J30" i="4"/>
  <c r="K30" i="4" s="1"/>
  <c r="L47" i="9"/>
  <c r="F48" i="9"/>
  <c r="I48" i="8"/>
  <c r="J48" i="8" s="1"/>
  <c r="C48" i="9" s="1"/>
  <c r="D48" i="9" s="1"/>
  <c r="I97" i="8"/>
  <c r="J97" i="8" s="1"/>
  <c r="C97" i="9" s="1"/>
  <c r="F97" i="9"/>
  <c r="L96" i="9"/>
  <c r="F62" i="9"/>
  <c r="L61" i="9"/>
  <c r="I62" i="8"/>
  <c r="J62" i="8" s="1"/>
  <c r="C62" i="9" s="1"/>
  <c r="D62" i="9" s="1"/>
  <c r="H52" i="9"/>
  <c r="I52" i="9" s="1"/>
  <c r="M52" i="9" s="1"/>
  <c r="J81" i="9"/>
  <c r="K81" i="9" s="1"/>
  <c r="G81" i="9"/>
  <c r="H20" i="9"/>
  <c r="B26" i="9"/>
  <c r="B6" i="9"/>
  <c r="G6" i="9"/>
  <c r="I79" i="4"/>
  <c r="M79" i="4" s="1"/>
  <c r="H49" i="9"/>
  <c r="I49" i="9" s="1"/>
  <c r="M49" i="9" s="1"/>
  <c r="H65" i="9"/>
  <c r="J65" i="9" s="1"/>
  <c r="K65" i="9" s="1"/>
  <c r="F43" i="9"/>
  <c r="L42" i="9"/>
  <c r="I43" i="8"/>
  <c r="J43" i="8" s="1"/>
  <c r="C43" i="9" s="1"/>
  <c r="D43" i="9" s="1"/>
  <c r="F77" i="9"/>
  <c r="L76" i="9"/>
  <c r="I77" i="8"/>
  <c r="J77" i="8" s="1"/>
  <c r="C77" i="9" s="1"/>
  <c r="I81" i="9"/>
  <c r="M81" i="9" s="1"/>
  <c r="L55" i="9"/>
  <c r="I56" i="8"/>
  <c r="J56" i="8" s="1"/>
  <c r="C56" i="9" s="1"/>
  <c r="F56" i="9"/>
  <c r="I6" i="9"/>
  <c r="M6" i="9" s="1"/>
  <c r="I101" i="4"/>
  <c r="M101" i="4" s="1"/>
  <c r="I85" i="4"/>
  <c r="M85" i="4" s="1"/>
  <c r="L57" i="9"/>
  <c r="I58" i="8"/>
  <c r="J58" i="8" s="1"/>
  <c r="C58" i="9" s="1"/>
  <c r="F58" i="9"/>
  <c r="G66" i="9"/>
  <c r="L81" i="9"/>
  <c r="H81" i="9" s="1"/>
  <c r="I82" i="8"/>
  <c r="J82" i="8" s="1"/>
  <c r="C82" i="9" s="1"/>
  <c r="F82" i="9"/>
  <c r="J38" i="4"/>
  <c r="K38" i="4" s="1"/>
  <c r="I38" i="4"/>
  <c r="M38" i="4" s="1"/>
  <c r="D78" i="9"/>
  <c r="D30" i="9"/>
  <c r="H14" i="4"/>
  <c r="J105" i="4"/>
  <c r="K105" i="4" s="1"/>
  <c r="D80" i="9"/>
  <c r="H6" i="9"/>
  <c r="J6" i="9" s="1"/>
  <c r="K6" i="9" s="1"/>
  <c r="T111" i="14" l="1"/>
  <c r="T104" i="14"/>
  <c r="T6" i="14"/>
  <c r="T96" i="14"/>
  <c r="V5" i="14"/>
  <c r="K7" i="14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K63" i="14" s="1"/>
  <c r="K64" i="14" s="1"/>
  <c r="K65" i="14" s="1"/>
  <c r="K66" i="14" s="1"/>
  <c r="K67" i="14" s="1"/>
  <c r="K68" i="14" s="1"/>
  <c r="K69" i="14" s="1"/>
  <c r="K70" i="14" s="1"/>
  <c r="K71" i="14" s="1"/>
  <c r="K72" i="14" s="1"/>
  <c r="K73" i="14" s="1"/>
  <c r="K74" i="14" s="1"/>
  <c r="K75" i="14" s="1"/>
  <c r="K76" i="14" s="1"/>
  <c r="K77" i="14" s="1"/>
  <c r="K78" i="14" s="1"/>
  <c r="K79" i="14" s="1"/>
  <c r="K80" i="14" s="1"/>
  <c r="K81" i="14" s="1"/>
  <c r="K82" i="14" s="1"/>
  <c r="K83" i="14" s="1"/>
  <c r="K84" i="14" s="1"/>
  <c r="K85" i="14" s="1"/>
  <c r="K86" i="14" s="1"/>
  <c r="K87" i="14" s="1"/>
  <c r="K88" i="14" s="1"/>
  <c r="K89" i="14" s="1"/>
  <c r="K90" i="14" s="1"/>
  <c r="K91" i="14" s="1"/>
  <c r="K92" i="14" s="1"/>
  <c r="K93" i="14" s="1"/>
  <c r="K94" i="14" s="1"/>
  <c r="K95" i="14" s="1"/>
  <c r="K96" i="14" s="1"/>
  <c r="K97" i="14" s="1"/>
  <c r="K98" i="14" s="1"/>
  <c r="K99" i="14" s="1"/>
  <c r="K100" i="14" s="1"/>
  <c r="K101" i="14" s="1"/>
  <c r="K102" i="14" s="1"/>
  <c r="K103" i="14" s="1"/>
  <c r="K104" i="14" s="1"/>
  <c r="K105" i="14" s="1"/>
  <c r="K106" i="14" s="1"/>
  <c r="K107" i="14" s="1"/>
  <c r="K108" i="14" s="1"/>
  <c r="K109" i="14" s="1"/>
  <c r="K110" i="14" s="1"/>
  <c r="K111" i="14" s="1"/>
  <c r="K112" i="14" s="1"/>
  <c r="S85" i="13"/>
  <c r="S97" i="13"/>
  <c r="S65" i="13"/>
  <c r="K20" i="13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R52" i="13"/>
  <c r="R84" i="13"/>
  <c r="S84" i="13" s="1"/>
  <c r="R68" i="13"/>
  <c r="R53" i="13"/>
  <c r="R107" i="13"/>
  <c r="R80" i="13"/>
  <c r="S67" i="13"/>
  <c r="S50" i="13"/>
  <c r="R81" i="13"/>
  <c r="R49" i="13"/>
  <c r="S29" i="13"/>
  <c r="S28" i="13"/>
  <c r="R69" i="13"/>
  <c r="R36" i="13"/>
  <c r="S75" i="13"/>
  <c r="S95" i="13"/>
  <c r="S83" i="13"/>
  <c r="S61" i="13"/>
  <c r="S51" i="13"/>
  <c r="T3" i="13"/>
  <c r="T4" i="13" s="1"/>
  <c r="U4" i="13" s="1"/>
  <c r="T5" i="13" s="1"/>
  <c r="U5" i="13" s="1"/>
  <c r="T6" i="13" s="1"/>
  <c r="U6" i="13" s="1"/>
  <c r="T7" i="13" s="1"/>
  <c r="U7" i="13" s="1"/>
  <c r="T8" i="13" s="1"/>
  <c r="U8" i="13" s="1"/>
  <c r="T9" i="13" s="1"/>
  <c r="U9" i="13" s="1"/>
  <c r="T10" i="13" s="1"/>
  <c r="U10" i="13" s="1"/>
  <c r="T11" i="13" s="1"/>
  <c r="U11" i="13" s="1"/>
  <c r="T12" i="13" s="1"/>
  <c r="U12" i="13" s="1"/>
  <c r="T13" i="13" s="1"/>
  <c r="U13" i="13" s="1"/>
  <c r="T14" i="13" s="1"/>
  <c r="U14" i="13" s="1"/>
  <c r="T15" i="13" s="1"/>
  <c r="U15" i="13" s="1"/>
  <c r="T16" i="13" s="1"/>
  <c r="U16" i="13" s="1"/>
  <c r="T17" i="13" s="1"/>
  <c r="U17" i="13" s="1"/>
  <c r="T18" i="13" s="1"/>
  <c r="U18" i="13" s="1"/>
  <c r="T19" i="13" s="1"/>
  <c r="U19" i="13" s="1"/>
  <c r="T20" i="13" s="1"/>
  <c r="U20" i="13" s="1"/>
  <c r="T21" i="13" s="1"/>
  <c r="U21" i="13" s="1"/>
  <c r="T22" i="13" s="1"/>
  <c r="U22" i="13" s="1"/>
  <c r="T23" i="13" s="1"/>
  <c r="U23" i="13" s="1"/>
  <c r="T24" i="13" s="1"/>
  <c r="U24" i="13" s="1"/>
  <c r="T25" i="13" s="1"/>
  <c r="U25" i="13" s="1"/>
  <c r="T26" i="13" s="1"/>
  <c r="U26" i="13" s="1"/>
  <c r="T27" i="13" s="1"/>
  <c r="U27" i="13" s="1"/>
  <c r="T28" i="13" s="1"/>
  <c r="U28" i="13" s="1"/>
  <c r="T29" i="13" s="1"/>
  <c r="U29" i="13" s="1"/>
  <c r="T30" i="13" s="1"/>
  <c r="U30" i="13" s="1"/>
  <c r="T31" i="13" s="1"/>
  <c r="U31" i="13" s="1"/>
  <c r="T32" i="13" s="1"/>
  <c r="U32" i="13" s="1"/>
  <c r="T33" i="13" s="1"/>
  <c r="U33" i="13" s="1"/>
  <c r="T34" i="13" s="1"/>
  <c r="U34" i="13" s="1"/>
  <c r="T35" i="13" s="1"/>
  <c r="U35" i="13" s="1"/>
  <c r="S99" i="13"/>
  <c r="S45" i="13"/>
  <c r="R101" i="13"/>
  <c r="R100" i="13"/>
  <c r="S26" i="13"/>
  <c r="R96" i="13"/>
  <c r="R106" i="13"/>
  <c r="R112" i="13"/>
  <c r="S24" i="13"/>
  <c r="S20" i="13"/>
  <c r="S6" i="13"/>
  <c r="R64" i="13"/>
  <c r="S108" i="13"/>
  <c r="S31" i="13"/>
  <c r="S41" i="13"/>
  <c r="R48" i="13"/>
  <c r="S30" i="13"/>
  <c r="U7" i="11"/>
  <c r="T8" i="11" s="1"/>
  <c r="I30" i="9"/>
  <c r="M30" i="9" s="1"/>
  <c r="I70" i="9"/>
  <c r="M70" i="9" s="1"/>
  <c r="J70" i="9"/>
  <c r="K70" i="9" s="1"/>
  <c r="J74" i="9"/>
  <c r="K74" i="9" s="1"/>
  <c r="I74" i="9"/>
  <c r="M74" i="9" s="1"/>
  <c r="I80" i="9"/>
  <c r="M80" i="9" s="1"/>
  <c r="J85" i="9"/>
  <c r="K85" i="9" s="1"/>
  <c r="I85" i="9"/>
  <c r="M85" i="9" s="1"/>
  <c r="K8" i="10"/>
  <c r="M8" i="10"/>
  <c r="L9" i="10" s="1"/>
  <c r="I54" i="9"/>
  <c r="M54" i="9" s="1"/>
  <c r="J54" i="9"/>
  <c r="K54" i="9" s="1"/>
  <c r="G60" i="9"/>
  <c r="H60" i="9" s="1"/>
  <c r="H94" i="9"/>
  <c r="J94" i="9" s="1"/>
  <c r="K94" i="9" s="1"/>
  <c r="I94" i="9"/>
  <c r="M94" i="9" s="1"/>
  <c r="H101" i="9"/>
  <c r="I101" i="9" s="1"/>
  <c r="M101" i="9" s="1"/>
  <c r="I95" i="4"/>
  <c r="M95" i="4" s="1"/>
  <c r="H42" i="9"/>
  <c r="I42" i="9" s="1"/>
  <c r="M42" i="9" s="1"/>
  <c r="G55" i="9"/>
  <c r="J103" i="4"/>
  <c r="K103" i="4" s="1"/>
  <c r="D56" i="9"/>
  <c r="G16" i="9"/>
  <c r="H16" i="9" s="1"/>
  <c r="J16" i="9" s="1"/>
  <c r="K16" i="9" s="1"/>
  <c r="I31" i="9"/>
  <c r="M31" i="9" s="1"/>
  <c r="G51" i="9"/>
  <c r="H51" i="9" s="1"/>
  <c r="J51" i="9" s="1"/>
  <c r="K51" i="9" s="1"/>
  <c r="H50" i="9"/>
  <c r="J50" i="9" s="1"/>
  <c r="K50" i="9" s="1"/>
  <c r="G13" i="9"/>
  <c r="H13" i="9" s="1"/>
  <c r="J13" i="9" s="1"/>
  <c r="K13" i="9" s="1"/>
  <c r="G108" i="9"/>
  <c r="D79" i="9"/>
  <c r="G100" i="9"/>
  <c r="H100" i="9" s="1"/>
  <c r="I23" i="4"/>
  <c r="M23" i="4" s="1"/>
  <c r="J14" i="9"/>
  <c r="K14" i="9" s="1"/>
  <c r="G14" i="9"/>
  <c r="H14" i="9" s="1"/>
  <c r="G102" i="9"/>
  <c r="H102" i="9" s="1"/>
  <c r="J102" i="9" s="1"/>
  <c r="K102" i="9" s="1"/>
  <c r="G83" i="9"/>
  <c r="H83" i="9" s="1"/>
  <c r="I83" i="9" s="1"/>
  <c r="M83" i="9" s="1"/>
  <c r="J98" i="9"/>
  <c r="K98" i="9" s="1"/>
  <c r="J17" i="4"/>
  <c r="K17" i="4" s="1"/>
  <c r="G40" i="9"/>
  <c r="H40" i="9" s="1"/>
  <c r="I92" i="9"/>
  <c r="M92" i="9" s="1"/>
  <c r="H23" i="9"/>
  <c r="I23" i="9" s="1"/>
  <c r="M23" i="9" s="1"/>
  <c r="I11" i="9"/>
  <c r="M11" i="9" s="1"/>
  <c r="J53" i="9"/>
  <c r="K53" i="9" s="1"/>
  <c r="G15" i="9"/>
  <c r="H15" i="9" s="1"/>
  <c r="I65" i="9"/>
  <c r="M65" i="9" s="1"/>
  <c r="J64" i="9"/>
  <c r="K64" i="9" s="1"/>
  <c r="I84" i="9"/>
  <c r="M84" i="9" s="1"/>
  <c r="G76" i="9"/>
  <c r="D89" i="9"/>
  <c r="I10" i="9"/>
  <c r="M10" i="9" s="1"/>
  <c r="G96" i="9"/>
  <c r="G18" i="9"/>
  <c r="I97" i="4"/>
  <c r="M97" i="4" s="1"/>
  <c r="J49" i="9"/>
  <c r="K49" i="9" s="1"/>
  <c r="J66" i="9"/>
  <c r="K66" i="9" s="1"/>
  <c r="D97" i="9"/>
  <c r="I68" i="9"/>
  <c r="M68" i="9" s="1"/>
  <c r="H38" i="9"/>
  <c r="I38" i="9" s="1"/>
  <c r="M38" i="9" s="1"/>
  <c r="I76" i="9"/>
  <c r="M76" i="9" s="1"/>
  <c r="H39" i="9"/>
  <c r="I106" i="9"/>
  <c r="M106" i="9" s="1"/>
  <c r="H88" i="9"/>
  <c r="H18" i="9"/>
  <c r="I18" i="9" s="1"/>
  <c r="M18" i="9" s="1"/>
  <c r="I28" i="4"/>
  <c r="M28" i="4" s="1"/>
  <c r="G107" i="9"/>
  <c r="H107" i="9" s="1"/>
  <c r="D73" i="9"/>
  <c r="D41" i="9"/>
  <c r="G109" i="9"/>
  <c r="H109" i="9" s="1"/>
  <c r="I109" i="9" s="1"/>
  <c r="M109" i="9" s="1"/>
  <c r="J21" i="9"/>
  <c r="K21" i="9" s="1"/>
  <c r="G30" i="9"/>
  <c r="H30" i="9" s="1"/>
  <c r="J30" i="9" s="1"/>
  <c r="K30" i="9" s="1"/>
  <c r="G61" i="9"/>
  <c r="H61" i="9" s="1"/>
  <c r="G42" i="9"/>
  <c r="G43" i="9"/>
  <c r="H43" i="9" s="1"/>
  <c r="J52" i="9"/>
  <c r="K52" i="9" s="1"/>
  <c r="G78" i="9"/>
  <c r="I13" i="9"/>
  <c r="M13" i="9" s="1"/>
  <c r="G7" i="9"/>
  <c r="H7" i="9" s="1"/>
  <c r="I7" i="9" s="1"/>
  <c r="M7" i="9" s="1"/>
  <c r="J7" i="9"/>
  <c r="K7" i="9" s="1"/>
  <c r="D99" i="9"/>
  <c r="G22" i="9"/>
  <c r="H22" i="9" s="1"/>
  <c r="D104" i="9"/>
  <c r="G27" i="9"/>
  <c r="G63" i="9"/>
  <c r="H63" i="9" s="1"/>
  <c r="G95" i="9"/>
  <c r="G35" i="9"/>
  <c r="H35" i="9" s="1"/>
  <c r="G62" i="9"/>
  <c r="H62" i="9" s="1"/>
  <c r="G50" i="9"/>
  <c r="D45" i="9"/>
  <c r="G94" i="9"/>
  <c r="G101" i="9"/>
  <c r="G37" i="9"/>
  <c r="H37" i="9" s="1"/>
  <c r="G12" i="9"/>
  <c r="H12" i="9" s="1"/>
  <c r="I90" i="9"/>
  <c r="M90" i="9" s="1"/>
  <c r="H55" i="9"/>
  <c r="I55" i="9" s="1"/>
  <c r="M55" i="9" s="1"/>
  <c r="G25" i="9"/>
  <c r="H25" i="9" s="1"/>
  <c r="H36" i="9"/>
  <c r="H78" i="9"/>
  <c r="J78" i="9" s="1"/>
  <c r="K78" i="9" s="1"/>
  <c r="I16" i="9"/>
  <c r="M16" i="9" s="1"/>
  <c r="D82" i="9"/>
  <c r="G92" i="9"/>
  <c r="H27" i="9"/>
  <c r="J27" i="9" s="1"/>
  <c r="K27" i="9" s="1"/>
  <c r="I28" i="9"/>
  <c r="M28" i="9" s="1"/>
  <c r="G23" i="9"/>
  <c r="H24" i="9"/>
  <c r="I24" i="9" s="1"/>
  <c r="M24" i="9" s="1"/>
  <c r="G9" i="9"/>
  <c r="H9" i="9" s="1"/>
  <c r="I9" i="9" s="1"/>
  <c r="M9" i="9" s="1"/>
  <c r="H91" i="9"/>
  <c r="K8" i="5"/>
  <c r="M8" i="5" s="1"/>
  <c r="L9" i="5" s="1"/>
  <c r="G80" i="9"/>
  <c r="H80" i="9" s="1"/>
  <c r="J80" i="9" s="1"/>
  <c r="K80" i="9" s="1"/>
  <c r="H96" i="9"/>
  <c r="J96" i="9" s="1"/>
  <c r="K96" i="9" s="1"/>
  <c r="I102" i="9"/>
  <c r="M102" i="9" s="1"/>
  <c r="I14" i="9"/>
  <c r="M14" i="9" s="1"/>
  <c r="H75" i="9"/>
  <c r="I78" i="9"/>
  <c r="M78" i="9" s="1"/>
  <c r="G48" i="9"/>
  <c r="H48" i="9" s="1"/>
  <c r="I48" i="9" s="1"/>
  <c r="M48" i="9" s="1"/>
  <c r="J48" i="9"/>
  <c r="K48" i="9" s="1"/>
  <c r="G72" i="9"/>
  <c r="H72" i="9" s="1"/>
  <c r="G46" i="9"/>
  <c r="G38" i="9"/>
  <c r="H92" i="9"/>
  <c r="J92" i="9" s="1"/>
  <c r="K92" i="9" s="1"/>
  <c r="G24" i="9"/>
  <c r="H108" i="9"/>
  <c r="J108" i="9" s="1"/>
  <c r="K108" i="9" s="1"/>
  <c r="H95" i="9"/>
  <c r="I95" i="9" s="1"/>
  <c r="M95" i="9" s="1"/>
  <c r="H17" i="9"/>
  <c r="D58" i="9"/>
  <c r="D77" i="9"/>
  <c r="I20" i="9"/>
  <c r="M20" i="9" s="1"/>
  <c r="J20" i="9"/>
  <c r="K20" i="9" s="1"/>
  <c r="J41" i="4"/>
  <c r="K41" i="4" s="1"/>
  <c r="H57" i="9"/>
  <c r="H76" i="9"/>
  <c r="J76" i="9" s="1"/>
  <c r="K76" i="9" s="1"/>
  <c r="H47" i="9"/>
  <c r="H71" i="9"/>
  <c r="I51" i="9"/>
  <c r="M51" i="9" s="1"/>
  <c r="H46" i="9"/>
  <c r="I46" i="9" s="1"/>
  <c r="M46" i="9" s="1"/>
  <c r="D32" i="9"/>
  <c r="D93" i="9"/>
  <c r="D26" i="9"/>
  <c r="G69" i="9"/>
  <c r="H69" i="9" s="1"/>
  <c r="I69" i="9" s="1"/>
  <c r="M69" i="9" s="1"/>
  <c r="J69" i="9"/>
  <c r="K69" i="9" s="1"/>
  <c r="D67" i="9"/>
  <c r="D29" i="9"/>
  <c r="U6" i="14" l="1"/>
  <c r="V6" i="14" s="1"/>
  <c r="U7" i="14" s="1"/>
  <c r="V7" i="14" s="1"/>
  <c r="S48" i="13"/>
  <c r="S112" i="13"/>
  <c r="T36" i="13"/>
  <c r="U36" i="13" s="1"/>
  <c r="T37" i="13" s="1"/>
  <c r="U37" i="13" s="1"/>
  <c r="T38" i="13" s="1"/>
  <c r="U38" i="13" s="1"/>
  <c r="T39" i="13" s="1"/>
  <c r="U39" i="13" s="1"/>
  <c r="T40" i="13" s="1"/>
  <c r="U40" i="13" s="1"/>
  <c r="T41" i="13" s="1"/>
  <c r="U41" i="13" s="1"/>
  <c r="T42" i="13" s="1"/>
  <c r="U42" i="13" s="1"/>
  <c r="T43" i="13" s="1"/>
  <c r="U43" i="13" s="1"/>
  <c r="T44" i="13" s="1"/>
  <c r="U44" i="13" s="1"/>
  <c r="T45" i="13" s="1"/>
  <c r="U45" i="13" s="1"/>
  <c r="T46" i="13" s="1"/>
  <c r="U46" i="13" s="1"/>
  <c r="T47" i="13" s="1"/>
  <c r="U47" i="13" s="1"/>
  <c r="T48" i="13" s="1"/>
  <c r="U48" i="13" s="1"/>
  <c r="T49" i="13" s="1"/>
  <c r="U49" i="13" s="1"/>
  <c r="T50" i="13" s="1"/>
  <c r="U50" i="13" s="1"/>
  <c r="T51" i="13" s="1"/>
  <c r="U51" i="13" s="1"/>
  <c r="T52" i="13" s="1"/>
  <c r="U52" i="13" s="1"/>
  <c r="T53" i="13" s="1"/>
  <c r="U53" i="13" s="1"/>
  <c r="T54" i="13" s="1"/>
  <c r="U54" i="13" s="1"/>
  <c r="T55" i="13" s="1"/>
  <c r="U55" i="13" s="1"/>
  <c r="T56" i="13" s="1"/>
  <c r="U56" i="13" s="1"/>
  <c r="T57" i="13" s="1"/>
  <c r="U57" i="13" s="1"/>
  <c r="T58" i="13" s="1"/>
  <c r="U58" i="13" s="1"/>
  <c r="T59" i="13" s="1"/>
  <c r="U59" i="13" s="1"/>
  <c r="T60" i="13" s="1"/>
  <c r="U60" i="13" s="1"/>
  <c r="T61" i="13" s="1"/>
  <c r="U61" i="13" s="1"/>
  <c r="T62" i="13" s="1"/>
  <c r="U62" i="13" s="1"/>
  <c r="T63" i="13" s="1"/>
  <c r="U63" i="13" s="1"/>
  <c r="T64" i="13" s="1"/>
  <c r="U64" i="13" s="1"/>
  <c r="T65" i="13" s="1"/>
  <c r="U65" i="13" s="1"/>
  <c r="T66" i="13" s="1"/>
  <c r="U66" i="13" s="1"/>
  <c r="T67" i="13" s="1"/>
  <c r="U67" i="13" s="1"/>
  <c r="T68" i="13" s="1"/>
  <c r="U68" i="13" s="1"/>
  <c r="T69" i="13" s="1"/>
  <c r="U69" i="13" s="1"/>
  <c r="T70" i="13" s="1"/>
  <c r="U70" i="13" s="1"/>
  <c r="T71" i="13" s="1"/>
  <c r="U71" i="13" s="1"/>
  <c r="T72" i="13" s="1"/>
  <c r="U72" i="13" s="1"/>
  <c r="T73" i="13" s="1"/>
  <c r="U73" i="13" s="1"/>
  <c r="T74" i="13" s="1"/>
  <c r="U74" i="13" s="1"/>
  <c r="T75" i="13" s="1"/>
  <c r="U75" i="13" s="1"/>
  <c r="T76" i="13" s="1"/>
  <c r="U76" i="13" s="1"/>
  <c r="T77" i="13" s="1"/>
  <c r="U77" i="13" s="1"/>
  <c r="T78" i="13" s="1"/>
  <c r="U78" i="13" s="1"/>
  <c r="T79" i="13" s="1"/>
  <c r="U79" i="13" s="1"/>
  <c r="T80" i="13" s="1"/>
  <c r="U80" i="13" s="1"/>
  <c r="T81" i="13" s="1"/>
  <c r="U81" i="13" s="1"/>
  <c r="T82" i="13" s="1"/>
  <c r="U82" i="13" s="1"/>
  <c r="T83" i="13" s="1"/>
  <c r="U83" i="13" s="1"/>
  <c r="T84" i="13" s="1"/>
  <c r="U84" i="13" s="1"/>
  <c r="T85" i="13" s="1"/>
  <c r="U85" i="13" s="1"/>
  <c r="T86" i="13" s="1"/>
  <c r="U86" i="13" s="1"/>
  <c r="T87" i="13" s="1"/>
  <c r="U87" i="13" s="1"/>
  <c r="T88" i="13" s="1"/>
  <c r="U88" i="13" s="1"/>
  <c r="T89" i="13" s="1"/>
  <c r="U89" i="13" s="1"/>
  <c r="T90" i="13" s="1"/>
  <c r="U90" i="13" s="1"/>
  <c r="T91" i="13" s="1"/>
  <c r="U91" i="13" s="1"/>
  <c r="T92" i="13" s="1"/>
  <c r="U92" i="13" s="1"/>
  <c r="T93" i="13" s="1"/>
  <c r="U93" i="13" s="1"/>
  <c r="T94" i="13" s="1"/>
  <c r="U94" i="13" s="1"/>
  <c r="T95" i="13" s="1"/>
  <c r="U95" i="13" s="1"/>
  <c r="T96" i="13" s="1"/>
  <c r="U96" i="13" s="1"/>
  <c r="T97" i="13" s="1"/>
  <c r="U97" i="13" s="1"/>
  <c r="T98" i="13" s="1"/>
  <c r="U98" i="13" s="1"/>
  <c r="T99" i="13" s="1"/>
  <c r="U99" i="13" s="1"/>
  <c r="T100" i="13" s="1"/>
  <c r="U100" i="13" s="1"/>
  <c r="T101" i="13" s="1"/>
  <c r="U101" i="13" s="1"/>
  <c r="T102" i="13" s="1"/>
  <c r="U102" i="13" s="1"/>
  <c r="T103" i="13" s="1"/>
  <c r="U103" i="13" s="1"/>
  <c r="T104" i="13" s="1"/>
  <c r="U104" i="13" s="1"/>
  <c r="T105" i="13" s="1"/>
  <c r="U105" i="13" s="1"/>
  <c r="T106" i="13" s="1"/>
  <c r="U106" i="13" s="1"/>
  <c r="T107" i="13" s="1"/>
  <c r="U107" i="13" s="1"/>
  <c r="T108" i="13" s="1"/>
  <c r="U108" i="13" s="1"/>
  <c r="T109" i="13" s="1"/>
  <c r="U109" i="13" s="1"/>
  <c r="T110" i="13" s="1"/>
  <c r="U110" i="13" s="1"/>
  <c r="T111" i="13" s="1"/>
  <c r="U111" i="13" s="1"/>
  <c r="T112" i="13" s="1"/>
  <c r="U112" i="13" s="1"/>
  <c r="S36" i="13"/>
  <c r="S49" i="13"/>
  <c r="S81" i="13"/>
  <c r="S53" i="13"/>
  <c r="S64" i="13"/>
  <c r="S101" i="13"/>
  <c r="S68" i="13"/>
  <c r="S52" i="13"/>
  <c r="S100" i="13"/>
  <c r="S80" i="13"/>
  <c r="S106" i="13"/>
  <c r="S107" i="13"/>
  <c r="S69" i="13"/>
  <c r="S96" i="13"/>
  <c r="U8" i="11"/>
  <c r="T9" i="11" s="1"/>
  <c r="J43" i="9"/>
  <c r="K43" i="9" s="1"/>
  <c r="I43" i="9"/>
  <c r="M43" i="9" s="1"/>
  <c r="I62" i="9"/>
  <c r="M62" i="9" s="1"/>
  <c r="J62" i="9"/>
  <c r="K62" i="9" s="1"/>
  <c r="I15" i="9"/>
  <c r="M15" i="9" s="1"/>
  <c r="J15" i="9"/>
  <c r="K15" i="9" s="1"/>
  <c r="I35" i="9"/>
  <c r="M35" i="9" s="1"/>
  <c r="J35" i="9"/>
  <c r="K35" i="9" s="1"/>
  <c r="J25" i="9"/>
  <c r="K25" i="9" s="1"/>
  <c r="I25" i="9"/>
  <c r="M25" i="9" s="1"/>
  <c r="I22" i="9"/>
  <c r="M22" i="9" s="1"/>
  <c r="J22" i="9"/>
  <c r="K22" i="9" s="1"/>
  <c r="K9" i="5"/>
  <c r="M9" i="5" s="1"/>
  <c r="L10" i="5" s="1"/>
  <c r="I107" i="9"/>
  <c r="M107" i="9" s="1"/>
  <c r="J107" i="9"/>
  <c r="K107" i="9" s="1"/>
  <c r="I12" i="9"/>
  <c r="M12" i="9" s="1"/>
  <c r="J12" i="9"/>
  <c r="K12" i="9" s="1"/>
  <c r="J72" i="9"/>
  <c r="K72" i="9" s="1"/>
  <c r="I72" i="9"/>
  <c r="M72" i="9" s="1"/>
  <c r="I100" i="9"/>
  <c r="M100" i="9" s="1"/>
  <c r="J100" i="9"/>
  <c r="K100" i="9" s="1"/>
  <c r="J61" i="9"/>
  <c r="K61" i="9" s="1"/>
  <c r="I61" i="9"/>
  <c r="M61" i="9" s="1"/>
  <c r="J60" i="9"/>
  <c r="K60" i="9" s="1"/>
  <c r="I60" i="9"/>
  <c r="M60" i="9" s="1"/>
  <c r="J63" i="9"/>
  <c r="K63" i="9" s="1"/>
  <c r="I63" i="9"/>
  <c r="M63" i="9" s="1"/>
  <c r="I26" i="9"/>
  <c r="M26" i="9" s="1"/>
  <c r="J40" i="9"/>
  <c r="K40" i="9" s="1"/>
  <c r="I40" i="9"/>
  <c r="M40" i="9" s="1"/>
  <c r="I37" i="9"/>
  <c r="M37" i="9" s="1"/>
  <c r="J37" i="9"/>
  <c r="K37" i="9" s="1"/>
  <c r="I71" i="9"/>
  <c r="M71" i="9" s="1"/>
  <c r="J71" i="9"/>
  <c r="K71" i="9" s="1"/>
  <c r="J9" i="9"/>
  <c r="K9" i="9" s="1"/>
  <c r="K9" i="10"/>
  <c r="M9" i="10" s="1"/>
  <c r="L10" i="10" s="1"/>
  <c r="G29" i="9"/>
  <c r="H29" i="9" s="1"/>
  <c r="J29" i="9" s="1"/>
  <c r="K29" i="9" s="1"/>
  <c r="G41" i="9"/>
  <c r="H41" i="9" s="1"/>
  <c r="I41" i="9" s="1"/>
  <c r="M41" i="9" s="1"/>
  <c r="J41" i="9"/>
  <c r="K41" i="9" s="1"/>
  <c r="I29" i="9"/>
  <c r="M29" i="9" s="1"/>
  <c r="G67" i="9"/>
  <c r="H67" i="9" s="1"/>
  <c r="I67" i="9" s="1"/>
  <c r="M67" i="9" s="1"/>
  <c r="G73" i="9"/>
  <c r="H73" i="9" s="1"/>
  <c r="I73" i="9" s="1"/>
  <c r="M73" i="9" s="1"/>
  <c r="J42" i="9"/>
  <c r="K42" i="9" s="1"/>
  <c r="J75" i="9"/>
  <c r="K75" i="9" s="1"/>
  <c r="I75" i="9"/>
  <c r="M75" i="9" s="1"/>
  <c r="I36" i="9"/>
  <c r="M36" i="9" s="1"/>
  <c r="J36" i="9"/>
  <c r="K36" i="9" s="1"/>
  <c r="J95" i="9"/>
  <c r="K95" i="9" s="1"/>
  <c r="G97" i="9"/>
  <c r="H97" i="9" s="1"/>
  <c r="I97" i="9" s="1"/>
  <c r="M97" i="9" s="1"/>
  <c r="I108" i="9"/>
  <c r="M108" i="9" s="1"/>
  <c r="J83" i="9"/>
  <c r="K83" i="9" s="1"/>
  <c r="G93" i="9"/>
  <c r="H93" i="9" s="1"/>
  <c r="I93" i="9" s="1"/>
  <c r="M93" i="9" s="1"/>
  <c r="J38" i="9"/>
  <c r="K38" i="9" s="1"/>
  <c r="I27" i="9"/>
  <c r="M27" i="9" s="1"/>
  <c r="G45" i="9"/>
  <c r="H45" i="9" s="1"/>
  <c r="J45" i="9"/>
  <c r="K45" i="9" s="1"/>
  <c r="I45" i="9"/>
  <c r="M45" i="9" s="1"/>
  <c r="I96" i="9"/>
  <c r="M96" i="9" s="1"/>
  <c r="J18" i="9"/>
  <c r="K18" i="9" s="1"/>
  <c r="G56" i="9"/>
  <c r="H56" i="9" s="1"/>
  <c r="I56" i="9" s="1"/>
  <c r="M56" i="9" s="1"/>
  <c r="G32" i="9"/>
  <c r="H32" i="9" s="1"/>
  <c r="I32" i="9" s="1"/>
  <c r="M32" i="9" s="1"/>
  <c r="J32" i="9"/>
  <c r="K32" i="9" s="1"/>
  <c r="J77" i="9"/>
  <c r="K77" i="9" s="1"/>
  <c r="G77" i="9"/>
  <c r="H77" i="9" s="1"/>
  <c r="I77" i="9" s="1"/>
  <c r="M77" i="9" s="1"/>
  <c r="J109" i="9"/>
  <c r="K109" i="9" s="1"/>
  <c r="I39" i="9"/>
  <c r="M39" i="9" s="1"/>
  <c r="J39" i="9"/>
  <c r="K39" i="9" s="1"/>
  <c r="G89" i="9"/>
  <c r="H89" i="9" s="1"/>
  <c r="I89" i="9" s="1"/>
  <c r="M89" i="9" s="1"/>
  <c r="J89" i="9"/>
  <c r="K89" i="9" s="1"/>
  <c r="I50" i="9"/>
  <c r="M50" i="9" s="1"/>
  <c r="J47" i="9"/>
  <c r="K47" i="9" s="1"/>
  <c r="I47" i="9"/>
  <c r="M47" i="9" s="1"/>
  <c r="G82" i="9"/>
  <c r="H82" i="9" s="1"/>
  <c r="I82" i="9" s="1"/>
  <c r="M82" i="9" s="1"/>
  <c r="J82" i="9"/>
  <c r="K82" i="9" s="1"/>
  <c r="G104" i="9"/>
  <c r="H104" i="9" s="1"/>
  <c r="I104" i="9" s="1"/>
  <c r="M104" i="9" s="1"/>
  <c r="J104" i="9"/>
  <c r="K104" i="9" s="1"/>
  <c r="I57" i="9"/>
  <c r="M57" i="9" s="1"/>
  <c r="J57" i="9"/>
  <c r="K57" i="9" s="1"/>
  <c r="J23" i="9"/>
  <c r="K23" i="9" s="1"/>
  <c r="G26" i="9"/>
  <c r="H26" i="9" s="1"/>
  <c r="J26" i="9" s="1"/>
  <c r="K26" i="9" s="1"/>
  <c r="J101" i="9"/>
  <c r="K101" i="9" s="1"/>
  <c r="G99" i="9"/>
  <c r="H99" i="9" s="1"/>
  <c r="I99" i="9" s="1"/>
  <c r="M99" i="9" s="1"/>
  <c r="J99" i="9"/>
  <c r="K99" i="9" s="1"/>
  <c r="J24" i="9"/>
  <c r="K24" i="9" s="1"/>
  <c r="G79" i="9"/>
  <c r="H79" i="9" s="1"/>
  <c r="J79" i="9" s="1"/>
  <c r="K79" i="9" s="1"/>
  <c r="G58" i="9"/>
  <c r="H58" i="9" s="1"/>
  <c r="I58" i="9" s="1"/>
  <c r="M58" i="9" s="1"/>
  <c r="J46" i="9"/>
  <c r="K46" i="9" s="1"/>
  <c r="I17" i="9"/>
  <c r="M17" i="9" s="1"/>
  <c r="J17" i="9"/>
  <c r="K17" i="9" s="1"/>
  <c r="J91" i="9"/>
  <c r="K91" i="9" s="1"/>
  <c r="I91" i="9"/>
  <c r="M91" i="9" s="1"/>
  <c r="I88" i="9"/>
  <c r="M88" i="9" s="1"/>
  <c r="J88" i="9"/>
  <c r="K88" i="9" s="1"/>
  <c r="J55" i="9"/>
  <c r="K55" i="9" s="1"/>
  <c r="U8" i="14" l="1"/>
  <c r="V8" i="14" s="1"/>
  <c r="U9" i="11"/>
  <c r="T10" i="11" s="1"/>
  <c r="K10" i="10"/>
  <c r="M10" i="10" s="1"/>
  <c r="L11" i="10" s="1"/>
  <c r="K10" i="5"/>
  <c r="M10" i="5" s="1"/>
  <c r="L11" i="5" s="1"/>
  <c r="J56" i="9"/>
  <c r="K56" i="9" s="1"/>
  <c r="I79" i="9"/>
  <c r="M79" i="9" s="1"/>
  <c r="J73" i="9"/>
  <c r="K73" i="9" s="1"/>
  <c r="J58" i="9"/>
  <c r="K58" i="9" s="1"/>
  <c r="J97" i="9"/>
  <c r="K97" i="9" s="1"/>
  <c r="J93" i="9"/>
  <c r="K93" i="9" s="1"/>
  <c r="J67" i="9"/>
  <c r="K67" i="9" s="1"/>
  <c r="U9" i="14" l="1"/>
  <c r="V9" i="14" s="1"/>
  <c r="U10" i="11"/>
  <c r="T11" i="11" s="1"/>
  <c r="K11" i="5"/>
  <c r="M11" i="5"/>
  <c r="L12" i="5" s="1"/>
  <c r="K11" i="10"/>
  <c r="M11" i="10" s="1"/>
  <c r="L12" i="10" s="1"/>
  <c r="U10" i="14" l="1"/>
  <c r="V10" i="14" s="1"/>
  <c r="U11" i="11"/>
  <c r="T12" i="11" s="1"/>
  <c r="K12" i="10"/>
  <c r="M12" i="10" s="1"/>
  <c r="L13" i="10" s="1"/>
  <c r="K12" i="5"/>
  <c r="M12" i="5" s="1"/>
  <c r="L13" i="5" s="1"/>
  <c r="U11" i="14" l="1"/>
  <c r="V11" i="14" s="1"/>
  <c r="U12" i="11"/>
  <c r="T13" i="11" s="1"/>
  <c r="K13" i="5"/>
  <c r="M13" i="5" s="1"/>
  <c r="L14" i="5" s="1"/>
  <c r="K13" i="10"/>
  <c r="M13" i="10" s="1"/>
  <c r="L14" i="10" s="1"/>
  <c r="U12" i="14" l="1"/>
  <c r="V12" i="14" s="1"/>
  <c r="U13" i="11"/>
  <c r="T14" i="11" s="1"/>
  <c r="K14" i="10"/>
  <c r="M14" i="10"/>
  <c r="L15" i="10" s="1"/>
  <c r="K14" i="5"/>
  <c r="M14" i="5"/>
  <c r="L15" i="5" s="1"/>
  <c r="U13" i="14" l="1"/>
  <c r="V13" i="14" s="1"/>
  <c r="U14" i="11"/>
  <c r="T15" i="11" s="1"/>
  <c r="K15" i="10"/>
  <c r="M15" i="10" s="1"/>
  <c r="L16" i="10" s="1"/>
  <c r="M15" i="5"/>
  <c r="L16" i="5" s="1"/>
  <c r="K15" i="5"/>
  <c r="U14" i="14" l="1"/>
  <c r="V14" i="14" s="1"/>
  <c r="U15" i="11"/>
  <c r="T16" i="11" s="1"/>
  <c r="K16" i="10"/>
  <c r="M16" i="10" s="1"/>
  <c r="L17" i="10" s="1"/>
  <c r="K16" i="5"/>
  <c r="M16" i="5" s="1"/>
  <c r="L17" i="5" s="1"/>
  <c r="U15" i="14" l="1"/>
  <c r="V15" i="14" s="1"/>
  <c r="U16" i="11"/>
  <c r="T17" i="11" s="1"/>
  <c r="K17" i="10"/>
  <c r="M17" i="10" s="1"/>
  <c r="L18" i="10" s="1"/>
  <c r="K17" i="5"/>
  <c r="M17" i="5"/>
  <c r="L18" i="5" s="1"/>
  <c r="U16" i="14" l="1"/>
  <c r="V16" i="14" s="1"/>
  <c r="U17" i="11"/>
  <c r="T18" i="11" s="1"/>
  <c r="K18" i="10"/>
  <c r="M18" i="10" s="1"/>
  <c r="L19" i="10" s="1"/>
  <c r="K18" i="5"/>
  <c r="M18" i="5" s="1"/>
  <c r="L19" i="5" s="1"/>
  <c r="U17" i="14" l="1"/>
  <c r="V17" i="14" s="1"/>
  <c r="U18" i="11"/>
  <c r="T19" i="11" s="1"/>
  <c r="K19" i="5"/>
  <c r="M19" i="5" s="1"/>
  <c r="L20" i="5" s="1"/>
  <c r="K19" i="10"/>
  <c r="M19" i="10" s="1"/>
  <c r="L20" i="10" s="1"/>
  <c r="U18" i="14" l="1"/>
  <c r="V18" i="14" s="1"/>
  <c r="U19" i="11"/>
  <c r="T20" i="11" s="1"/>
  <c r="K20" i="10"/>
  <c r="M20" i="10" s="1"/>
  <c r="L21" i="10" s="1"/>
  <c r="K20" i="5"/>
  <c r="M20" i="5" s="1"/>
  <c r="L21" i="5" s="1"/>
  <c r="U19" i="14" l="1"/>
  <c r="V19" i="14" s="1"/>
  <c r="U20" i="11"/>
  <c r="T21" i="11" s="1"/>
  <c r="K21" i="5"/>
  <c r="M21" i="5" s="1"/>
  <c r="L22" i="5" s="1"/>
  <c r="K21" i="10"/>
  <c r="M21" i="10" s="1"/>
  <c r="L22" i="10" s="1"/>
  <c r="U20" i="14" l="1"/>
  <c r="V20" i="14" s="1"/>
  <c r="U21" i="11"/>
  <c r="T22" i="11" s="1"/>
  <c r="K22" i="10"/>
  <c r="M22" i="10"/>
  <c r="L23" i="10" s="1"/>
  <c r="K22" i="5"/>
  <c r="M22" i="5" s="1"/>
  <c r="L23" i="5" s="1"/>
  <c r="U21" i="14" l="1"/>
  <c r="V21" i="14" s="1"/>
  <c r="U22" i="11"/>
  <c r="T23" i="11" s="1"/>
  <c r="K23" i="5"/>
  <c r="M23" i="5" s="1"/>
  <c r="L24" i="5" s="1"/>
  <c r="M23" i="10"/>
  <c r="L24" i="10" s="1"/>
  <c r="K23" i="10"/>
  <c r="U22" i="14" l="1"/>
  <c r="V22" i="14" s="1"/>
  <c r="U23" i="11"/>
  <c r="T24" i="11" s="1"/>
  <c r="K24" i="5"/>
  <c r="M24" i="5"/>
  <c r="L25" i="5" s="1"/>
  <c r="K24" i="10"/>
  <c r="M24" i="10" s="1"/>
  <c r="L25" i="10" s="1"/>
  <c r="U23" i="14" l="1"/>
  <c r="V23" i="14" s="1"/>
  <c r="U24" i="11"/>
  <c r="T25" i="11" s="1"/>
  <c r="K25" i="10"/>
  <c r="M25" i="10" s="1"/>
  <c r="K25" i="5"/>
  <c r="M25" i="5" s="1"/>
  <c r="U24" i="14" l="1"/>
  <c r="V24" i="14" s="1"/>
  <c r="U25" i="11"/>
  <c r="T26" i="11" s="1"/>
  <c r="U25" i="14" l="1"/>
  <c r="V25" i="14" s="1"/>
  <c r="U26" i="11"/>
  <c r="T27" i="11" s="1"/>
  <c r="U26" i="14" l="1"/>
  <c r="V26" i="14" s="1"/>
  <c r="U27" i="11"/>
  <c r="T28" i="11" s="1"/>
  <c r="U27" i="14" l="1"/>
  <c r="V27" i="14" s="1"/>
  <c r="U28" i="11"/>
  <c r="T29" i="11" s="1"/>
  <c r="U28" i="14" l="1"/>
  <c r="V28" i="14" s="1"/>
  <c r="U29" i="11"/>
  <c r="T30" i="11" s="1"/>
  <c r="U29" i="14" l="1"/>
  <c r="V29" i="14" s="1"/>
  <c r="U30" i="11"/>
  <c r="T31" i="11" s="1"/>
  <c r="U30" i="14" l="1"/>
  <c r="V30" i="14" s="1"/>
  <c r="U31" i="11"/>
  <c r="T32" i="11" s="1"/>
  <c r="U31" i="14" l="1"/>
  <c r="V31" i="14" s="1"/>
  <c r="U32" i="11"/>
  <c r="T33" i="11" s="1"/>
  <c r="U32" i="14" l="1"/>
  <c r="V32" i="14" s="1"/>
  <c r="U33" i="11"/>
  <c r="T34" i="11" s="1"/>
  <c r="U33" i="14" l="1"/>
  <c r="V33" i="14" s="1"/>
  <c r="U34" i="11"/>
  <c r="T35" i="11" s="1"/>
  <c r="U34" i="14" l="1"/>
  <c r="V34" i="14" s="1"/>
  <c r="U35" i="11"/>
  <c r="T36" i="11" s="1"/>
  <c r="U35" i="14" l="1"/>
  <c r="V35" i="14" s="1"/>
  <c r="U36" i="11"/>
  <c r="T37" i="11" s="1"/>
  <c r="U36" i="14" l="1"/>
  <c r="V36" i="14" s="1"/>
  <c r="U37" i="11"/>
  <c r="T38" i="11" s="1"/>
  <c r="U37" i="14" l="1"/>
  <c r="V37" i="14" s="1"/>
  <c r="U38" i="11"/>
  <c r="T39" i="11" s="1"/>
  <c r="U38" i="14" l="1"/>
  <c r="V38" i="14" s="1"/>
  <c r="U39" i="11"/>
  <c r="T40" i="11" s="1"/>
  <c r="U39" i="14" l="1"/>
  <c r="V39" i="14" s="1"/>
  <c r="U40" i="11"/>
  <c r="T41" i="11" s="1"/>
  <c r="U40" i="14" l="1"/>
  <c r="V40" i="14" s="1"/>
  <c r="U41" i="11"/>
  <c r="T42" i="11" s="1"/>
  <c r="U41" i="14" l="1"/>
  <c r="V41" i="14" s="1"/>
  <c r="U42" i="11"/>
  <c r="T43" i="11" s="1"/>
  <c r="U42" i="14" l="1"/>
  <c r="V42" i="14" s="1"/>
  <c r="U43" i="11"/>
  <c r="T44" i="11" s="1"/>
  <c r="U43" i="14" l="1"/>
  <c r="V43" i="14" s="1"/>
  <c r="U44" i="11"/>
  <c r="T45" i="11" s="1"/>
  <c r="U44" i="14" l="1"/>
  <c r="V44" i="14" s="1"/>
  <c r="U45" i="11"/>
  <c r="T46" i="11" s="1"/>
  <c r="U45" i="14" l="1"/>
  <c r="V45" i="14" s="1"/>
  <c r="U46" i="11"/>
  <c r="T47" i="11" s="1"/>
  <c r="U46" i="14" l="1"/>
  <c r="V46" i="14" s="1"/>
  <c r="U47" i="11"/>
  <c r="T48" i="11" s="1"/>
  <c r="U47" i="14" l="1"/>
  <c r="V47" i="14" s="1"/>
  <c r="U48" i="11"/>
  <c r="T49" i="11" s="1"/>
  <c r="U48" i="14" l="1"/>
  <c r="V48" i="14" s="1"/>
  <c r="U49" i="11"/>
  <c r="T50" i="11" s="1"/>
  <c r="U49" i="14" l="1"/>
  <c r="V49" i="14" s="1"/>
  <c r="U50" i="11"/>
  <c r="T51" i="11" s="1"/>
  <c r="U50" i="14" l="1"/>
  <c r="V50" i="14" s="1"/>
  <c r="U51" i="11"/>
  <c r="T52" i="11" s="1"/>
  <c r="U51" i="14" l="1"/>
  <c r="V51" i="14" s="1"/>
  <c r="U52" i="11"/>
  <c r="T53" i="11" s="1"/>
  <c r="U52" i="14" l="1"/>
  <c r="V52" i="14" s="1"/>
  <c r="U53" i="11"/>
  <c r="T54" i="11" s="1"/>
  <c r="U53" i="14" l="1"/>
  <c r="V53" i="14" s="1"/>
  <c r="U54" i="11"/>
  <c r="T55" i="11" s="1"/>
  <c r="U54" i="14" l="1"/>
  <c r="V54" i="14" s="1"/>
  <c r="U55" i="11"/>
  <c r="T56" i="11" s="1"/>
  <c r="U55" i="14" l="1"/>
  <c r="V55" i="14" s="1"/>
  <c r="U56" i="11"/>
  <c r="T57" i="11" s="1"/>
  <c r="U56" i="14" l="1"/>
  <c r="V56" i="14" s="1"/>
  <c r="U57" i="11"/>
  <c r="T58" i="11" s="1"/>
  <c r="U57" i="14" l="1"/>
  <c r="V57" i="14" s="1"/>
  <c r="U58" i="11"/>
  <c r="T59" i="11" s="1"/>
  <c r="U58" i="14" l="1"/>
  <c r="V58" i="14" s="1"/>
  <c r="U59" i="11"/>
  <c r="T60" i="11" s="1"/>
  <c r="U59" i="14" l="1"/>
  <c r="V59" i="14" s="1"/>
  <c r="U60" i="11"/>
  <c r="T61" i="11" s="1"/>
  <c r="U60" i="14" l="1"/>
  <c r="V60" i="14" s="1"/>
  <c r="U61" i="11"/>
  <c r="T62" i="11" s="1"/>
  <c r="U61" i="14" l="1"/>
  <c r="V61" i="14" s="1"/>
  <c r="U62" i="11"/>
  <c r="T63" i="11" s="1"/>
  <c r="U62" i="14" l="1"/>
  <c r="V62" i="14" s="1"/>
  <c r="U63" i="11"/>
  <c r="T64" i="11" s="1"/>
  <c r="U63" i="14" l="1"/>
  <c r="V63" i="14" s="1"/>
  <c r="U64" i="11"/>
  <c r="T65" i="11" s="1"/>
  <c r="U64" i="14" l="1"/>
  <c r="V64" i="14" s="1"/>
  <c r="U65" i="11"/>
  <c r="T66" i="11" s="1"/>
  <c r="U65" i="14" l="1"/>
  <c r="V65" i="14" s="1"/>
  <c r="U66" i="11"/>
  <c r="T67" i="11" s="1"/>
  <c r="U66" i="14" l="1"/>
  <c r="V66" i="14" s="1"/>
  <c r="U67" i="11"/>
  <c r="T68" i="11" s="1"/>
  <c r="U67" i="14" l="1"/>
  <c r="V67" i="14" s="1"/>
  <c r="U68" i="11"/>
  <c r="T69" i="11" s="1"/>
  <c r="U68" i="14" l="1"/>
  <c r="V68" i="14" s="1"/>
  <c r="U69" i="11"/>
  <c r="T70" i="11" s="1"/>
  <c r="U69" i="14" l="1"/>
  <c r="V69" i="14" s="1"/>
  <c r="U70" i="11"/>
  <c r="T71" i="11" s="1"/>
  <c r="U70" i="14" l="1"/>
  <c r="V70" i="14" s="1"/>
  <c r="U71" i="11"/>
  <c r="T72" i="11" s="1"/>
  <c r="U71" i="14" l="1"/>
  <c r="V71" i="14" s="1"/>
  <c r="U72" i="11"/>
  <c r="T73" i="11" s="1"/>
  <c r="U72" i="14" l="1"/>
  <c r="V72" i="14" s="1"/>
  <c r="U73" i="11"/>
  <c r="T74" i="11" s="1"/>
  <c r="U73" i="14" l="1"/>
  <c r="V73" i="14" s="1"/>
  <c r="U74" i="11"/>
  <c r="T75" i="11" s="1"/>
  <c r="U74" i="14" l="1"/>
  <c r="V74" i="14" s="1"/>
  <c r="U75" i="11"/>
  <c r="T76" i="11" s="1"/>
  <c r="U75" i="14" l="1"/>
  <c r="V75" i="14" s="1"/>
  <c r="U76" i="11"/>
  <c r="T77" i="11" s="1"/>
  <c r="U76" i="14" l="1"/>
  <c r="V76" i="14" s="1"/>
  <c r="U77" i="11"/>
  <c r="T78" i="11" s="1"/>
  <c r="U77" i="14" l="1"/>
  <c r="V77" i="14" s="1"/>
  <c r="U78" i="11"/>
  <c r="T79" i="11" s="1"/>
  <c r="U78" i="14" l="1"/>
  <c r="V78" i="14" s="1"/>
  <c r="U79" i="11"/>
  <c r="T80" i="11" s="1"/>
  <c r="U79" i="14" l="1"/>
  <c r="V79" i="14" s="1"/>
  <c r="U80" i="11"/>
  <c r="T81" i="11" s="1"/>
  <c r="U80" i="14" l="1"/>
  <c r="V80" i="14" s="1"/>
  <c r="U81" i="11"/>
  <c r="T82" i="11" s="1"/>
  <c r="U81" i="14" l="1"/>
  <c r="V81" i="14" s="1"/>
  <c r="U82" i="11"/>
  <c r="T83" i="11" s="1"/>
  <c r="U82" i="14" l="1"/>
  <c r="V82" i="14" s="1"/>
  <c r="U83" i="11"/>
  <c r="T84" i="11" s="1"/>
  <c r="U83" i="14" l="1"/>
  <c r="V83" i="14" s="1"/>
  <c r="U84" i="11"/>
  <c r="T85" i="11" s="1"/>
  <c r="U84" i="14" l="1"/>
  <c r="V84" i="14" s="1"/>
  <c r="U85" i="11"/>
  <c r="T86" i="11" s="1"/>
  <c r="U85" i="14" l="1"/>
  <c r="V85" i="14" s="1"/>
  <c r="U86" i="11"/>
  <c r="T87" i="11" s="1"/>
  <c r="U86" i="14" l="1"/>
  <c r="V86" i="14" s="1"/>
  <c r="U87" i="11"/>
  <c r="T88" i="11" s="1"/>
  <c r="U87" i="14" l="1"/>
  <c r="V87" i="14" s="1"/>
  <c r="U88" i="11"/>
  <c r="T89" i="11" s="1"/>
  <c r="U88" i="14" l="1"/>
  <c r="V88" i="14" s="1"/>
  <c r="U89" i="11"/>
  <c r="T90" i="11" s="1"/>
  <c r="U89" i="14" l="1"/>
  <c r="V89" i="14" s="1"/>
  <c r="U90" i="11"/>
  <c r="T91" i="11" s="1"/>
  <c r="U90" i="14" l="1"/>
  <c r="V90" i="14" s="1"/>
  <c r="U91" i="11"/>
  <c r="T92" i="11" s="1"/>
  <c r="U91" i="14" l="1"/>
  <c r="V91" i="14" s="1"/>
  <c r="U92" i="11"/>
  <c r="T93" i="11" s="1"/>
  <c r="U92" i="14" l="1"/>
  <c r="V92" i="14" s="1"/>
  <c r="U93" i="11"/>
  <c r="T94" i="11" s="1"/>
  <c r="U93" i="14" l="1"/>
  <c r="V93" i="14" s="1"/>
  <c r="U94" i="11"/>
  <c r="T95" i="11" s="1"/>
  <c r="U94" i="14" l="1"/>
  <c r="V94" i="14" s="1"/>
  <c r="U95" i="11"/>
  <c r="T96" i="11" s="1"/>
  <c r="U95" i="14" l="1"/>
  <c r="V95" i="14" s="1"/>
  <c r="U96" i="11"/>
  <c r="T97" i="11" s="1"/>
  <c r="U96" i="14" l="1"/>
  <c r="V96" i="14" s="1"/>
  <c r="U97" i="11"/>
  <c r="T98" i="11" s="1"/>
  <c r="U97" i="14" l="1"/>
  <c r="V97" i="14" s="1"/>
  <c r="U98" i="11"/>
  <c r="T99" i="11" s="1"/>
  <c r="U98" i="14" l="1"/>
  <c r="V98" i="14" s="1"/>
  <c r="U99" i="11"/>
  <c r="T100" i="11" s="1"/>
  <c r="U99" i="14" l="1"/>
  <c r="V99" i="14" s="1"/>
  <c r="U100" i="11"/>
  <c r="T101" i="11" s="1"/>
  <c r="U100" i="14" l="1"/>
  <c r="V100" i="14" s="1"/>
  <c r="U101" i="11"/>
  <c r="T102" i="11" s="1"/>
  <c r="U101" i="14" l="1"/>
  <c r="V101" i="14" s="1"/>
  <c r="U102" i="11"/>
  <c r="T103" i="11" s="1"/>
  <c r="U102" i="14" l="1"/>
  <c r="V102" i="14" s="1"/>
  <c r="U103" i="11"/>
  <c r="T104" i="11" s="1"/>
  <c r="U103" i="14" l="1"/>
  <c r="V103" i="14" s="1"/>
  <c r="U104" i="11"/>
  <c r="T105" i="11" s="1"/>
  <c r="U104" i="14" l="1"/>
  <c r="V104" i="14" s="1"/>
  <c r="U105" i="11"/>
  <c r="T106" i="11" s="1"/>
  <c r="U105" i="14" l="1"/>
  <c r="V105" i="14" s="1"/>
  <c r="U106" i="11"/>
  <c r="T107" i="11" s="1"/>
  <c r="U106" i="14" l="1"/>
  <c r="V106" i="14" s="1"/>
  <c r="U107" i="11"/>
  <c r="T108" i="11" s="1"/>
  <c r="U107" i="14" l="1"/>
  <c r="V107" i="14" s="1"/>
  <c r="U108" i="11"/>
  <c r="T109" i="11" s="1"/>
  <c r="U108" i="14" l="1"/>
  <c r="V108" i="14" s="1"/>
  <c r="U109" i="11"/>
  <c r="T110" i="11" s="1"/>
  <c r="U109" i="14" l="1"/>
  <c r="V109" i="14" s="1"/>
  <c r="U110" i="11"/>
  <c r="T111" i="11" s="1"/>
  <c r="U110" i="14" l="1"/>
  <c r="V110" i="14" s="1"/>
  <c r="U111" i="11"/>
  <c r="T112" i="11" s="1"/>
  <c r="U111" i="14" l="1"/>
  <c r="V111" i="14" s="1"/>
  <c r="U112" i="11"/>
  <c r="U112" i="14" l="1"/>
  <c r="V112" i="14" s="1"/>
</calcChain>
</file>

<file path=xl/sharedStrings.xml><?xml version="1.0" encoding="utf-8"?>
<sst xmlns="http://schemas.openxmlformats.org/spreadsheetml/2006/main" count="735" uniqueCount="335">
  <si>
    <t>US FISCAL ACCOUNTING — RAW  -&gt;  BVAR  -&gt;  RECURSION  -&gt;  PROJECTION</t>
  </si>
  <si>
    <t>THE TARGET CONCEPT</t>
  </si>
  <si>
    <t>User's level form</t>
  </si>
  <si>
    <t>B_t = Exp_t - Rev_t + (1 + i_eff_t)*B_{t-1},  then  d_t = B_t / GDP_t.
  Exp = PRIMARY expenditure (EXCLUDES interest).  Rev = revenue.  i_eff = effective rate on the debt stock.
  B = debt stock (level).  The interest cost sits entirely in the (1+i_eff)*B_{t-1} term.  d = B/GDP.</t>
  </si>
  <si>
    <t>App's ratio form (per quarter)</t>
  </si>
  <si>
    <t>d_t = d_{t-1}*(1 + i_eff/400)/(1 + gNomQ/100) - pb/4   (% of GDP; i_eff %/yr; gNomQ %/quarter; pb = rev - primexp).
This is the user's level form rewritten in ratio space and quarterised - the SAME identity. The 'Fiscal Arithmetic' sheet proves the two land on the identical debt/GDP, column by column.</t>
  </si>
  <si>
    <t>THE THREE BVAR FISCAL DRIVERS (estimated)</t>
  </si>
  <si>
    <t>FREV_GDP</t>
  </si>
  <si>
    <t>Revenue / GDP * 100  (% of GDP).  BVAR 'lin' variable.</t>
  </si>
  <si>
    <t>FPEXP_GDP</t>
  </si>
  <si>
    <t>(Expenditure - interest) / GDP * 100  = PRIMARY expenditure / GDP  (% of GDP).  'lin'.</t>
  </si>
  <si>
    <t>DSVC</t>
  </si>
  <si>
    <t>Debt service / GDP * 100  = net interest / LAGGED GDP  (% of GDP).  'lin'.  THIS is forecast by the BVAR; the effective rate i_eff is BACKED OUT from it as i_eff = DSVC*100 / d_{t-1}.</t>
  </si>
  <si>
    <t>(internal) EFFI</t>
  </si>
  <si>
    <t>Effective interest rate = net interest / LAGGED debt stock * 100  (% p.a.).  DSVC = EFFI * d_{t-1}/100, i.e. debt service = the effective rate applied to last quarter's debt ratio.</t>
  </si>
  <si>
    <t>THE FIVE SHEETS PER COUNTRY</t>
  </si>
  <si>
    <t>Raw Data</t>
  </si>
  <si>
    <t>the raw series in levels, with charts.</t>
  </si>
  <si>
    <t>Construction</t>
  </si>
  <si>
    <t>builds FREV_GDP, FPEXP_GDP, EFFI and DSVC from the raw cells with LIVE formulas.</t>
  </si>
  <si>
    <t>Fiscal Arithmetic</t>
  </si>
  <si>
    <t>reconstructs HISTORICAL debt/GDP from the flows (back-cast check vs observed).</t>
  </si>
  <si>
    <t>Projection</t>
  </si>
  <si>
    <t>how the BVAR projects DSVC (debt service) and debt/GDP AHEAD, with 16/84 bands.</t>
  </si>
  <si>
    <t>RAW SERIES &amp; SOURCES</t>
  </si>
  <si>
    <t>Raw series (role)</t>
  </si>
  <si>
    <t>Source ID / provenance, units</t>
  </si>
  <si>
    <t>nominal GDP</t>
  </si>
  <si>
    <t>FRED: GDP - nominal GDP, $bn SAAR</t>
  </si>
  <si>
    <t>federal receipts</t>
  </si>
  <si>
    <t>FRED: FGRECPT - federal current receipts, $bn SAAR</t>
  </si>
  <si>
    <t>federal expenditure</t>
  </si>
  <si>
    <t>FRED: FGEXPND - federal current expenditures (INCL. interest), $bn SAAR</t>
  </si>
  <si>
    <t>federal net interest</t>
  </si>
  <si>
    <t>FRED: A091RC1Q027SBEA - federal interest payments, $bn SAAR</t>
  </si>
  <si>
    <t>gross federal debt</t>
  </si>
  <si>
    <t>FRED: GFDEGDQ188S - gross federal debt as % of GDP (the d0 anchor)</t>
  </si>
  <si>
    <t>UNIT CONVENTIONS</t>
  </si>
  <si>
    <t>SAAR (US flows)</t>
  </si>
  <si>
    <t>GDP/FGRECPT/FGEXPND/A091 are Seasonally-Adjusted ANNUAL RATES: each quarter already states an annual $-rate, so a ratio is flow_t / GDP_t with NO *4.</t>
  </si>
  <si>
    <t>Quarterly levels (UK flows)</t>
  </si>
  <si>
    <t>ONS revenue/expenditure/interest are quarterly LEVELS (GBP m, not annualised), so the ratio uses a 4-QUARTER TRAILING SUM: 4q-sum(flow)/4q-sum(GDP).</t>
  </si>
  <si>
    <t>% of GDP (annual ratio)</t>
  </si>
  <si>
    <t>FREV_GDP, FPEXP_GDP, DSVC are annual ratios, e.g. 18 means 18% of GDP. Carried in the BVAR as 'lin' (level) variables.</t>
  </si>
  <si>
    <t>Effective rate</t>
  </si>
  <si>
    <t>EFFI is %/year on the debt STOCK (e.g. 3 = 3%/yr); NOT the policy or market yield.</t>
  </si>
  <si>
    <t>Debt / GDP (d)</t>
  </si>
  <si>
    <t>d, d0 in %, e.g. 100 = 100% of GDP.  This workbook's US d0 = 122.5682%.</t>
  </si>
  <si>
    <t>Nominal growth gNomQ</t>
  </si>
  <si>
    <t>%/QUARTER. US: from SAAR GDP (already annual). UK: from the 4q-GDP base (same base the ratio uses). The forecast uses Delta(real 100*log GDP) + Delta(deflator 100*log).</t>
  </si>
  <si>
    <t>COVID NOTE (US only): the deployed BVAR linearly interpolates FPEXP_GDP across the SAME 7 quarters it carries, 2020Q2-2021Q4, to remove the CARES/ARP emergency-spending spike (raw 2020Q2 FPEXP ~42% of GDP vs a ~20% norm). US flows are SAAR, so there is NO annual-window lag: the treated quarters ARE the BVAR's quarters. The Construction sheet shows BOTH the raw (no-COVID) FPEXP and the value that actually entered the BVAR. FREV and DSVC are untreated. The UK gets no COVID treatment (raw == deployed).</t>
  </si>
  <si>
    <t>SPOT-CHECK vs the deployed BVAR app/public/data/bvar/US:
US 2025Q4 (last history): FREV_GDP=18.7715, FPEXP_GDP=20.2281, DSVC=3.9472 - MATCH historical.json cols 33/34/35 exactly. All 40 quarters match to &lt;1e-4, except the 7 COVID quarters 2020Q2-2021Q4 where the into-BVAR FPEXP is interpolated (raw 2020Q2 FPEXP=41.97 vs into-BVAR 20.04). BVAR projects DSVC 3.96 -&gt; 4.92% of GDP over 20 quarters (see US Projection).</t>
  </si>
  <si>
    <t>US RAW DATA - FRED quarterly (SAAR flows; debt as % of GDP)</t>
  </si>
  <si>
    <t>Date</t>
  </si>
  <si>
    <t>GDP ($bn, SAAR)</t>
  </si>
  <si>
    <t>FGRECPT receipts ($bn, SAAR)</t>
  </si>
  <si>
    <t>FGEXPND expenditure ($bn, SAAR)</t>
  </si>
  <si>
    <t>A091 net interest ($bn, SAAR)</t>
  </si>
  <si>
    <t>GFDEGDQ188S gross debt (% of GDP)</t>
  </si>
  <si>
    <t>FRED: GDP</t>
  </si>
  <si>
    <t>FRED: FGRECPT</t>
  </si>
  <si>
    <t>FRED: FGEXPND</t>
  </si>
  <si>
    <t>FRED: A091RC1Q027SBEA</t>
  </si>
  <si>
    <t>FRED: GFDEGDQ188S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</si>
  <si>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</si>
  <si>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</si>
  <si>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</si>
  <si>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</si>
  <si>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</si>
  <si>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</si>
  <si>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</si>
  <si>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</si>
  <si>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</si>
  <si>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</si>
  <si>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</si>
  <si>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</si>
  <si>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</si>
  <si>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</si>
  <si>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</si>
  <si>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</si>
  <si>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</si>
  <si>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</si>
  <si>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</si>
  <si>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</si>
  <si>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</si>
  <si>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</si>
  <si>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</si>
  <si>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</si>
  <si>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</si>
  <si>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</si>
  <si>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</si>
  <si>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</si>
  <si>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</si>
  <si>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</si>
  <si>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</si>
  <si>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</si>
  <si>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</si>
  <si>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</si>
  <si>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</si>
  <si>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</si>
  <si>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</si>
  <si>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</si>
  <si>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</si>
  <si>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</si>
  <si>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</si>
  <si>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</si>
  <si>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</si>
  <si>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</si>
  <si>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</si>
  <si>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</si>
  <si>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</si>
  <si>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</si>
  <si>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</si>
  <si>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</si>
  <si>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</si>
  <si>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</si>
  <si>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</si>
  <si>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</si>
  <si>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</si>
  <si>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</si>
  <si>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</si>
  <si>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</si>
  <si>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</si>
  <si>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</si>
  <si>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</si>
  <si>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</si>
  <si>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</si>
  <si>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</si>
  <si>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</si>
  <si>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</si>
  <si>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</si>
  <si>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</si>
  <si>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</si>
  <si>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</si>
  <si>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</si>
  <si>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</si>
  <si>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</si>
  <si>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</si>
  <si>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</si>
  <si>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</si>
  <si>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</si>
  <si>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</si>
  <si>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</si>
  <si>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</si>
  <si>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</si>
  <si>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</si>
  <si>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</si>
  <si>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</si>
  <si>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</si>
  <si>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</si>
  <si>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</si>
  <si>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</si>
  <si>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</si>
  <si>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</si>
  <si>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</si>
  <si>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</si>
  <si>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</si>
  <si>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</si>
  <si>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</si>
  <si>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</si>
  <si>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</si>
  <si>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</si>
  <si>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</si>
  <si>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</si>
  <si>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</si>
  <si>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</si>
  <si>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</si>
  <si>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</si>
  <si>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</si>
  <si>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</si>
  <si>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</si>
  <si>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</si>
  <si>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</si>
  <si>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</si>
  <si>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</si>
  <si>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US CONSTRUCTION - BVAR fiscal inputs from raw cells (LIVE FORMULAS)</t>
  </si>
  <si>
    <t>Every value is a LIVE formula referencing 'US Raw Data'. US flows are SAAR (already annual): ratios are flow_t/GDP_t with NO *4. Lags reference the row ABOVE on Raw Data; the first row here is 1998Q3 (1998Q2 sits on Raw Data only to supply that lag). Column C is the RAW (no-COVID) FPEXP; column D is the FPEXP that ACTUALLY entered the BVAR (= raw, except interpolated across 2020Q2-2021Q4). FREV (B) and DSVC (G) are untreated.</t>
  </si>
  <si>
    <t>FREV_GDP (% GDP)</t>
  </si>
  <si>
    <t>FPEXP_GDP RAW (% GDP)</t>
  </si>
  <si>
    <t>FPEXP_GDP into BVAR (% GDP)</t>
  </si>
  <si>
    <t>net interest ($bn)</t>
  </si>
  <si>
    <t>EFFI (% p.a.)</t>
  </si>
  <si>
    <t>d_{t-1} (% GDP)</t>
  </si>
  <si>
    <t>DSVC (% GDP)</t>
  </si>
  <si>
    <t>FREV = FGRECPT / GDP * 100</t>
  </si>
  <si>
    <t>raw primary exp = (FGEXPND - A091) / GDP * 100  [no COVID treatment]</t>
  </si>
  <si>
    <t xml:space="preserve"> = raw, EXCEPT linearly interpolated across 2020Q2-2021Q4 (COVID outlier)</t>
  </si>
  <si>
    <t xml:space="preserve"> = A091 (SAAR) - the debt-service $ cost</t>
  </si>
  <si>
    <t>EFFI = A091 / [ (debt/GDP_{t-1}/100) * GDP_{t-1} ] * 100</t>
  </si>
  <si>
    <t xml:space="preserve"> = GFDEGDQ188S of the previous quarter (lagged debt ratio)</t>
  </si>
  <si>
    <t>DSVC = A091 / GDP_{t-1} * 100  = EFFI * d_{t-1}/100  (DEBT SERVICE)</t>
  </si>
  <si>
    <t>US FISCAL ARITHMETIC - decompose the OBSERVED debt/GDP change (LIVE)</t>
  </si>
  <si>
    <t>A one-step decomposition of the OBSERVED debt change: each row rolls forward from the OBSERVED d_{t-1}, so it is an exact quarter-by-quarter accounting. Same budget identity in two forms:
  RATIO form (the app): d_t = d_{t-1}*(1+i_eff/400)/(1+gNomQ/100) - pb/4 + sfa/4
  LEVEL form (your concept): B_t = (1+i_eff/400)*B_{t-1} - PB$_t + SFA$_t , then d_t = B_t/GDPann_t*100.
pb = FREV - FPEXP. SFA (col H) is a COMPUTED residual = the part of the observed debt change NOT explained by interest+growth+primary balance (the deficit-debt discrepancy: valuation, below-the-line financing). It is NOT a zero input - it is informative. With it, BOTH forms reproduce OBSERVED debt/GDP to the last digit (col L = 0).</t>
  </si>
  <si>
    <t>pb (% GDP)</t>
  </si>
  <si>
    <t>DSVC = interest (% GDP)</t>
  </si>
  <si>
    <t>i_eff (% p.a.)</t>
  </si>
  <si>
    <t>gNomQ (% / quarter)</t>
  </si>
  <si>
    <t>d_{t-1} OBSERVED (% GDP)</t>
  </si>
  <si>
    <t>snowball (pp)</t>
  </si>
  <si>
    <t>SFA (% GDP, residual)</t>
  </si>
  <si>
    <t>d_t RATIO form (% GDP)</t>
  </si>
  <si>
    <t>B_t LEVEL ($/GBP)</t>
  </si>
  <si>
    <t>d_t from LEVEL (% GDP)</t>
  </si>
  <si>
    <t>OBSERVED d_t (% GDP)</t>
  </si>
  <si>
    <t>recon - observed (pp)</t>
  </si>
  <si>
    <t>primary balance = FREV - FPEXP (FPEXP as it ENTERED the BVAR)</t>
  </si>
  <si>
    <t>debt service from Construction (the estimated driver)</t>
  </si>
  <si>
    <t>effective rate, BACKED OUT: i_eff = DSVC*100 / d_{t-1}</t>
  </si>
  <si>
    <t>US: 100*(GDP_t/GDP_{t-1}-1), SAAR. UK: 100*(4qGDP_t/4qGDP_{t-1}-1)</t>
  </si>
  <si>
    <t>lagged OBSERVED debt ratio (the decomposition starts from data each step)</t>
  </si>
  <si>
    <t xml:space="preserve"> = [(1+i_eff/400)/(1+gNomQ/100) - 1] * d_{t-1}  (automatic debt dynamics)</t>
  </si>
  <si>
    <t xml:space="preserve"> = 4*(d_obs_t - d_{t-1} - snowball + pb/4)  (deficit-debt discrepancy, COMPUTED)</t>
  </si>
  <si>
    <t xml:space="preserve"> = d_{t-1}(1+i_eff/400)/(1+gNomQ/100) - pb/4 + sfa/4</t>
  </si>
  <si>
    <t xml:space="preserve"> = (1+i_eff/400)*B_{t-1} - PB$_t + SFA$_t ; B_{t-1}=d_{t-1}/100*GDPann_{t-1}</t>
  </si>
  <si>
    <t xml:space="preserve"> = B_t / GDPann_t * 100  (must equal the RATIO-form d_t)</t>
  </si>
  <si>
    <t>US: GFDEGDQ188S; UK: 100*gross_debt_t/4qGDP_t  (back-cast TARGET)</t>
  </si>
  <si>
    <t xml:space="preserve"> = d_t(ratio) - observed  (the CHECK, ~0 with the SFA residual)</t>
  </si>
  <si>
    <t>EQUIVALENCE: the RATIO-form d_t (col I) and the LEVEL-form d_t (col K) are identical to display precision - your level recursion B_t=(1+i_eff)B_{t-1}-(Exp-Rev)+SFA and the app's ratio recursion are the SAME identity. col M (recon - observed) is ~0 because the SFA residual (col H) closes the identity onto observed. SFA itself is the informative deficit-debt discrepancy (financial transactions / valuation / below-the-line) - read it as a column in its own right.</t>
  </si>
  <si>
    <t>US PROJECTION - how the BVAR forecasts debt service &amp; debt/GDP AHEAD</t>
  </si>
  <si>
    <t>The orange columns (FREV, FPEXP, DSVC and its 16/84 bands, plus the forecast 100*log GDP and deflator) ARE the deployed BVAR output, app/public/data/bvar/US/baseline_levels.json, over the 20-quarter forecast starting the quarter after the last history. The BVAR forecasts DSVC (debt service) DIRECTLY as a 'lin' variable. From it the white columns back out the effective rate and roll the debt forward with LIVE formulas, exactly as fiscalAccounting.ts does:
  i_eff = DSVC*100/d_{t-1} ;  gNomQ = Delta(100*log GDP) + Delta(100*log deflator) ;  pb = FREV - FPEXP ;
  d_t = d_{t-1}*(1+i_eff/400)/(1+gNomQ/100) - pb/4.   The debt-service $ cost = DSVC/100 * GDP grows as both DSVC (the rate*stock effect) and GDP rise. The 16/84 DSVC band shows the BVAR's forecast uncertainty on the debt-service cost.</t>
  </si>
  <si>
    <t>Fcst q</t>
  </si>
  <si>
    <t>FPEXP_GDP (% GDP)</t>
  </si>
  <si>
    <t>DSVC q16 (% GDP)</t>
  </si>
  <si>
    <t>DSVC q84 (% GDP)</t>
  </si>
  <si>
    <t>100*log GDP</t>
  </si>
  <si>
    <t>100*log deflator</t>
  </si>
  <si>
    <t>gNomQ (% / q)</t>
  </si>
  <si>
    <t>d_t (% GDP)</t>
  </si>
  <si>
    <t>BVAR forecast, baseline_levels</t>
  </si>
  <si>
    <t>BVAR forecast debt service (the estimated driver)</t>
  </si>
  <si>
    <t>BVAR 16th pctile band</t>
  </si>
  <si>
    <t>BVAR 84th pctile band</t>
  </si>
  <si>
    <t>BVAR forecast real GDP (level space)</t>
  </si>
  <si>
    <t>BVAR forecast GDP deflator (level space)</t>
  </si>
  <si>
    <t xml:space="preserve"> = Delta(100*log GDP) + Delta(100*log deflator)  (nominal growth)</t>
  </si>
  <si>
    <t xml:space="preserve"> = FREV - FPEXP  (primary balance)</t>
  </si>
  <si>
    <t xml:space="preserve"> = DSVC*100 / d_{t-1}  (effective rate, backed out)</t>
  </si>
  <si>
    <t>lagged debt ratio (seed = d0 = last observed debt/GDP)</t>
  </si>
  <si>
    <t xml:space="preserve"> = d_{t-1}(1+i_eff/400)/(1+gNomQ/100) - pb/4  (PROJECTED debt/GDP)</t>
  </si>
  <si>
    <t>f+1</t>
  </si>
  <si>
    <t>f+2</t>
  </si>
  <si>
    <t>f+3</t>
  </si>
  <si>
    <t>f+4</t>
  </si>
  <si>
    <t>f+5</t>
  </si>
  <si>
    <t>f+6</t>
  </si>
  <si>
    <t>f+7</t>
  </si>
  <si>
    <t>f+8</t>
  </si>
  <si>
    <t>f+9</t>
  </si>
  <si>
    <t>f+10</t>
  </si>
  <si>
    <t>f+11</t>
  </si>
  <si>
    <t>f+12</t>
  </si>
  <si>
    <t>f+13</t>
  </si>
  <si>
    <t>f+14</t>
  </si>
  <si>
    <t>f+15</t>
  </si>
  <si>
    <t>f+16</t>
  </si>
  <si>
    <t>f+17</t>
  </si>
  <si>
    <t>f+18</t>
  </si>
  <si>
    <t>f+19</t>
  </si>
  <si>
    <t>f+20</t>
  </si>
  <si>
    <t>READ-OFF: DSVC (col D) is the BVAR's projected debt-service-to-GDP; the q16/q84 columns are its forecast band. The effective rate i_eff (col K) is what that debt service implies on the rolling debt stock, and the projected debt/GDP (col M) is the budget identity applied forward from d0. This is the exact path the app charts.</t>
  </si>
  <si>
    <t>UK FISCAL ACCOUNTING — RAW  -&gt;  BVAR  -&gt;  RECURSION  -&gt;  PROJECTION</t>
  </si>
  <si>
    <t>public-sector revenue</t>
  </si>
  <si>
    <t>ONS: public-sector current receipts, GBPm quarterly LEVEL</t>
  </si>
  <si>
    <t>total managed expenditure</t>
  </si>
  <si>
    <t>ONS: total public-sector expenditure INCL. interest, GBPm quarterly LEVEL</t>
  </si>
  <si>
    <t>public-sector debt interest</t>
  </si>
  <si>
    <t>ONS: net public-sector debt interest, GBPm quarterly LEVEL</t>
  </si>
  <si>
    <t>gross debt stock</t>
  </si>
  <si>
    <t>ONS: public-sector gross debt, GBPm end-quarter STOCK</t>
  </si>
  <si>
    <t>ONS: nominal GDP, GBPm quarterly LEVEL</t>
  </si>
  <si>
    <t>d, d0 in %, e.g. 100 = 100% of GDP.  This workbook's UK d0 = 96.2412%.</t>
  </si>
  <si>
    <t>SPOT-CHECK vs the deployed BVAR app/public/data/bvar/UK:
UK 2025Q4 (last history): FREV_GDP=39.4124, FPEXP_GDP=37.6083, DSVC=3.8142, d0=96.2412 - MATCH historical.json cols 16/17/18 and fiscal_meta.json exactly. All 40 quarters match to &lt;1e-4. No COVID treatment applied. BVAR projects DSVC 4.21 -&gt; 3.31% of GDP over 20 quarters (see UK Projection).</t>
  </si>
  <si>
    <t>UK RAW DATA - ONS quarterly LEVELS (GBP million, not annualised)</t>
  </si>
  <si>
    <t>revenue (GBPm, q-level)</t>
  </si>
  <si>
    <t>total_expenditure (GBPm)</t>
  </si>
  <si>
    <t>interest (GBPm, q-level)</t>
  </si>
  <si>
    <t>gross_debt (GBPm, stock)</t>
  </si>
  <si>
    <t>nominal_gdp (GBPm, q-level)</t>
  </si>
  <si>
    <t>ONS public-sector current receipts</t>
  </si>
  <si>
    <t>ONS total managed expenditure (incl. interest)</t>
  </si>
  <si>
    <t>ONS public-sector debt interest (net)</t>
  </si>
  <si>
    <t>ONS public-sector gross debt (end-quarter STOCK)</t>
  </si>
  <si>
    <t>ONS nominal GDP, quarterly level</t>
  </si>
  <si>
    <t>UK CONSTRUCTION - BVAR fiscal inputs from raw cells (LIVE FORMULAS, 4q trailing sums)</t>
  </si>
  <si>
    <t>UK flows are quarterly LEVELS, so each ratio annualises via a 4-QUARTER TRAILING SUM (SUM over the current and prior 3 rows; the first few rows use the available &lt;4 quarters, matching the pipeline). EFFI uses *4 (a quarterly interest vs a stock); contrast the US, already SAAR. The UK gets NO COVID treatment: raw == what enters the BVAR.</t>
  </si>
  <si>
    <t>4q rev</t>
  </si>
  <si>
    <t>4q primexp</t>
  </si>
  <si>
    <t>4q GDP</t>
  </si>
  <si>
    <t xml:space="preserve"> = SUM(revenue, this + prior 3 q)</t>
  </si>
  <si>
    <t xml:space="preserve"> = SUM(total_exp - interest, this + prior 3 q)</t>
  </si>
  <si>
    <t xml:space="preserve"> = SUM(nominal_gdp, this + prior 3 q)</t>
  </si>
  <si>
    <t>FREV = 100 * 4qRev / 4qGDP</t>
  </si>
  <si>
    <t>FPEXP = 100 * 4qPrimexp / 4qGDP</t>
  </si>
  <si>
    <t>EFFI = 100 * 4 * interest_t / gross_debt_{t-1}</t>
  </si>
  <si>
    <t>d = 100 * gross_debt_t / 4qGDP_t</t>
  </si>
  <si>
    <t xml:space="preserve"> = prior-row d_t (lagged debt ratio)</t>
  </si>
  <si>
    <t>DSVC = EFFI * d_{t-1}/100  = 100*4*interest_t/4qGDP_{t-1}  (DEBT SERVICE)</t>
  </si>
  <si>
    <t>UK FISCAL ARITHMETIC - decompose the OBSERVED debt/GDP change (LIVE)</t>
  </si>
  <si>
    <t>UK PROJECTION - how the BVAR forecasts debt service &amp; debt/GDP AHEAD</t>
  </si>
  <si>
    <t>The orange columns (FREV, FPEXP, DSVC and its 16/84 bands, plus the forecast 100*log GDP and deflator) ARE the deployed BVAR output, app/public/data/bvar/UK/baseline_levels.json, over the 20-quarter forecast starting the quarter after the last history. The BVAR forecasts DSVC (debt service) DIRECTLY as a 'lin' variable. From it the white columns back out the effective rate and roll the debt forward with LIVE formulas, exactly as fiscalAccounting.ts does:
  i_eff = DSVC*100/d_{t-1} ;  gNomQ = Delta(100*log GDP) + Delta(100*log deflator) ;  pb = FREV - FPEXP ;
  d_t = d_{t-1}*(1+i_eff/400)/(1+gNomQ/100) - pb/4.   The debt-service $ cost = DSVC/100 * GDP grows as both DSVC (the rate*stock effect) and GDP rise. The 16/84 DSVC band shows the BVAR's forecast uncertainty on the debt-service cost.</t>
  </si>
  <si>
    <t>Quarter</t>
  </si>
  <si>
    <t>GDPN</t>
  </si>
  <si>
    <t>TAX</t>
  </si>
  <si>
    <t>DEBTG</t>
  </si>
  <si>
    <t>DEBTCheck1</t>
  </si>
  <si>
    <t>Is DEBTG end of period?</t>
  </si>
  <si>
    <t>Are expenditures includig or excluding interest rate component?</t>
  </si>
  <si>
    <t>GEXP</t>
  </si>
  <si>
    <t>GEXP+INTEXP</t>
  </si>
  <si>
    <t>INTEXP</t>
  </si>
  <si>
    <t>DEBTCheck2</t>
  </si>
  <si>
    <t>RESID</t>
  </si>
  <si>
    <t>DEBTCheck3</t>
  </si>
  <si>
    <t>GEXPSHR</t>
  </si>
  <si>
    <t>TAXSHR</t>
  </si>
  <si>
    <t>Ieff</t>
  </si>
  <si>
    <t>DEBT</t>
  </si>
  <si>
    <t>DEBTGL</t>
  </si>
  <si>
    <t>NaN</t>
  </si>
  <si>
    <t>FFLOWSHR</t>
  </si>
  <si>
    <t>DEBTcheck Static</t>
  </si>
  <si>
    <t>DEBTcheck Dynamic</t>
  </si>
  <si>
    <t>GDP(t-1)</t>
  </si>
  <si>
    <t>GDP(t)</t>
  </si>
  <si>
    <t>FRED: NA000308Q</t>
  </si>
  <si>
    <t>FRED: NA000304Q</t>
  </si>
  <si>
    <t>FRED: NA000283Q</t>
  </si>
  <si>
    <t>FRED: GFDEBTN</t>
  </si>
  <si>
    <t>GFDEBTN - Federal Debt: Total Public Debt (GFDEBTN), Millions of Dollars,
Not Seasonally Adjusted</t>
  </si>
  <si>
    <t>Federal Government Current Receipts (NA000304Q), Millions of Dollars,
Not Seasonally Adjusted</t>
  </si>
  <si>
    <t>Federal government current expenditures: Interest payments (NA000308Q), Millions of Dollars,
Not Seasonally Adjusted</t>
  </si>
  <si>
    <t>Federal Government: Current Expenditures (NA000283Q), Millions of Dollars,
Not Seasonally Adjusted</t>
  </si>
  <si>
    <t>Gross Domestic Product (NA000334Q),Millions of Dollars,
Not Seasonally Adjusted</t>
  </si>
  <si>
    <t>FRED: NA000334Q</t>
  </si>
  <si>
    <t>DEBTGLag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</si>
</sst>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Cambria"/>
      <charset val="1"/>
    </font>
    <font>
      <b/>
      <sz val="13"/>
      <color rgb="FF1F3864"/>
      <name val="Cambria"/>
      <charset val="1"/>
    </font>
    <font>
      <b/>
      <sz val="10"/>
      <name val="Cambria"/>
      <charset val="1"/>
    </font>
    <font>
      <b/>
      <sz val="10"/>
      <color rgb="FFFFFFFF"/>
      <name val="Cambria"/>
      <charset val="1"/>
    </font>
    <font>
      <sz val="10"/>
      <name val="Cambria"/>
      <charset val="1"/>
    </font>
    <font>
      <i/>
      <sz val="9"/>
      <color rgb="FF7F6000"/>
      <name val="Cambria"/>
      <charset val="1"/>
    </font>
    <font>
      <b/>
      <sz val="10"/>
      <color rgb="FFFFFFFF"/>
      <name val="Cambria"/>
      <family val="1"/>
    </font>
    <font>
      <i/>
      <sz val="9"/>
      <color rgb="FF7F6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4" borderId="0" xfId="0" applyFont="1" applyFill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164" fontId="0" fillId="5" borderId="0" xfId="0" applyNumberFormat="1" applyFill="1"/>
    <xf numFmtId="165" fontId="0" fillId="0" borderId="0" xfId="0" applyNumberForma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6" fillId="4" borderId="0" xfId="0" applyFont="1" applyFill="1" applyAlignment="1">
      <alignment vertical="top" wrapText="1"/>
    </xf>
    <xf numFmtId="0" fontId="1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GDP ($bn, SAAR)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Data'!$B$3</c:f>
              <c:strCache>
                <c:ptCount val="1"/>
                <c:pt idx="0">
                  <c:v>GDP ($bn, SAAR)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Data'!$B$4:$B$115</c:f>
              <c:numCache>
                <c:formatCode>#,##0</c:formatCode>
                <c:ptCount val="112"/>
                <c:pt idx="0" formatCode="General">
                  <c:v>0</c:v>
                </c:pt>
                <c:pt idx="1">
                  <c:v>8969.6990000000005</c:v>
                </c:pt>
                <c:pt idx="2">
                  <c:v>9121.0969999999998</c:v>
                </c:pt>
                <c:pt idx="3">
                  <c:v>9293.991</c:v>
                </c:pt>
                <c:pt idx="4">
                  <c:v>9411.6820000000007</c:v>
                </c:pt>
                <c:pt idx="5">
                  <c:v>9526.2099999999991</c:v>
                </c:pt>
                <c:pt idx="6">
                  <c:v>9686.6260000000002</c:v>
                </c:pt>
                <c:pt idx="7">
                  <c:v>9900.1689999999999</c:v>
                </c:pt>
                <c:pt idx="8">
                  <c:v>10002.179</c:v>
                </c:pt>
                <c:pt idx="9">
                  <c:v>10247.719999999999</c:v>
                </c:pt>
                <c:pt idx="10">
                  <c:v>10318.165000000001</c:v>
                </c:pt>
                <c:pt idx="11">
                  <c:v>10435.744000000001</c:v>
                </c:pt>
                <c:pt idx="12">
                  <c:v>10470.231</c:v>
                </c:pt>
                <c:pt idx="13">
                  <c:v>10599</c:v>
                </c:pt>
                <c:pt idx="14">
                  <c:v>10598.02</c:v>
                </c:pt>
                <c:pt idx="15">
                  <c:v>10660.465</c:v>
                </c:pt>
                <c:pt idx="16">
                  <c:v>10783.5</c:v>
                </c:pt>
                <c:pt idx="17">
                  <c:v>10887.46</c:v>
                </c:pt>
                <c:pt idx="18">
                  <c:v>10984.04</c:v>
                </c:pt>
                <c:pt idx="19">
                  <c:v>11061.433000000001</c:v>
                </c:pt>
                <c:pt idx="20">
                  <c:v>11174.129000000001</c:v>
                </c:pt>
                <c:pt idx="21">
                  <c:v>11312.766</c:v>
                </c:pt>
                <c:pt idx="22">
                  <c:v>11566.669</c:v>
                </c:pt>
                <c:pt idx="23">
                  <c:v>11772.234</c:v>
                </c:pt>
                <c:pt idx="24">
                  <c:v>11923.447</c:v>
                </c:pt>
                <c:pt idx="25">
                  <c:v>12112.815000000001</c:v>
                </c:pt>
                <c:pt idx="26">
                  <c:v>12305.307000000001</c:v>
                </c:pt>
                <c:pt idx="27">
                  <c:v>12527.214</c:v>
                </c:pt>
                <c:pt idx="28">
                  <c:v>12767.286</c:v>
                </c:pt>
                <c:pt idx="29">
                  <c:v>12922.656000000001</c:v>
                </c:pt>
                <c:pt idx="30">
                  <c:v>13142.642</c:v>
                </c:pt>
                <c:pt idx="31">
                  <c:v>13324.204</c:v>
                </c:pt>
                <c:pt idx="32">
                  <c:v>13599.16</c:v>
                </c:pt>
                <c:pt idx="33">
                  <c:v>13753.424000000001</c:v>
                </c:pt>
                <c:pt idx="34">
                  <c:v>13870.188</c:v>
                </c:pt>
                <c:pt idx="35">
                  <c:v>14039.56</c:v>
                </c:pt>
                <c:pt idx="36">
                  <c:v>14215.651</c:v>
                </c:pt>
                <c:pt idx="37">
                  <c:v>14402.082</c:v>
                </c:pt>
                <c:pt idx="38">
                  <c:v>14564.117</c:v>
                </c:pt>
                <c:pt idx="39">
                  <c:v>14715.058000000001</c:v>
                </c:pt>
                <c:pt idx="40">
                  <c:v>14706.538</c:v>
                </c:pt>
                <c:pt idx="41">
                  <c:v>14865.700999999999</c:v>
                </c:pt>
                <c:pt idx="42">
                  <c:v>14898.999</c:v>
                </c:pt>
                <c:pt idx="43">
                  <c:v>14608.209000000001</c:v>
                </c:pt>
                <c:pt idx="44">
                  <c:v>14430.902</c:v>
                </c:pt>
                <c:pt idx="45">
                  <c:v>14381.236000000001</c:v>
                </c:pt>
                <c:pt idx="46">
                  <c:v>14448.882</c:v>
                </c:pt>
                <c:pt idx="47">
                  <c:v>14651.249</c:v>
                </c:pt>
                <c:pt idx="48">
                  <c:v>14764.61</c:v>
                </c:pt>
                <c:pt idx="49">
                  <c:v>14980.192999999999</c:v>
                </c:pt>
                <c:pt idx="50">
                  <c:v>15141.607</c:v>
                </c:pt>
                <c:pt idx="51">
                  <c:v>15309.474</c:v>
                </c:pt>
                <c:pt idx="52">
                  <c:v>15351.448</c:v>
                </c:pt>
                <c:pt idx="53">
                  <c:v>15557.539000000001</c:v>
                </c:pt>
                <c:pt idx="54">
                  <c:v>15647.68</c:v>
                </c:pt>
                <c:pt idx="55">
                  <c:v>15842.259</c:v>
                </c:pt>
                <c:pt idx="56">
                  <c:v>16068.805</c:v>
                </c:pt>
                <c:pt idx="57">
                  <c:v>16207.115</c:v>
                </c:pt>
                <c:pt idx="58">
                  <c:v>16319.540999999999</c:v>
                </c:pt>
                <c:pt idx="59">
                  <c:v>16420.419000000002</c:v>
                </c:pt>
                <c:pt idx="60">
                  <c:v>16648.188999999998</c:v>
                </c:pt>
                <c:pt idx="61">
                  <c:v>16728.687000000002</c:v>
                </c:pt>
                <c:pt idx="62">
                  <c:v>16953.838</c:v>
                </c:pt>
                <c:pt idx="63">
                  <c:v>17192.019</c:v>
                </c:pt>
                <c:pt idx="64">
                  <c:v>17197.738000000001</c:v>
                </c:pt>
                <c:pt idx="65">
                  <c:v>17518.508000000002</c:v>
                </c:pt>
                <c:pt idx="66">
                  <c:v>17804.227999999999</c:v>
                </c:pt>
                <c:pt idx="67">
                  <c:v>17912.079000000002</c:v>
                </c:pt>
                <c:pt idx="68">
                  <c:v>18063.528999999999</c:v>
                </c:pt>
                <c:pt idx="69">
                  <c:v>18279.784</c:v>
                </c:pt>
                <c:pt idx="70">
                  <c:v>18401.626</c:v>
                </c:pt>
                <c:pt idx="71">
                  <c:v>18435.136999999999</c:v>
                </c:pt>
                <c:pt idx="72">
                  <c:v>18525.933000000001</c:v>
                </c:pt>
                <c:pt idx="73">
                  <c:v>18711.702000000001</c:v>
                </c:pt>
                <c:pt idx="74">
                  <c:v>18892.638999999999</c:v>
                </c:pt>
                <c:pt idx="75">
                  <c:v>19089.379000000001</c:v>
                </c:pt>
                <c:pt idx="76">
                  <c:v>19280.083999999999</c:v>
                </c:pt>
                <c:pt idx="77">
                  <c:v>19438.643</c:v>
                </c:pt>
                <c:pt idx="78">
                  <c:v>19692.595000000001</c:v>
                </c:pt>
                <c:pt idx="79">
                  <c:v>20037.088</c:v>
                </c:pt>
                <c:pt idx="80">
                  <c:v>20328.553</c:v>
                </c:pt>
                <c:pt idx="81">
                  <c:v>20580.912</c:v>
                </c:pt>
                <c:pt idx="82">
                  <c:v>20798.73</c:v>
                </c:pt>
                <c:pt idx="83">
                  <c:v>20917.866999999998</c:v>
                </c:pt>
                <c:pt idx="84">
                  <c:v>21111.599999999999</c:v>
                </c:pt>
                <c:pt idx="85">
                  <c:v>21397.937999999998</c:v>
                </c:pt>
                <c:pt idx="86">
                  <c:v>21717.170999999998</c:v>
                </c:pt>
                <c:pt idx="87">
                  <c:v>21933.217000000001</c:v>
                </c:pt>
                <c:pt idx="88">
                  <c:v>21751.238000000001</c:v>
                </c:pt>
                <c:pt idx="89">
                  <c:v>19958.291000000001</c:v>
                </c:pt>
                <c:pt idx="90">
                  <c:v>21704.437000000002</c:v>
                </c:pt>
                <c:pt idx="91">
                  <c:v>22087.16</c:v>
                </c:pt>
                <c:pt idx="92">
                  <c:v>22680.692999999999</c:v>
                </c:pt>
                <c:pt idx="93">
                  <c:v>23425.91</c:v>
                </c:pt>
                <c:pt idx="94">
                  <c:v>23982.379000000001</c:v>
                </c:pt>
                <c:pt idx="95">
                  <c:v>24813.599999999999</c:v>
                </c:pt>
                <c:pt idx="96">
                  <c:v>25250.347000000002</c:v>
                </c:pt>
                <c:pt idx="97">
                  <c:v>25861.292000000001</c:v>
                </c:pt>
                <c:pt idx="98">
                  <c:v>26336.304</c:v>
                </c:pt>
                <c:pt idx="99">
                  <c:v>26770.513999999999</c:v>
                </c:pt>
                <c:pt idx="100">
                  <c:v>27216.445</c:v>
                </c:pt>
                <c:pt idx="101">
                  <c:v>27530.055</c:v>
                </c:pt>
                <c:pt idx="102">
                  <c:v>28074.846000000001</c:v>
                </c:pt>
                <c:pt idx="103">
                  <c:v>28424.722000000002</c:v>
                </c:pt>
                <c:pt idx="104">
                  <c:v>28708.161</c:v>
                </c:pt>
                <c:pt idx="105">
                  <c:v>29147.044000000002</c:v>
                </c:pt>
                <c:pt idx="106">
                  <c:v>29511.664000000001</c:v>
                </c:pt>
                <c:pt idx="107">
                  <c:v>29825.182000000001</c:v>
                </c:pt>
                <c:pt idx="108">
                  <c:v>30042.113000000001</c:v>
                </c:pt>
                <c:pt idx="109">
                  <c:v>30485.728999999999</c:v>
                </c:pt>
                <c:pt idx="110">
                  <c:v>31098.026999999998</c:v>
                </c:pt>
                <c:pt idx="111">
                  <c:v>31422.526000000002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22-4728-827F-52B95DD48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124895"/>
        <c:axId val="69994634"/>
      </c:lineChart>
      <c:catAx>
        <c:axId val="2012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94634"/>
        <c:crosses val="autoZero"/>
        <c:auto val="1"/>
        <c:lblAlgn val="ctr"/>
        <c:lblOffset val="100"/>
        <c:noMultiLvlLbl val="0"/>
      </c:catAx>
      <c:valAx>
        <c:axId val="69994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24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federal receipts (FGRECPT)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Data'!$C$3</c:f>
              <c:strCache>
                <c:ptCount val="1"/>
                <c:pt idx="0">
                  <c:v>FGRECPT receipts ($bn, SAAR)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Data'!$C$4:$C$115</c:f>
              <c:numCache>
                <c:formatCode>#,##0</c:formatCode>
                <c:ptCount val="112"/>
                <c:pt idx="0" formatCode="General">
                  <c:v>0</c:v>
                </c:pt>
                <c:pt idx="1">
                  <c:v>1771.548</c:v>
                </c:pt>
                <c:pt idx="2">
                  <c:v>1808.4469999999999</c:v>
                </c:pt>
                <c:pt idx="3">
                  <c:v>1835.085</c:v>
                </c:pt>
                <c:pt idx="4">
                  <c:v>1860.002</c:v>
                </c:pt>
                <c:pt idx="5">
                  <c:v>1885.184</c:v>
                </c:pt>
                <c:pt idx="6">
                  <c:v>1914.8620000000001</c:v>
                </c:pt>
                <c:pt idx="7">
                  <c:v>1963.7560000000001</c:v>
                </c:pt>
                <c:pt idx="8">
                  <c:v>2041.7639999999999</c:v>
                </c:pt>
                <c:pt idx="9">
                  <c:v>2056.279</c:v>
                </c:pt>
                <c:pt idx="10">
                  <c:v>2076.268</c:v>
                </c:pt>
                <c:pt idx="11">
                  <c:v>2096.7959999999998</c:v>
                </c:pt>
                <c:pt idx="12">
                  <c:v>2111.058</c:v>
                </c:pt>
                <c:pt idx="13">
                  <c:v>2098.3589999999999</c:v>
                </c:pt>
                <c:pt idx="14">
                  <c:v>1907.6790000000001</c:v>
                </c:pt>
                <c:pt idx="15">
                  <c:v>2012.375</c:v>
                </c:pt>
                <c:pt idx="16">
                  <c:v>1865.6369999999999</c:v>
                </c:pt>
                <c:pt idx="17">
                  <c:v>1868.0319999999999</c:v>
                </c:pt>
                <c:pt idx="18">
                  <c:v>1869.778</c:v>
                </c:pt>
                <c:pt idx="19">
                  <c:v>1880.098</c:v>
                </c:pt>
                <c:pt idx="20">
                  <c:v>1889.816</c:v>
                </c:pt>
                <c:pt idx="21">
                  <c:v>1912.664</c:v>
                </c:pt>
                <c:pt idx="22">
                  <c:v>1840.1859999999999</c:v>
                </c:pt>
                <c:pt idx="23">
                  <c:v>1941.796</c:v>
                </c:pt>
                <c:pt idx="24">
                  <c:v>1952.066</c:v>
                </c:pt>
                <c:pt idx="25">
                  <c:v>2003.4829999999999</c:v>
                </c:pt>
                <c:pt idx="26">
                  <c:v>2062.8130000000001</c:v>
                </c:pt>
                <c:pt idx="27">
                  <c:v>2093.96</c:v>
                </c:pt>
                <c:pt idx="28">
                  <c:v>2242.79</c:v>
                </c:pt>
                <c:pt idx="29">
                  <c:v>2272.0079999999998</c:v>
                </c:pt>
                <c:pt idx="30">
                  <c:v>2316.739</c:v>
                </c:pt>
                <c:pt idx="31">
                  <c:v>2387.2860000000001</c:v>
                </c:pt>
                <c:pt idx="32">
                  <c:v>2482.895</c:v>
                </c:pt>
                <c:pt idx="33">
                  <c:v>2518.5050000000001</c:v>
                </c:pt>
                <c:pt idx="34">
                  <c:v>2562.8609999999999</c:v>
                </c:pt>
                <c:pt idx="35">
                  <c:v>2590.85</c:v>
                </c:pt>
                <c:pt idx="36">
                  <c:v>2659.4859999999999</c:v>
                </c:pt>
                <c:pt idx="37">
                  <c:v>2674.2060000000001</c:v>
                </c:pt>
                <c:pt idx="38">
                  <c:v>2666.732</c:v>
                </c:pt>
                <c:pt idx="39">
                  <c:v>2672.884</c:v>
                </c:pt>
                <c:pt idx="40">
                  <c:v>2638.9490000000001</c:v>
                </c:pt>
                <c:pt idx="41">
                  <c:v>2621.0059999999999</c:v>
                </c:pt>
                <c:pt idx="42">
                  <c:v>2574.5700000000002</c:v>
                </c:pt>
                <c:pt idx="43">
                  <c:v>2493.6770000000001</c:v>
                </c:pt>
                <c:pt idx="44">
                  <c:v>2222.444</c:v>
                </c:pt>
                <c:pt idx="45">
                  <c:v>2223.8240000000001</c:v>
                </c:pt>
                <c:pt idx="46">
                  <c:v>2225.5010000000002</c:v>
                </c:pt>
                <c:pt idx="47">
                  <c:v>2296.4920000000002</c:v>
                </c:pt>
                <c:pt idx="48">
                  <c:v>2366.1320000000001</c:v>
                </c:pt>
                <c:pt idx="49">
                  <c:v>2420.6729999999998</c:v>
                </c:pt>
                <c:pt idx="50">
                  <c:v>2483.29</c:v>
                </c:pt>
                <c:pt idx="51">
                  <c:v>2514.962</c:v>
                </c:pt>
                <c:pt idx="52">
                  <c:v>2566.855</c:v>
                </c:pt>
                <c:pt idx="53">
                  <c:v>2574.9720000000002</c:v>
                </c:pt>
                <c:pt idx="54">
                  <c:v>2565.373</c:v>
                </c:pt>
                <c:pt idx="55">
                  <c:v>2587.239</c:v>
                </c:pt>
                <c:pt idx="56">
                  <c:v>2663.9490000000001</c:v>
                </c:pt>
                <c:pt idx="57">
                  <c:v>2679.7469999999998</c:v>
                </c:pt>
                <c:pt idx="58">
                  <c:v>2690.5549999999998</c:v>
                </c:pt>
                <c:pt idx="59">
                  <c:v>2769.018</c:v>
                </c:pt>
                <c:pt idx="60">
                  <c:v>2984.538</c:v>
                </c:pt>
                <c:pt idx="61">
                  <c:v>3244.7460000000001</c:v>
                </c:pt>
                <c:pt idx="62">
                  <c:v>3070.3290000000002</c:v>
                </c:pt>
                <c:pt idx="63">
                  <c:v>3245.665</c:v>
                </c:pt>
                <c:pt idx="64">
                  <c:v>3262.8380000000002</c:v>
                </c:pt>
                <c:pt idx="65">
                  <c:v>3295.8310000000001</c:v>
                </c:pt>
                <c:pt idx="66">
                  <c:v>3303.6979999999999</c:v>
                </c:pt>
                <c:pt idx="67">
                  <c:v>3315.2979999999998</c:v>
                </c:pt>
                <c:pt idx="68">
                  <c:v>3391.529</c:v>
                </c:pt>
                <c:pt idx="69">
                  <c:v>3445.4009999999998</c:v>
                </c:pt>
                <c:pt idx="70">
                  <c:v>3446.663</c:v>
                </c:pt>
                <c:pt idx="71">
                  <c:v>3509.95</c:v>
                </c:pt>
                <c:pt idx="72">
                  <c:v>3445.5309999999999</c:v>
                </c:pt>
                <c:pt idx="73">
                  <c:v>3447.085</c:v>
                </c:pt>
                <c:pt idx="74">
                  <c:v>3468.7310000000002</c:v>
                </c:pt>
                <c:pt idx="75">
                  <c:v>3481.3429999999998</c:v>
                </c:pt>
                <c:pt idx="76">
                  <c:v>3482.1840000000002</c:v>
                </c:pt>
                <c:pt idx="77">
                  <c:v>3467.7489999999998</c:v>
                </c:pt>
                <c:pt idx="78">
                  <c:v>3512.1790000000001</c:v>
                </c:pt>
                <c:pt idx="79">
                  <c:v>3552.8780000000002</c:v>
                </c:pt>
                <c:pt idx="80">
                  <c:v>3514.2249999999999</c:v>
                </c:pt>
                <c:pt idx="81">
                  <c:v>3552.7220000000002</c:v>
                </c:pt>
                <c:pt idx="82">
                  <c:v>3632.415</c:v>
                </c:pt>
                <c:pt idx="83">
                  <c:v>3633.0160000000001</c:v>
                </c:pt>
                <c:pt idx="84">
                  <c:v>3652.348</c:v>
                </c:pt>
                <c:pt idx="85">
                  <c:v>3679.518</c:v>
                </c:pt>
                <c:pt idx="86">
                  <c:v>3708.5940000000001</c:v>
                </c:pt>
                <c:pt idx="87">
                  <c:v>3776.86</c:v>
                </c:pt>
                <c:pt idx="88">
                  <c:v>3791.2179999999998</c:v>
                </c:pt>
                <c:pt idx="89">
                  <c:v>3534.511</c:v>
                </c:pt>
                <c:pt idx="90">
                  <c:v>3797.5749999999998</c:v>
                </c:pt>
                <c:pt idx="91">
                  <c:v>3943.357</c:v>
                </c:pt>
                <c:pt idx="92">
                  <c:v>4135.3419999999996</c:v>
                </c:pt>
                <c:pt idx="93">
                  <c:v>4368.8339999999998</c:v>
                </c:pt>
                <c:pt idx="94">
                  <c:v>4523.1400000000003</c:v>
                </c:pt>
                <c:pt idx="95">
                  <c:v>4689.0410000000002</c:v>
                </c:pt>
                <c:pt idx="96">
                  <c:v>5075.1120000000001</c:v>
                </c:pt>
                <c:pt idx="97">
                  <c:v>5134.7879999999996</c:v>
                </c:pt>
                <c:pt idx="98">
                  <c:v>5149.4179999999997</c:v>
                </c:pt>
                <c:pt idx="99">
                  <c:v>5102.7640000000001</c:v>
                </c:pt>
                <c:pt idx="100">
                  <c:v>4751.9949999999999</c:v>
                </c:pt>
                <c:pt idx="101">
                  <c:v>4769.4170000000004</c:v>
                </c:pt>
                <c:pt idx="102">
                  <c:v>4835.5469999999996</c:v>
                </c:pt>
                <c:pt idx="103">
                  <c:v>4926.5460000000003</c:v>
                </c:pt>
                <c:pt idx="104">
                  <c:v>5045.84</c:v>
                </c:pt>
                <c:pt idx="105">
                  <c:v>5146.4979999999996</c:v>
                </c:pt>
                <c:pt idx="106">
                  <c:v>5210.1149999999998</c:v>
                </c:pt>
                <c:pt idx="107">
                  <c:v>5313.1930000000002</c:v>
                </c:pt>
                <c:pt idx="108">
                  <c:v>5392.7169999999996</c:v>
                </c:pt>
                <c:pt idx="109">
                  <c:v>5603.74</c:v>
                </c:pt>
                <c:pt idx="110">
                  <c:v>5793.5959999999995</c:v>
                </c:pt>
                <c:pt idx="111">
                  <c:v>5898.4790000000003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68-41CC-9C59-2A630CA34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288581"/>
        <c:axId val="15204060"/>
      </c:lineChart>
      <c:catAx>
        <c:axId val="11288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04060"/>
        <c:crosses val="autoZero"/>
        <c:auto val="1"/>
        <c:lblAlgn val="ctr"/>
        <c:lblOffset val="100"/>
        <c:noMultiLvlLbl val="0"/>
      </c:catAx>
      <c:valAx>
        <c:axId val="15204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88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federal expenditure (FGEXPND)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Data'!$D$3</c:f>
              <c:strCache>
                <c:ptCount val="1"/>
                <c:pt idx="0">
                  <c:v>FGEXPND expenditure ($bn, SAAR)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Data'!$D$4:$D$115</c:f>
              <c:numCache>
                <c:formatCode>#,##0</c:formatCode>
                <c:ptCount val="112"/>
                <c:pt idx="0" formatCode="General">
                  <c:v>0</c:v>
                </c:pt>
                <c:pt idx="1">
                  <c:v>1781.9110000000001</c:v>
                </c:pt>
                <c:pt idx="2">
                  <c:v>1788.538</c:v>
                </c:pt>
                <c:pt idx="3">
                  <c:v>1814.518</c:v>
                </c:pt>
                <c:pt idx="4">
                  <c:v>1811.9880000000001</c:v>
                </c:pt>
                <c:pt idx="5">
                  <c:v>1816.961</c:v>
                </c:pt>
                <c:pt idx="6">
                  <c:v>1843.2049999999999</c:v>
                </c:pt>
                <c:pt idx="7">
                  <c:v>1875.154</c:v>
                </c:pt>
                <c:pt idx="8">
                  <c:v>1866.308</c:v>
                </c:pt>
                <c:pt idx="9">
                  <c:v>1908.645</c:v>
                </c:pt>
                <c:pt idx="10">
                  <c:v>1918.617</c:v>
                </c:pt>
                <c:pt idx="11">
                  <c:v>1938.796</c:v>
                </c:pt>
                <c:pt idx="12">
                  <c:v>1982.626</c:v>
                </c:pt>
                <c:pt idx="13">
                  <c:v>2003.5809999999999</c:v>
                </c:pt>
                <c:pt idx="14">
                  <c:v>2037.703</c:v>
                </c:pt>
                <c:pt idx="15">
                  <c:v>2045.404</c:v>
                </c:pt>
                <c:pt idx="16">
                  <c:v>2091.4690000000001</c:v>
                </c:pt>
                <c:pt idx="17">
                  <c:v>2130.1860000000001</c:v>
                </c:pt>
                <c:pt idx="18">
                  <c:v>2148.4470000000001</c:v>
                </c:pt>
                <c:pt idx="19">
                  <c:v>2184.6970000000001</c:v>
                </c:pt>
                <c:pt idx="20">
                  <c:v>2220.2620000000002</c:v>
                </c:pt>
                <c:pt idx="21">
                  <c:v>2299.9189999999999</c:v>
                </c:pt>
                <c:pt idx="22">
                  <c:v>2309.6219999999998</c:v>
                </c:pt>
                <c:pt idx="23">
                  <c:v>2344.1799999999998</c:v>
                </c:pt>
                <c:pt idx="24">
                  <c:v>2381.04</c:v>
                </c:pt>
                <c:pt idx="25">
                  <c:v>2400.4</c:v>
                </c:pt>
                <c:pt idx="26">
                  <c:v>2428.7950000000001</c:v>
                </c:pt>
                <c:pt idx="27">
                  <c:v>2476.0500000000002</c:v>
                </c:pt>
                <c:pt idx="28">
                  <c:v>2548.0189999999998</c:v>
                </c:pt>
                <c:pt idx="29">
                  <c:v>2578.6860000000001</c:v>
                </c:pt>
                <c:pt idx="30">
                  <c:v>2617.33</c:v>
                </c:pt>
                <c:pt idx="31">
                  <c:v>2649.819</c:v>
                </c:pt>
                <c:pt idx="32">
                  <c:v>2728.1840000000002</c:v>
                </c:pt>
                <c:pt idx="33">
                  <c:v>2749.085</c:v>
                </c:pt>
                <c:pt idx="34">
                  <c:v>2775.712</c:v>
                </c:pt>
                <c:pt idx="35">
                  <c:v>2789.9059999999999</c:v>
                </c:pt>
                <c:pt idx="36">
                  <c:v>2869.326</c:v>
                </c:pt>
                <c:pt idx="37">
                  <c:v>2905.2020000000002</c:v>
                </c:pt>
                <c:pt idx="38">
                  <c:v>2945.721</c:v>
                </c:pt>
                <c:pt idx="39">
                  <c:v>2991.7649999999999</c:v>
                </c:pt>
                <c:pt idx="40">
                  <c:v>3043.5219999999999</c:v>
                </c:pt>
                <c:pt idx="41">
                  <c:v>3397.4520000000002</c:v>
                </c:pt>
                <c:pt idx="42">
                  <c:v>3194.11</c:v>
                </c:pt>
                <c:pt idx="43">
                  <c:v>3192.866</c:v>
                </c:pt>
                <c:pt idx="44">
                  <c:v>3322.7669999999998</c:v>
                </c:pt>
                <c:pt idx="45">
                  <c:v>3524.6709999999998</c:v>
                </c:pt>
                <c:pt idx="46">
                  <c:v>3532.9029999999998</c:v>
                </c:pt>
                <c:pt idx="47">
                  <c:v>3560.6190000000001</c:v>
                </c:pt>
                <c:pt idx="48">
                  <c:v>3710.5479999999998</c:v>
                </c:pt>
                <c:pt idx="49">
                  <c:v>3745.7109999999998</c:v>
                </c:pt>
                <c:pt idx="50">
                  <c:v>3792.4380000000001</c:v>
                </c:pt>
                <c:pt idx="51">
                  <c:v>3809.8040000000001</c:v>
                </c:pt>
                <c:pt idx="52">
                  <c:v>3811.2629999999999</c:v>
                </c:pt>
                <c:pt idx="53">
                  <c:v>3849.377</c:v>
                </c:pt>
                <c:pt idx="54">
                  <c:v>3783.8330000000001</c:v>
                </c:pt>
                <c:pt idx="55">
                  <c:v>3786.5279999999998</c:v>
                </c:pt>
                <c:pt idx="56">
                  <c:v>3774.3440000000001</c:v>
                </c:pt>
                <c:pt idx="57">
                  <c:v>3772.8670000000002</c:v>
                </c:pt>
                <c:pt idx="58">
                  <c:v>3777.299</c:v>
                </c:pt>
                <c:pt idx="59">
                  <c:v>3769.5030000000002</c:v>
                </c:pt>
                <c:pt idx="60">
                  <c:v>3758.7979999999998</c:v>
                </c:pt>
                <c:pt idx="61">
                  <c:v>3776.0349999999999</c:v>
                </c:pt>
                <c:pt idx="62">
                  <c:v>3773.7240000000002</c:v>
                </c:pt>
                <c:pt idx="63">
                  <c:v>3772.4630000000002</c:v>
                </c:pt>
                <c:pt idx="64">
                  <c:v>3819.402</c:v>
                </c:pt>
                <c:pt idx="65">
                  <c:v>3876.0720000000001</c:v>
                </c:pt>
                <c:pt idx="66">
                  <c:v>3931.623</c:v>
                </c:pt>
                <c:pt idx="67">
                  <c:v>3926.6509999999998</c:v>
                </c:pt>
                <c:pt idx="68">
                  <c:v>3970.21</c:v>
                </c:pt>
                <c:pt idx="69">
                  <c:v>3990.7779999999998</c:v>
                </c:pt>
                <c:pt idx="70">
                  <c:v>4011.91</c:v>
                </c:pt>
                <c:pt idx="71">
                  <c:v>4050.4029999999998</c:v>
                </c:pt>
                <c:pt idx="72">
                  <c:v>4084.2919999999999</c:v>
                </c:pt>
                <c:pt idx="73">
                  <c:v>4101.6469999999999</c:v>
                </c:pt>
                <c:pt idx="74">
                  <c:v>4150.5</c:v>
                </c:pt>
                <c:pt idx="75">
                  <c:v>4175.46</c:v>
                </c:pt>
                <c:pt idx="76">
                  <c:v>4192.2619999999997</c:v>
                </c:pt>
                <c:pt idx="77">
                  <c:v>4195.549</c:v>
                </c:pt>
                <c:pt idx="78">
                  <c:v>4253.9849999999997</c:v>
                </c:pt>
                <c:pt idx="79">
                  <c:v>4320.3829999999998</c:v>
                </c:pt>
                <c:pt idx="80">
                  <c:v>4398.5010000000002</c:v>
                </c:pt>
                <c:pt idx="81">
                  <c:v>4453.7830000000004</c:v>
                </c:pt>
                <c:pt idx="82">
                  <c:v>4512.2250000000004</c:v>
                </c:pt>
                <c:pt idx="83">
                  <c:v>4593.4070000000002</c:v>
                </c:pt>
                <c:pt idx="84">
                  <c:v>4687.9970000000003</c:v>
                </c:pt>
                <c:pt idx="85">
                  <c:v>4734.95</c:v>
                </c:pt>
                <c:pt idx="86">
                  <c:v>4773.268</c:v>
                </c:pt>
                <c:pt idx="87">
                  <c:v>4796.2740000000003</c:v>
                </c:pt>
                <c:pt idx="88">
                  <c:v>4866.6229999999996</c:v>
                </c:pt>
                <c:pt idx="89">
                  <c:v>8891.3729999999996</c:v>
                </c:pt>
                <c:pt idx="90">
                  <c:v>7174.1109999999999</c:v>
                </c:pt>
                <c:pt idx="91">
                  <c:v>5928.3429999999998</c:v>
                </c:pt>
                <c:pt idx="92">
                  <c:v>8346.2909999999993</c:v>
                </c:pt>
                <c:pt idx="93">
                  <c:v>7754.3249999999998</c:v>
                </c:pt>
                <c:pt idx="94">
                  <c:v>6795.61</c:v>
                </c:pt>
                <c:pt idx="95">
                  <c:v>6240.0060000000003</c:v>
                </c:pt>
                <c:pt idx="96">
                  <c:v>6002.8149999999996</c:v>
                </c:pt>
                <c:pt idx="97">
                  <c:v>6079.6750000000002</c:v>
                </c:pt>
                <c:pt idx="98">
                  <c:v>6178.7370000000001</c:v>
                </c:pt>
                <c:pt idx="99">
                  <c:v>6318.34</c:v>
                </c:pt>
                <c:pt idx="100">
                  <c:v>6433.6</c:v>
                </c:pt>
                <c:pt idx="101">
                  <c:v>6491.6970000000001</c:v>
                </c:pt>
                <c:pt idx="102">
                  <c:v>6558.6350000000002</c:v>
                </c:pt>
                <c:pt idx="103">
                  <c:v>6668.1279999999997</c:v>
                </c:pt>
                <c:pt idx="104">
                  <c:v>6846.1229999999996</c:v>
                </c:pt>
                <c:pt idx="105">
                  <c:v>6954.0209999999997</c:v>
                </c:pt>
                <c:pt idx="106">
                  <c:v>7165.6629999999996</c:v>
                </c:pt>
                <c:pt idx="107">
                  <c:v>7247.6620000000003</c:v>
                </c:pt>
                <c:pt idx="108">
                  <c:v>7313.5969999999998</c:v>
                </c:pt>
                <c:pt idx="109">
                  <c:v>7496.3389999999999</c:v>
                </c:pt>
                <c:pt idx="110">
                  <c:v>7580.2290000000003</c:v>
                </c:pt>
                <c:pt idx="111">
                  <c:v>7583.6629999999996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14-4A25-91C3-735A1DFDA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168350"/>
        <c:axId val="79771848"/>
      </c:lineChart>
      <c:catAx>
        <c:axId val="24168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71848"/>
        <c:crosses val="autoZero"/>
        <c:auto val="1"/>
        <c:lblAlgn val="ctr"/>
        <c:lblOffset val="100"/>
        <c:noMultiLvlLbl val="0"/>
      </c:catAx>
      <c:valAx>
        <c:axId val="79771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168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federal net interest (A091)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Data'!$E$3</c:f>
              <c:strCache>
                <c:ptCount val="1"/>
                <c:pt idx="0">
                  <c:v>A091 net interest ($bn, SAAR)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Data'!$E$4:$E$115</c:f>
              <c:numCache>
                <c:formatCode>#,##0</c:formatCode>
                <c:ptCount val="112"/>
                <c:pt idx="0" formatCode="General">
                  <c:v>0</c:v>
                </c:pt>
                <c:pt idx="1">
                  <c:v>367.64800000000002</c:v>
                </c:pt>
                <c:pt idx="2">
                  <c:v>366.20400000000001</c:v>
                </c:pt>
                <c:pt idx="3">
                  <c:v>360.08800000000002</c:v>
                </c:pt>
                <c:pt idx="4">
                  <c:v>352.596</c:v>
                </c:pt>
                <c:pt idx="5">
                  <c:v>352.14100000000002</c:v>
                </c:pt>
                <c:pt idx="6">
                  <c:v>351.07299999999998</c:v>
                </c:pt>
                <c:pt idx="7">
                  <c:v>352.92500000000001</c:v>
                </c:pt>
                <c:pt idx="8">
                  <c:v>354.822</c:v>
                </c:pt>
                <c:pt idx="9">
                  <c:v>354.10899999999998</c:v>
                </c:pt>
                <c:pt idx="10">
                  <c:v>352.87700000000001</c:v>
                </c:pt>
                <c:pt idx="11">
                  <c:v>353.10500000000002</c:v>
                </c:pt>
                <c:pt idx="12">
                  <c:v>345.47899999999998</c:v>
                </c:pt>
                <c:pt idx="13">
                  <c:v>334.77600000000001</c:v>
                </c:pt>
                <c:pt idx="14">
                  <c:v>326.82600000000002</c:v>
                </c:pt>
                <c:pt idx="15">
                  <c:v>317.82100000000003</c:v>
                </c:pt>
                <c:pt idx="16">
                  <c:v>304.93099999999998</c:v>
                </c:pt>
                <c:pt idx="17">
                  <c:v>301.95800000000003</c:v>
                </c:pt>
                <c:pt idx="18">
                  <c:v>300.19</c:v>
                </c:pt>
                <c:pt idx="19">
                  <c:v>298.00599999999997</c:v>
                </c:pt>
                <c:pt idx="20">
                  <c:v>290.79399999999998</c:v>
                </c:pt>
                <c:pt idx="21">
                  <c:v>290.322</c:v>
                </c:pt>
                <c:pt idx="22">
                  <c:v>291.65899999999999</c:v>
                </c:pt>
                <c:pt idx="23">
                  <c:v>294.108</c:v>
                </c:pt>
                <c:pt idx="24">
                  <c:v>297.88200000000001</c:v>
                </c:pt>
                <c:pt idx="25">
                  <c:v>299.661</c:v>
                </c:pt>
                <c:pt idx="26">
                  <c:v>308.15899999999999</c:v>
                </c:pt>
                <c:pt idx="27">
                  <c:v>318.38600000000002</c:v>
                </c:pt>
                <c:pt idx="28">
                  <c:v>329.40699999999998</c:v>
                </c:pt>
                <c:pt idx="29">
                  <c:v>343.58199999999999</c:v>
                </c:pt>
                <c:pt idx="30">
                  <c:v>349.22800000000001</c:v>
                </c:pt>
                <c:pt idx="31">
                  <c:v>355.28199999999998</c:v>
                </c:pt>
                <c:pt idx="32">
                  <c:v>358.209</c:v>
                </c:pt>
                <c:pt idx="33">
                  <c:v>367.41500000000002</c:v>
                </c:pt>
                <c:pt idx="34">
                  <c:v>376.29899999999998</c:v>
                </c:pt>
                <c:pt idx="35">
                  <c:v>386.92500000000001</c:v>
                </c:pt>
                <c:pt idx="36">
                  <c:v>396.00900000000001</c:v>
                </c:pt>
                <c:pt idx="37">
                  <c:v>407.91399999999999</c:v>
                </c:pt>
                <c:pt idx="38">
                  <c:v>414.16399999999999</c:v>
                </c:pt>
                <c:pt idx="39">
                  <c:v>413.82499999999999</c:v>
                </c:pt>
                <c:pt idx="40">
                  <c:v>403.47300000000001</c:v>
                </c:pt>
                <c:pt idx="41">
                  <c:v>388.351</c:v>
                </c:pt>
                <c:pt idx="42">
                  <c:v>382.15199999999999</c:v>
                </c:pt>
                <c:pt idx="43">
                  <c:v>379.61399999999998</c:v>
                </c:pt>
                <c:pt idx="44">
                  <c:v>361.86900000000003</c:v>
                </c:pt>
                <c:pt idx="45">
                  <c:v>352.13400000000001</c:v>
                </c:pt>
                <c:pt idx="46">
                  <c:v>350.31700000000001</c:v>
                </c:pt>
                <c:pt idx="47">
                  <c:v>353.81099999999998</c:v>
                </c:pt>
                <c:pt idx="48">
                  <c:v>360.25799999999998</c:v>
                </c:pt>
                <c:pt idx="49">
                  <c:v>376.93</c:v>
                </c:pt>
                <c:pt idx="50">
                  <c:v>389.24700000000001</c:v>
                </c:pt>
                <c:pt idx="51">
                  <c:v>399.51400000000001</c:v>
                </c:pt>
                <c:pt idx="52">
                  <c:v>410.80500000000001</c:v>
                </c:pt>
                <c:pt idx="53">
                  <c:v>424.98700000000002</c:v>
                </c:pt>
                <c:pt idx="54">
                  <c:v>432.625</c:v>
                </c:pt>
                <c:pt idx="55">
                  <c:v>433.35</c:v>
                </c:pt>
                <c:pt idx="56">
                  <c:v>428.34300000000002</c:v>
                </c:pt>
                <c:pt idx="57">
                  <c:v>424.34500000000003</c:v>
                </c:pt>
                <c:pt idx="58">
                  <c:v>420.97399999999999</c:v>
                </c:pt>
                <c:pt idx="59">
                  <c:v>416.834</c:v>
                </c:pt>
                <c:pt idx="60">
                  <c:v>411.05200000000002</c:v>
                </c:pt>
                <c:pt idx="61">
                  <c:v>412.50799999999998</c:v>
                </c:pt>
                <c:pt idx="62">
                  <c:v>416.74200000000002</c:v>
                </c:pt>
                <c:pt idx="63">
                  <c:v>425.00099999999998</c:v>
                </c:pt>
                <c:pt idx="64">
                  <c:v>431.952</c:v>
                </c:pt>
                <c:pt idx="65">
                  <c:v>440.02699999999999</c:v>
                </c:pt>
                <c:pt idx="66">
                  <c:v>442.10700000000003</c:v>
                </c:pt>
                <c:pt idx="67">
                  <c:v>442.28300000000002</c:v>
                </c:pt>
                <c:pt idx="68">
                  <c:v>428.68900000000002</c:v>
                </c:pt>
                <c:pt idx="69">
                  <c:v>425.87700000000001</c:v>
                </c:pt>
                <c:pt idx="70">
                  <c:v>427.88099999999997</c:v>
                </c:pt>
                <c:pt idx="71">
                  <c:v>434.68200000000002</c:v>
                </c:pt>
                <c:pt idx="72">
                  <c:v>446.22500000000002</c:v>
                </c:pt>
                <c:pt idx="73">
                  <c:v>453.291</c:v>
                </c:pt>
                <c:pt idx="74">
                  <c:v>457.51400000000001</c:v>
                </c:pt>
                <c:pt idx="75">
                  <c:v>460.18400000000003</c:v>
                </c:pt>
                <c:pt idx="76">
                  <c:v>460.66899999999998</c:v>
                </c:pt>
                <c:pt idx="77">
                  <c:v>471.214</c:v>
                </c:pt>
                <c:pt idx="78">
                  <c:v>481.45699999999999</c:v>
                </c:pt>
                <c:pt idx="79">
                  <c:v>493.44099999999997</c:v>
                </c:pt>
                <c:pt idx="80">
                  <c:v>507.61900000000003</c:v>
                </c:pt>
                <c:pt idx="81">
                  <c:v>531.77800000000002</c:v>
                </c:pt>
                <c:pt idx="82">
                  <c:v>551.89099999999996</c:v>
                </c:pt>
                <c:pt idx="83">
                  <c:v>571.22900000000004</c:v>
                </c:pt>
                <c:pt idx="84">
                  <c:v>579.71400000000006</c:v>
                </c:pt>
                <c:pt idx="85">
                  <c:v>586.40899999999999</c:v>
                </c:pt>
                <c:pt idx="86">
                  <c:v>578.25599999999997</c:v>
                </c:pt>
                <c:pt idx="87">
                  <c:v>564.24099999999999</c:v>
                </c:pt>
                <c:pt idx="88">
                  <c:v>544.12199999999996</c:v>
                </c:pt>
                <c:pt idx="89">
                  <c:v>514.73699999999997</c:v>
                </c:pt>
                <c:pt idx="90">
                  <c:v>508.01100000000002</c:v>
                </c:pt>
                <c:pt idx="91">
                  <c:v>516.71100000000001</c:v>
                </c:pt>
                <c:pt idx="92">
                  <c:v>533.51800000000003</c:v>
                </c:pt>
                <c:pt idx="93">
                  <c:v>560.63400000000001</c:v>
                </c:pt>
                <c:pt idx="94">
                  <c:v>587.91999999999996</c:v>
                </c:pt>
                <c:pt idx="95">
                  <c:v>612.28200000000004</c:v>
                </c:pt>
                <c:pt idx="96">
                  <c:v>636.96799999999996</c:v>
                </c:pt>
                <c:pt idx="97">
                  <c:v>684.75800000000004</c:v>
                </c:pt>
                <c:pt idx="98">
                  <c:v>752.08100000000002</c:v>
                </c:pt>
                <c:pt idx="99">
                  <c:v>823.10599999999999</c:v>
                </c:pt>
                <c:pt idx="100">
                  <c:v>861.26700000000005</c:v>
                </c:pt>
                <c:pt idx="101">
                  <c:v>894.10599999999999</c:v>
                </c:pt>
                <c:pt idx="102">
                  <c:v>966.899</c:v>
                </c:pt>
                <c:pt idx="103">
                  <c:v>1031.4780000000001</c:v>
                </c:pt>
                <c:pt idx="104">
                  <c:v>1071.174</c:v>
                </c:pt>
                <c:pt idx="105">
                  <c:v>1103.5650000000001</c:v>
                </c:pt>
                <c:pt idx="106">
                  <c:v>1146.182</c:v>
                </c:pt>
                <c:pt idx="107">
                  <c:v>1155.616</c:v>
                </c:pt>
                <c:pt idx="108">
                  <c:v>1144.212</c:v>
                </c:pt>
                <c:pt idx="109">
                  <c:v>1160.9000000000001</c:v>
                </c:pt>
                <c:pt idx="110">
                  <c:v>1199.1890000000001</c:v>
                </c:pt>
                <c:pt idx="111">
                  <c:v>1227.4949999999999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38-417D-B51A-C1A8A333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955696"/>
        <c:axId val="97272274"/>
      </c:lineChart>
      <c:catAx>
        <c:axId val="9595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72274"/>
        <c:crosses val="autoZero"/>
        <c:auto val="1"/>
        <c:lblAlgn val="ctr"/>
        <c:lblOffset val="100"/>
        <c:noMultiLvlLbl val="0"/>
      </c:catAx>
      <c:valAx>
        <c:axId val="97272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955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gross federal debt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Data'!$F$3</c:f>
              <c:strCache>
                <c:ptCount val="1"/>
                <c:pt idx="0">
                  <c:v>GFDEGDQ188S gross debt (% of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Data'!$F$4:$F$115</c:f>
              <c:numCache>
                <c:formatCode>0.0000</c:formatCode>
                <c:ptCount val="112"/>
                <c:pt idx="0" formatCode="General">
                  <c:v>0</c:v>
                </c:pt>
                <c:pt idx="1">
                  <c:v>61.851959999999998</c:v>
                </c:pt>
                <c:pt idx="2">
                  <c:v>60.586930000000002</c:v>
                </c:pt>
                <c:pt idx="3">
                  <c:v>60.406959999999998</c:v>
                </c:pt>
                <c:pt idx="4">
                  <c:v>60.048940000000002</c:v>
                </c:pt>
                <c:pt idx="5">
                  <c:v>59.192270000000001</c:v>
                </c:pt>
                <c:pt idx="6">
                  <c:v>58.392580000000002</c:v>
                </c:pt>
                <c:pt idx="7">
                  <c:v>58.343359999999997</c:v>
                </c:pt>
                <c:pt idx="8">
                  <c:v>57.721339999999998</c:v>
                </c:pt>
                <c:pt idx="9">
                  <c:v>55.484909999999999</c:v>
                </c:pt>
                <c:pt idx="10">
                  <c:v>54.992130000000003</c:v>
                </c:pt>
                <c:pt idx="11">
                  <c:v>54.257899999999999</c:v>
                </c:pt>
                <c:pt idx="12">
                  <c:v>55.14434</c:v>
                </c:pt>
                <c:pt idx="13">
                  <c:v>54.031649999999999</c:v>
                </c:pt>
                <c:pt idx="14">
                  <c:v>54.797629999999998</c:v>
                </c:pt>
                <c:pt idx="15">
                  <c:v>55.752160000000003</c:v>
                </c:pt>
                <c:pt idx="16">
                  <c:v>55.6965</c:v>
                </c:pt>
                <c:pt idx="17">
                  <c:v>56.270870000000002</c:v>
                </c:pt>
                <c:pt idx="18">
                  <c:v>56.702599999999997</c:v>
                </c:pt>
                <c:pt idx="19">
                  <c:v>57.91028</c:v>
                </c:pt>
                <c:pt idx="20">
                  <c:v>57.81906</c:v>
                </c:pt>
                <c:pt idx="21">
                  <c:v>58.961010000000002</c:v>
                </c:pt>
                <c:pt idx="22">
                  <c:v>58.645409999999998</c:v>
                </c:pt>
                <c:pt idx="23">
                  <c:v>59.444659999999999</c:v>
                </c:pt>
                <c:pt idx="24">
                  <c:v>59.807099999999998</c:v>
                </c:pt>
                <c:pt idx="25">
                  <c:v>60.054870000000001</c:v>
                </c:pt>
                <c:pt idx="26">
                  <c:v>59.966430000000003</c:v>
                </c:pt>
                <c:pt idx="27">
                  <c:v>60.637129999999999</c:v>
                </c:pt>
                <c:pt idx="28">
                  <c:v>60.913020000000003</c:v>
                </c:pt>
                <c:pt idx="29">
                  <c:v>60.641530000000003</c:v>
                </c:pt>
                <c:pt idx="30">
                  <c:v>60.358559999999997</c:v>
                </c:pt>
                <c:pt idx="31">
                  <c:v>61.320079999999997</c:v>
                </c:pt>
                <c:pt idx="32">
                  <c:v>61.556420000000003</c:v>
                </c:pt>
                <c:pt idx="33">
                  <c:v>61.221420000000002</c:v>
                </c:pt>
                <c:pt idx="34">
                  <c:v>61.332799999999999</c:v>
                </c:pt>
                <c:pt idx="35">
                  <c:v>61.826889999999999</c:v>
                </c:pt>
                <c:pt idx="36">
                  <c:v>62.252969999999998</c:v>
                </c:pt>
                <c:pt idx="37">
                  <c:v>61.572189999999999</c:v>
                </c:pt>
                <c:pt idx="38">
                  <c:v>61.848260000000003</c:v>
                </c:pt>
                <c:pt idx="39">
                  <c:v>62.719239999999999</c:v>
                </c:pt>
                <c:pt idx="40">
                  <c:v>64.172780000000003</c:v>
                </c:pt>
                <c:pt idx="41">
                  <c:v>63.85172</c:v>
                </c:pt>
                <c:pt idx="42">
                  <c:v>67.284549999999996</c:v>
                </c:pt>
                <c:pt idx="43">
                  <c:v>73.245149999999995</c:v>
                </c:pt>
                <c:pt idx="44">
                  <c:v>77.104960000000005</c:v>
                </c:pt>
                <c:pt idx="45">
                  <c:v>80.28013</c:v>
                </c:pt>
                <c:pt idx="46">
                  <c:v>82.427329999999998</c:v>
                </c:pt>
                <c:pt idx="47">
                  <c:v>84.029349999999994</c:v>
                </c:pt>
                <c:pt idx="48">
                  <c:v>86.511750000000006</c:v>
                </c:pt>
                <c:pt idx="49">
                  <c:v>88.128320000000002</c:v>
                </c:pt>
                <c:pt idx="50">
                  <c:v>89.565280000000001</c:v>
                </c:pt>
                <c:pt idx="51">
                  <c:v>91.611339999999998</c:v>
                </c:pt>
                <c:pt idx="52">
                  <c:v>92.956140000000005</c:v>
                </c:pt>
                <c:pt idx="53">
                  <c:v>92.193799999999996</c:v>
                </c:pt>
                <c:pt idx="54">
                  <c:v>94.520979999999994</c:v>
                </c:pt>
                <c:pt idx="55">
                  <c:v>96.090720000000005</c:v>
                </c:pt>
                <c:pt idx="56">
                  <c:v>97.123080000000002</c:v>
                </c:pt>
                <c:pt idx="57">
                  <c:v>97.827629999999999</c:v>
                </c:pt>
                <c:pt idx="58">
                  <c:v>98.447869999999995</c:v>
                </c:pt>
                <c:pt idx="59">
                  <c:v>100.07496999999999</c:v>
                </c:pt>
                <c:pt idx="60">
                  <c:v>100.73997</c:v>
                </c:pt>
                <c:pt idx="61">
                  <c:v>100.05758</c:v>
                </c:pt>
                <c:pt idx="62">
                  <c:v>98.727969999999999</c:v>
                </c:pt>
                <c:pt idx="63">
                  <c:v>99.791179999999997</c:v>
                </c:pt>
                <c:pt idx="64">
                  <c:v>102.34617</c:v>
                </c:pt>
                <c:pt idx="65">
                  <c:v>100.65130000000001</c:v>
                </c:pt>
                <c:pt idx="66">
                  <c:v>100.11145</c:v>
                </c:pt>
                <c:pt idx="67">
                  <c:v>101.2805</c:v>
                </c:pt>
                <c:pt idx="68">
                  <c:v>100.49009</c:v>
                </c:pt>
                <c:pt idx="69">
                  <c:v>99.300939999999997</c:v>
                </c:pt>
                <c:pt idx="70">
                  <c:v>98.635949999999994</c:v>
                </c:pt>
                <c:pt idx="71">
                  <c:v>102.64192</c:v>
                </c:pt>
                <c:pt idx="72">
                  <c:v>103.98904</c:v>
                </c:pt>
                <c:pt idx="73">
                  <c:v>103.58005</c:v>
                </c:pt>
                <c:pt idx="74">
                  <c:v>103.60355</c:v>
                </c:pt>
                <c:pt idx="75">
                  <c:v>104.64891</c:v>
                </c:pt>
                <c:pt idx="76">
                  <c:v>102.93741</c:v>
                </c:pt>
                <c:pt idx="77">
                  <c:v>102.08817000000001</c:v>
                </c:pt>
                <c:pt idx="78">
                  <c:v>102.80463</c:v>
                </c:pt>
                <c:pt idx="79">
                  <c:v>102.27408</c:v>
                </c:pt>
                <c:pt idx="80">
                  <c:v>103.74395</c:v>
                </c:pt>
                <c:pt idx="81">
                  <c:v>102.98411</c:v>
                </c:pt>
                <c:pt idx="82">
                  <c:v>103.44889999999999</c:v>
                </c:pt>
                <c:pt idx="83">
                  <c:v>105.04940999999999</c:v>
                </c:pt>
                <c:pt idx="84">
                  <c:v>104.34017</c:v>
                </c:pt>
                <c:pt idx="85">
                  <c:v>102.92245</c:v>
                </c:pt>
                <c:pt idx="86">
                  <c:v>104.61492</c:v>
                </c:pt>
                <c:pt idx="87">
                  <c:v>105.78193</c:v>
                </c:pt>
                <c:pt idx="88">
                  <c:v>106.77007</c:v>
                </c:pt>
                <c:pt idx="89">
                  <c:v>132.66287</c:v>
                </c:pt>
                <c:pt idx="90">
                  <c:v>124.14691999999999</c:v>
                </c:pt>
                <c:pt idx="91">
                  <c:v>125.62864</c:v>
                </c:pt>
                <c:pt idx="92">
                  <c:v>124.03752</c:v>
                </c:pt>
                <c:pt idx="93">
                  <c:v>121.78582</c:v>
                </c:pt>
                <c:pt idx="94">
                  <c:v>118.54086</c:v>
                </c:pt>
                <c:pt idx="95">
                  <c:v>119.3588</c:v>
                </c:pt>
                <c:pt idx="96">
                  <c:v>120.39819</c:v>
                </c:pt>
                <c:pt idx="97">
                  <c:v>118.20207000000001</c:v>
                </c:pt>
                <c:pt idx="98">
                  <c:v>117.43832</c:v>
                </c:pt>
                <c:pt idx="99">
                  <c:v>117.36678000000001</c:v>
                </c:pt>
                <c:pt idx="100">
                  <c:v>115.58614</c:v>
                </c:pt>
                <c:pt idx="101">
                  <c:v>117.44355</c:v>
                </c:pt>
                <c:pt idx="102">
                  <c:v>118.13897</c:v>
                </c:pt>
                <c:pt idx="103">
                  <c:v>119.61944</c:v>
                </c:pt>
                <c:pt idx="104">
                  <c:v>120.47631</c:v>
                </c:pt>
                <c:pt idx="105">
                  <c:v>119.50314</c:v>
                </c:pt>
                <c:pt idx="106">
                  <c:v>120.17171999999999</c:v>
                </c:pt>
                <c:pt idx="107">
                  <c:v>121.43633</c:v>
                </c:pt>
                <c:pt idx="108">
                  <c:v>120.54515000000001</c:v>
                </c:pt>
                <c:pt idx="109">
                  <c:v>118.78171</c:v>
                </c:pt>
                <c:pt idx="110">
                  <c:v>121.02875</c:v>
                </c:pt>
                <c:pt idx="111">
                  <c:v>122.56815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E5-457B-8DF3-18F93A36A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876462"/>
        <c:axId val="1914930"/>
      </c:lineChart>
      <c:catAx>
        <c:axId val="62876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4930"/>
        <c:crosses val="autoZero"/>
        <c:auto val="1"/>
        <c:lblAlgn val="ctr"/>
        <c:lblOffset val="100"/>
        <c:noMultiLvlLbl val="0"/>
      </c:catAx>
      <c:valAx>
        <c:axId val="1914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76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GDP ($bn, SAAR)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Data_nsa'!$B$3</c:f>
              <c:strCache>
                <c:ptCount val="1"/>
                <c:pt idx="0">
                  <c:v>Gross Domestic Product (NA000334Q),Millions of Dollars,
Not Seasonally Adjusted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Data_nsa'!$A$5:$A$115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Data_nsa'!$B$4:$B$115</c:f>
              <c:numCache>
                <c:formatCode>General</c:formatCode>
                <c:ptCount val="112"/>
                <c:pt idx="0">
                  <c:v>0</c:v>
                </c:pt>
                <c:pt idx="1">
                  <c:v>2249908</c:v>
                </c:pt>
                <c:pt idx="2">
                  <c:v>2281422</c:v>
                </c:pt>
                <c:pt idx="3">
                  <c:v>2370677</c:v>
                </c:pt>
                <c:pt idx="4">
                  <c:v>2293136</c:v>
                </c:pt>
                <c:pt idx="5">
                  <c:v>2388422</c:v>
                </c:pt>
                <c:pt idx="6">
                  <c:v>2423648</c:v>
                </c:pt>
                <c:pt idx="7">
                  <c:v>2524828</c:v>
                </c:pt>
                <c:pt idx="8">
                  <c:v>2448892</c:v>
                </c:pt>
                <c:pt idx="9">
                  <c:v>2569266</c:v>
                </c:pt>
                <c:pt idx="10">
                  <c:v>2577927</c:v>
                </c:pt>
                <c:pt idx="11">
                  <c:v>2655636</c:v>
                </c:pt>
                <c:pt idx="12">
                  <c:v>2562488</c:v>
                </c:pt>
                <c:pt idx="13">
                  <c:v>2656407</c:v>
                </c:pt>
                <c:pt idx="14">
                  <c:v>2651366</c:v>
                </c:pt>
                <c:pt idx="15">
                  <c:v>2711715</c:v>
                </c:pt>
                <c:pt idx="16">
                  <c:v>2631119</c:v>
                </c:pt>
                <c:pt idx="17">
                  <c:v>2721842</c:v>
                </c:pt>
                <c:pt idx="18">
                  <c:v>2751463</c:v>
                </c:pt>
                <c:pt idx="19">
                  <c:v>2824686</c:v>
                </c:pt>
                <c:pt idx="20">
                  <c:v>2743734</c:v>
                </c:pt>
                <c:pt idx="21">
                  <c:v>2831413</c:v>
                </c:pt>
                <c:pt idx="22">
                  <c:v>2886905</c:v>
                </c:pt>
                <c:pt idx="23">
                  <c:v>2994399</c:v>
                </c:pt>
                <c:pt idx="24">
                  <c:v>2924602</c:v>
                </c:pt>
                <c:pt idx="25">
                  <c:v>3032386</c:v>
                </c:pt>
                <c:pt idx="26">
                  <c:v>3069688</c:v>
                </c:pt>
                <c:pt idx="27">
                  <c:v>3190521</c:v>
                </c:pt>
                <c:pt idx="28">
                  <c:v>3111329</c:v>
                </c:pt>
                <c:pt idx="29">
                  <c:v>3232051</c:v>
                </c:pt>
                <c:pt idx="30">
                  <c:v>3306451</c:v>
                </c:pt>
                <c:pt idx="31">
                  <c:v>3389367</c:v>
                </c:pt>
                <c:pt idx="32">
                  <c:v>3333266</c:v>
                </c:pt>
                <c:pt idx="33">
                  <c:v>3460990</c:v>
                </c:pt>
                <c:pt idx="34">
                  <c:v>3463694</c:v>
                </c:pt>
                <c:pt idx="35">
                  <c:v>3557633</c:v>
                </c:pt>
                <c:pt idx="36">
                  <c:v>3482006</c:v>
                </c:pt>
                <c:pt idx="37">
                  <c:v>3613882</c:v>
                </c:pt>
                <c:pt idx="38">
                  <c:v>3637993</c:v>
                </c:pt>
                <c:pt idx="39">
                  <c:v>3740350</c:v>
                </c:pt>
                <c:pt idx="40">
                  <c:v>3657487</c:v>
                </c:pt>
                <c:pt idx="41">
                  <c:v>3715835</c:v>
                </c:pt>
                <c:pt idx="42">
                  <c:v>3698182</c:v>
                </c:pt>
                <c:pt idx="43">
                  <c:v>3698360</c:v>
                </c:pt>
                <c:pt idx="44">
                  <c:v>3522117</c:v>
                </c:pt>
                <c:pt idx="45">
                  <c:v>3598010</c:v>
                </c:pt>
                <c:pt idx="46">
                  <c:v>3623204</c:v>
                </c:pt>
                <c:pt idx="47">
                  <c:v>3734738</c:v>
                </c:pt>
                <c:pt idx="48">
                  <c:v>3602418</c:v>
                </c:pt>
                <c:pt idx="49">
                  <c:v>3755370</c:v>
                </c:pt>
                <c:pt idx="50">
                  <c:v>3793867</c:v>
                </c:pt>
                <c:pt idx="51">
                  <c:v>3897315</c:v>
                </c:pt>
                <c:pt idx="52">
                  <c:v>3764835</c:v>
                </c:pt>
                <c:pt idx="53">
                  <c:v>3893028</c:v>
                </c:pt>
                <c:pt idx="54">
                  <c:v>3927583</c:v>
                </c:pt>
                <c:pt idx="55">
                  <c:v>4014288</c:v>
                </c:pt>
                <c:pt idx="56">
                  <c:v>3960259</c:v>
                </c:pt>
                <c:pt idx="57">
                  <c:v>4047165</c:v>
                </c:pt>
                <c:pt idx="58">
                  <c:v>4086346</c:v>
                </c:pt>
                <c:pt idx="59">
                  <c:v>4160201</c:v>
                </c:pt>
                <c:pt idx="60">
                  <c:v>4074333</c:v>
                </c:pt>
                <c:pt idx="61">
                  <c:v>4184244</c:v>
                </c:pt>
                <c:pt idx="62">
                  <c:v>4259404</c:v>
                </c:pt>
                <c:pt idx="63">
                  <c:v>4362704</c:v>
                </c:pt>
                <c:pt idx="64">
                  <c:v>4220258</c:v>
                </c:pt>
                <c:pt idx="65">
                  <c:v>4376828</c:v>
                </c:pt>
                <c:pt idx="66">
                  <c:v>4465484</c:v>
                </c:pt>
                <c:pt idx="67">
                  <c:v>4545567</c:v>
                </c:pt>
                <c:pt idx="68">
                  <c:v>4411435</c:v>
                </c:pt>
                <c:pt idx="69">
                  <c:v>4580499</c:v>
                </c:pt>
                <c:pt idx="70">
                  <c:v>4625898</c:v>
                </c:pt>
                <c:pt idx="71">
                  <c:v>4677188</c:v>
                </c:pt>
                <c:pt idx="72">
                  <c:v>4521822</c:v>
                </c:pt>
                <c:pt idx="73">
                  <c:v>4690281</c:v>
                </c:pt>
                <c:pt idx="74">
                  <c:v>4746661</c:v>
                </c:pt>
                <c:pt idx="75">
                  <c:v>4840483</c:v>
                </c:pt>
                <c:pt idx="76">
                  <c:v>4674704</c:v>
                </c:pt>
                <c:pt idx="77">
                  <c:v>4889678</c:v>
                </c:pt>
                <c:pt idx="78">
                  <c:v>4958224</c:v>
                </c:pt>
                <c:pt idx="79">
                  <c:v>5089495</c:v>
                </c:pt>
                <c:pt idx="80">
                  <c:v>4962408</c:v>
                </c:pt>
                <c:pt idx="81">
                  <c:v>5161541</c:v>
                </c:pt>
                <c:pt idx="82">
                  <c:v>5221627</c:v>
                </c:pt>
                <c:pt idx="83">
                  <c:v>5310940</c:v>
                </c:pt>
                <c:pt idx="84">
                  <c:v>5141827</c:v>
                </c:pt>
                <c:pt idx="85">
                  <c:v>5376008</c:v>
                </c:pt>
                <c:pt idx="86">
                  <c:v>5448234</c:v>
                </c:pt>
                <c:pt idx="87">
                  <c:v>5573410</c:v>
                </c:pt>
                <c:pt idx="88">
                  <c:v>5312063</c:v>
                </c:pt>
                <c:pt idx="89">
                  <c:v>5022564</c:v>
                </c:pt>
                <c:pt idx="90">
                  <c:v>5422397</c:v>
                </c:pt>
                <c:pt idx="91">
                  <c:v>5621313</c:v>
                </c:pt>
                <c:pt idx="92">
                  <c:v>5529570</c:v>
                </c:pt>
                <c:pt idx="93">
                  <c:v>5882736</c:v>
                </c:pt>
                <c:pt idx="94">
                  <c:v>6009053</c:v>
                </c:pt>
                <c:pt idx="95">
                  <c:v>6304784</c:v>
                </c:pt>
                <c:pt idx="96">
                  <c:v>6157175</c:v>
                </c:pt>
                <c:pt idx="97">
                  <c:v>6487526</c:v>
                </c:pt>
                <c:pt idx="98">
                  <c:v>6624570</c:v>
                </c:pt>
                <c:pt idx="99">
                  <c:v>6793411</c:v>
                </c:pt>
                <c:pt idx="100">
                  <c:v>6663142</c:v>
                </c:pt>
                <c:pt idx="101">
                  <c:v>6914786</c:v>
                </c:pt>
                <c:pt idx="102">
                  <c:v>7046725</c:v>
                </c:pt>
                <c:pt idx="103">
                  <c:v>7187452</c:v>
                </c:pt>
                <c:pt idx="104">
                  <c:v>7029174</c:v>
                </c:pt>
                <c:pt idx="105">
                  <c:v>7311790</c:v>
                </c:pt>
                <c:pt idx="106">
                  <c:v>7396944</c:v>
                </c:pt>
                <c:pt idx="107">
                  <c:v>7554101</c:v>
                </c:pt>
                <c:pt idx="108">
                  <c:v>7354051</c:v>
                </c:pt>
                <c:pt idx="109">
                  <c:v>7640866</c:v>
                </c:pt>
                <c:pt idx="110">
                  <c:v>7796678</c:v>
                </c:pt>
                <c:pt idx="111">
                  <c:v>7971751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1A-44BF-BF92-FED44247E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124895"/>
        <c:axId val="69994634"/>
      </c:lineChart>
      <c:catAx>
        <c:axId val="2012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94634"/>
        <c:crosses val="autoZero"/>
        <c:auto val="1"/>
        <c:lblAlgn val="ctr"/>
        <c:lblOffset val="100"/>
        <c:noMultiLvlLbl val="0"/>
      </c:catAx>
      <c:valAx>
        <c:axId val="69994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248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federal receipts (FGRECPT)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Data_nsa'!$C$3</c:f>
              <c:strCache>
                <c:ptCount val="1"/>
                <c:pt idx="0">
                  <c:v>Federal Government Current Receipts (NA000304Q), Millions of Dollars,
Not Seasonally Adjusted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Data_nsa'!$A$5:$A$115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Data_nsa'!$C$4:$C$115</c:f>
              <c:numCache>
                <c:formatCode>General</c:formatCode>
                <c:ptCount val="112"/>
                <c:pt idx="0">
                  <c:v>0</c:v>
                </c:pt>
                <c:pt idx="1">
                  <c:v>455865</c:v>
                </c:pt>
                <c:pt idx="2">
                  <c:v>456297</c:v>
                </c:pt>
                <c:pt idx="3">
                  <c:v>450491</c:v>
                </c:pt>
                <c:pt idx="4">
                  <c:v>451584</c:v>
                </c:pt>
                <c:pt idx="5">
                  <c:v>486768</c:v>
                </c:pt>
                <c:pt idx="6">
                  <c:v>483561</c:v>
                </c:pt>
                <c:pt idx="7">
                  <c:v>484037</c:v>
                </c:pt>
                <c:pt idx="8">
                  <c:v>499364</c:v>
                </c:pt>
                <c:pt idx="9">
                  <c:v>531105</c:v>
                </c:pt>
                <c:pt idx="10">
                  <c:v>522953</c:v>
                </c:pt>
                <c:pt idx="11">
                  <c:v>514356</c:v>
                </c:pt>
                <c:pt idx="12">
                  <c:v>511352</c:v>
                </c:pt>
                <c:pt idx="13">
                  <c:v>537564</c:v>
                </c:pt>
                <c:pt idx="14">
                  <c:v>485197</c:v>
                </c:pt>
                <c:pt idx="15">
                  <c:v>498255</c:v>
                </c:pt>
                <c:pt idx="16">
                  <c:v>459404</c:v>
                </c:pt>
                <c:pt idx="17">
                  <c:v>477436</c:v>
                </c:pt>
                <c:pt idx="18">
                  <c:v>455193</c:v>
                </c:pt>
                <c:pt idx="19">
                  <c:v>478853</c:v>
                </c:pt>
                <c:pt idx="20">
                  <c:v>474351</c:v>
                </c:pt>
                <c:pt idx="21">
                  <c:v>485868</c:v>
                </c:pt>
                <c:pt idx="22">
                  <c:v>437064</c:v>
                </c:pt>
                <c:pt idx="23">
                  <c:v>498832</c:v>
                </c:pt>
                <c:pt idx="24">
                  <c:v>485658</c:v>
                </c:pt>
                <c:pt idx="25">
                  <c:v>510106</c:v>
                </c:pt>
                <c:pt idx="26">
                  <c:v>484663</c:v>
                </c:pt>
                <c:pt idx="27">
                  <c:v>547653</c:v>
                </c:pt>
                <c:pt idx="28">
                  <c:v>551292</c:v>
                </c:pt>
                <c:pt idx="29">
                  <c:v>578280</c:v>
                </c:pt>
                <c:pt idx="30">
                  <c:v>566092</c:v>
                </c:pt>
                <c:pt idx="31">
                  <c:v>609043</c:v>
                </c:pt>
                <c:pt idx="32">
                  <c:v>621873</c:v>
                </c:pt>
                <c:pt idx="33">
                  <c:v>634656</c:v>
                </c:pt>
                <c:pt idx="34">
                  <c:v>612681</c:v>
                </c:pt>
                <c:pt idx="35">
                  <c:v>669569</c:v>
                </c:pt>
                <c:pt idx="36">
                  <c:v>668631</c:v>
                </c:pt>
                <c:pt idx="37">
                  <c:v>677489</c:v>
                </c:pt>
                <c:pt idx="38">
                  <c:v>644609</c:v>
                </c:pt>
                <c:pt idx="39">
                  <c:v>677597</c:v>
                </c:pt>
                <c:pt idx="40">
                  <c:v>665670</c:v>
                </c:pt>
                <c:pt idx="41">
                  <c:v>662766</c:v>
                </c:pt>
                <c:pt idx="42">
                  <c:v>619425</c:v>
                </c:pt>
                <c:pt idx="43">
                  <c:v>634189</c:v>
                </c:pt>
                <c:pt idx="44">
                  <c:v>559143</c:v>
                </c:pt>
                <c:pt idx="45">
                  <c:v>563178</c:v>
                </c:pt>
                <c:pt idx="46">
                  <c:v>530057</c:v>
                </c:pt>
                <c:pt idx="47">
                  <c:v>589687</c:v>
                </c:pt>
                <c:pt idx="48">
                  <c:v>589161</c:v>
                </c:pt>
                <c:pt idx="49">
                  <c:v>613670</c:v>
                </c:pt>
                <c:pt idx="50">
                  <c:v>594259</c:v>
                </c:pt>
                <c:pt idx="51">
                  <c:v>649174</c:v>
                </c:pt>
                <c:pt idx="52">
                  <c:v>645502</c:v>
                </c:pt>
                <c:pt idx="53">
                  <c:v>643921</c:v>
                </c:pt>
                <c:pt idx="54">
                  <c:v>623918</c:v>
                </c:pt>
                <c:pt idx="55">
                  <c:v>660269</c:v>
                </c:pt>
                <c:pt idx="56">
                  <c:v>678688</c:v>
                </c:pt>
                <c:pt idx="57">
                  <c:v>679094</c:v>
                </c:pt>
                <c:pt idx="58">
                  <c:v>640065</c:v>
                </c:pt>
                <c:pt idx="59">
                  <c:v>702970</c:v>
                </c:pt>
                <c:pt idx="60">
                  <c:v>730858</c:v>
                </c:pt>
                <c:pt idx="61">
                  <c:v>816937</c:v>
                </c:pt>
                <c:pt idx="62">
                  <c:v>749592</c:v>
                </c:pt>
                <c:pt idx="63">
                  <c:v>838932</c:v>
                </c:pt>
                <c:pt idx="64">
                  <c:v>835408</c:v>
                </c:pt>
                <c:pt idx="65">
                  <c:v>834494</c:v>
                </c:pt>
                <c:pt idx="66">
                  <c:v>792943</c:v>
                </c:pt>
                <c:pt idx="67">
                  <c:v>831571</c:v>
                </c:pt>
                <c:pt idx="68">
                  <c:v>848046</c:v>
                </c:pt>
                <c:pt idx="69">
                  <c:v>862224</c:v>
                </c:pt>
                <c:pt idx="70">
                  <c:v>821724</c:v>
                </c:pt>
                <c:pt idx="71">
                  <c:v>916392</c:v>
                </c:pt>
                <c:pt idx="72">
                  <c:v>856066</c:v>
                </c:pt>
                <c:pt idx="73">
                  <c:v>874009</c:v>
                </c:pt>
                <c:pt idx="74">
                  <c:v>854324</c:v>
                </c:pt>
                <c:pt idx="75">
                  <c:v>876273</c:v>
                </c:pt>
                <c:pt idx="76">
                  <c:v>910302</c:v>
                </c:pt>
                <c:pt idx="77">
                  <c:v>878039</c:v>
                </c:pt>
                <c:pt idx="78">
                  <c:v>836545</c:v>
                </c:pt>
                <c:pt idx="79">
                  <c:v>878861</c:v>
                </c:pt>
                <c:pt idx="80">
                  <c:v>909578</c:v>
                </c:pt>
                <c:pt idx="81">
                  <c:v>894362</c:v>
                </c:pt>
                <c:pt idx="82">
                  <c:v>865428</c:v>
                </c:pt>
                <c:pt idx="83">
                  <c:v>913727</c:v>
                </c:pt>
                <c:pt idx="84">
                  <c:v>934482</c:v>
                </c:pt>
                <c:pt idx="85">
                  <c:v>933189</c:v>
                </c:pt>
                <c:pt idx="86">
                  <c:v>889161</c:v>
                </c:pt>
                <c:pt idx="87">
                  <c:v>947498</c:v>
                </c:pt>
                <c:pt idx="88">
                  <c:v>976829</c:v>
                </c:pt>
                <c:pt idx="89">
                  <c:v>885730</c:v>
                </c:pt>
                <c:pt idx="90">
                  <c:v>894640</c:v>
                </c:pt>
                <c:pt idx="91">
                  <c:v>1009465</c:v>
                </c:pt>
                <c:pt idx="92">
                  <c:v>1035292</c:v>
                </c:pt>
                <c:pt idx="93">
                  <c:v>1099472</c:v>
                </c:pt>
                <c:pt idx="94">
                  <c:v>1088572</c:v>
                </c:pt>
                <c:pt idx="95">
                  <c:v>1205752</c:v>
                </c:pt>
                <c:pt idx="96">
                  <c:v>1286816</c:v>
                </c:pt>
                <c:pt idx="97">
                  <c:v>1292935</c:v>
                </c:pt>
                <c:pt idx="98">
                  <c:v>1259811</c:v>
                </c:pt>
                <c:pt idx="99">
                  <c:v>1275959</c:v>
                </c:pt>
                <c:pt idx="100">
                  <c:v>1236738</c:v>
                </c:pt>
                <c:pt idx="101">
                  <c:v>1203200</c:v>
                </c:pt>
                <c:pt idx="102">
                  <c:v>1155825</c:v>
                </c:pt>
                <c:pt idx="103">
                  <c:v>1225114</c:v>
                </c:pt>
                <c:pt idx="104">
                  <c:v>1311840</c:v>
                </c:pt>
                <c:pt idx="105">
                  <c:v>1296076</c:v>
                </c:pt>
                <c:pt idx="106">
                  <c:v>1247553</c:v>
                </c:pt>
                <c:pt idx="107">
                  <c:v>1323443</c:v>
                </c:pt>
                <c:pt idx="108">
                  <c:v>1397089</c:v>
                </c:pt>
                <c:pt idx="109">
                  <c:v>1423581</c:v>
                </c:pt>
                <c:pt idx="110">
                  <c:v>1417022</c:v>
                </c:pt>
                <c:pt idx="111">
                  <c:v>1501013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DB-4B46-BA6B-0618790D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288581"/>
        <c:axId val="15204060"/>
      </c:lineChart>
      <c:catAx>
        <c:axId val="11288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04060"/>
        <c:crosses val="autoZero"/>
        <c:auto val="1"/>
        <c:lblAlgn val="ctr"/>
        <c:lblOffset val="100"/>
        <c:noMultiLvlLbl val="0"/>
      </c:catAx>
      <c:valAx>
        <c:axId val="15204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88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federal expenditure (FGEXPND)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Data_nsa'!$D$3</c:f>
              <c:strCache>
                <c:ptCount val="1"/>
                <c:pt idx="0">
                  <c:v>Federal Government: Current Expenditures (NA000283Q), Millions of Dollars,
Not Seasonally Adjusted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Data_nsa'!$A$5:$A$115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Data_nsa'!$D$4:$D$115</c:f>
              <c:numCache>
                <c:formatCode>General</c:formatCode>
                <c:ptCount val="112"/>
                <c:pt idx="0">
                  <c:v>0</c:v>
                </c:pt>
                <c:pt idx="1">
                  <c:v>445251</c:v>
                </c:pt>
                <c:pt idx="2">
                  <c:v>443702</c:v>
                </c:pt>
                <c:pt idx="3">
                  <c:v>460154</c:v>
                </c:pt>
                <c:pt idx="4">
                  <c:v>448286</c:v>
                </c:pt>
                <c:pt idx="5">
                  <c:v>456605</c:v>
                </c:pt>
                <c:pt idx="6">
                  <c:v>458196</c:v>
                </c:pt>
                <c:pt idx="7">
                  <c:v>473741</c:v>
                </c:pt>
                <c:pt idx="8">
                  <c:v>468041</c:v>
                </c:pt>
                <c:pt idx="9">
                  <c:v>479183</c:v>
                </c:pt>
                <c:pt idx="10">
                  <c:v>472437</c:v>
                </c:pt>
                <c:pt idx="11">
                  <c:v>488430</c:v>
                </c:pt>
                <c:pt idx="12">
                  <c:v>497170</c:v>
                </c:pt>
                <c:pt idx="13">
                  <c:v>503150</c:v>
                </c:pt>
                <c:pt idx="14">
                  <c:v>501435</c:v>
                </c:pt>
                <c:pt idx="15">
                  <c:v>515573</c:v>
                </c:pt>
                <c:pt idx="16">
                  <c:v>522337</c:v>
                </c:pt>
                <c:pt idx="17">
                  <c:v>535303</c:v>
                </c:pt>
                <c:pt idx="18">
                  <c:v>534775</c:v>
                </c:pt>
                <c:pt idx="19">
                  <c:v>546285</c:v>
                </c:pt>
                <c:pt idx="20">
                  <c:v>556203</c:v>
                </c:pt>
                <c:pt idx="21">
                  <c:v>577410</c:v>
                </c:pt>
                <c:pt idx="22">
                  <c:v>575120</c:v>
                </c:pt>
                <c:pt idx="23">
                  <c:v>584764</c:v>
                </c:pt>
                <c:pt idx="24">
                  <c:v>596541</c:v>
                </c:pt>
                <c:pt idx="25">
                  <c:v>600847</c:v>
                </c:pt>
                <c:pt idx="26">
                  <c:v>604610</c:v>
                </c:pt>
                <c:pt idx="27">
                  <c:v>619574</c:v>
                </c:pt>
                <c:pt idx="28">
                  <c:v>638822</c:v>
                </c:pt>
                <c:pt idx="29">
                  <c:v>645540</c:v>
                </c:pt>
                <c:pt idx="30">
                  <c:v>651726</c:v>
                </c:pt>
                <c:pt idx="31">
                  <c:v>662376</c:v>
                </c:pt>
                <c:pt idx="32">
                  <c:v>684176</c:v>
                </c:pt>
                <c:pt idx="33">
                  <c:v>690465</c:v>
                </c:pt>
                <c:pt idx="34">
                  <c:v>689447</c:v>
                </c:pt>
                <c:pt idx="35">
                  <c:v>696633</c:v>
                </c:pt>
                <c:pt idx="36">
                  <c:v>717262</c:v>
                </c:pt>
                <c:pt idx="37">
                  <c:v>728618</c:v>
                </c:pt>
                <c:pt idx="38">
                  <c:v>732861</c:v>
                </c:pt>
                <c:pt idx="39">
                  <c:v>749263</c:v>
                </c:pt>
                <c:pt idx="40">
                  <c:v>761256</c:v>
                </c:pt>
                <c:pt idx="41">
                  <c:v>848721</c:v>
                </c:pt>
                <c:pt idx="42">
                  <c:v>795219</c:v>
                </c:pt>
                <c:pt idx="43">
                  <c:v>801794</c:v>
                </c:pt>
                <c:pt idx="44">
                  <c:v>828974</c:v>
                </c:pt>
                <c:pt idx="45">
                  <c:v>887955</c:v>
                </c:pt>
                <c:pt idx="46">
                  <c:v>877357</c:v>
                </c:pt>
                <c:pt idx="47">
                  <c:v>890955</c:v>
                </c:pt>
                <c:pt idx="48">
                  <c:v>923970</c:v>
                </c:pt>
                <c:pt idx="49">
                  <c:v>939615</c:v>
                </c:pt>
                <c:pt idx="50">
                  <c:v>944105</c:v>
                </c:pt>
                <c:pt idx="51">
                  <c:v>956935</c:v>
                </c:pt>
                <c:pt idx="52">
                  <c:v>946475</c:v>
                </c:pt>
                <c:pt idx="53">
                  <c:v>966997</c:v>
                </c:pt>
                <c:pt idx="54">
                  <c:v>946054</c:v>
                </c:pt>
                <c:pt idx="55">
                  <c:v>948226</c:v>
                </c:pt>
                <c:pt idx="56">
                  <c:v>940733</c:v>
                </c:pt>
                <c:pt idx="57">
                  <c:v>945236</c:v>
                </c:pt>
                <c:pt idx="58">
                  <c:v>945741</c:v>
                </c:pt>
                <c:pt idx="59">
                  <c:v>941793</c:v>
                </c:pt>
                <c:pt idx="60">
                  <c:v>938461</c:v>
                </c:pt>
                <c:pt idx="61">
                  <c:v>946530</c:v>
                </c:pt>
                <c:pt idx="62">
                  <c:v>946758</c:v>
                </c:pt>
                <c:pt idx="63">
                  <c:v>938505</c:v>
                </c:pt>
                <c:pt idx="64">
                  <c:v>954849</c:v>
                </c:pt>
                <c:pt idx="65">
                  <c:v>970965</c:v>
                </c:pt>
                <c:pt idx="66">
                  <c:v>986420</c:v>
                </c:pt>
                <c:pt idx="67">
                  <c:v>976204</c:v>
                </c:pt>
                <c:pt idx="68">
                  <c:v>992832</c:v>
                </c:pt>
                <c:pt idx="69">
                  <c:v>996273</c:v>
                </c:pt>
                <c:pt idx="70">
                  <c:v>1009364</c:v>
                </c:pt>
                <c:pt idx="71">
                  <c:v>1007357</c:v>
                </c:pt>
                <c:pt idx="72">
                  <c:v>1019783</c:v>
                </c:pt>
                <c:pt idx="73">
                  <c:v>1024140</c:v>
                </c:pt>
                <c:pt idx="74">
                  <c:v>1044040</c:v>
                </c:pt>
                <c:pt idx="75">
                  <c:v>1040011</c:v>
                </c:pt>
                <c:pt idx="76">
                  <c:v>1050365</c:v>
                </c:pt>
                <c:pt idx="77">
                  <c:v>1048672</c:v>
                </c:pt>
                <c:pt idx="78">
                  <c:v>1065491</c:v>
                </c:pt>
                <c:pt idx="79">
                  <c:v>1076017</c:v>
                </c:pt>
                <c:pt idx="80">
                  <c:v>1101431</c:v>
                </c:pt>
                <c:pt idx="81">
                  <c:v>1111292</c:v>
                </c:pt>
                <c:pt idx="82">
                  <c:v>1131031</c:v>
                </c:pt>
                <c:pt idx="83">
                  <c:v>1145725</c:v>
                </c:pt>
                <c:pt idx="84">
                  <c:v>1166430</c:v>
                </c:pt>
                <c:pt idx="85">
                  <c:v>1186062</c:v>
                </c:pt>
                <c:pt idx="86">
                  <c:v>1197650</c:v>
                </c:pt>
                <c:pt idx="87">
                  <c:v>1197979</c:v>
                </c:pt>
                <c:pt idx="88">
                  <c:v>1213530</c:v>
                </c:pt>
                <c:pt idx="89">
                  <c:v>2227478</c:v>
                </c:pt>
                <c:pt idx="90">
                  <c:v>1790001</c:v>
                </c:pt>
                <c:pt idx="91">
                  <c:v>1484103</c:v>
                </c:pt>
                <c:pt idx="92">
                  <c:v>2081003</c:v>
                </c:pt>
                <c:pt idx="93">
                  <c:v>1948826</c:v>
                </c:pt>
                <c:pt idx="94">
                  <c:v>1697967</c:v>
                </c:pt>
                <c:pt idx="95">
                  <c:v>1556261</c:v>
                </c:pt>
                <c:pt idx="96">
                  <c:v>1498140</c:v>
                </c:pt>
                <c:pt idx="97">
                  <c:v>1525565</c:v>
                </c:pt>
                <c:pt idx="98">
                  <c:v>1541979</c:v>
                </c:pt>
                <c:pt idx="99">
                  <c:v>1579209</c:v>
                </c:pt>
                <c:pt idx="100">
                  <c:v>1606689</c:v>
                </c:pt>
                <c:pt idx="101">
                  <c:v>1625596</c:v>
                </c:pt>
                <c:pt idx="102">
                  <c:v>1640496</c:v>
                </c:pt>
                <c:pt idx="103">
                  <c:v>1665234</c:v>
                </c:pt>
                <c:pt idx="104">
                  <c:v>1709903</c:v>
                </c:pt>
                <c:pt idx="105">
                  <c:v>1739734</c:v>
                </c:pt>
                <c:pt idx="106">
                  <c:v>1793724</c:v>
                </c:pt>
                <c:pt idx="107">
                  <c:v>1810006</c:v>
                </c:pt>
                <c:pt idx="108">
                  <c:v>1828010</c:v>
                </c:pt>
                <c:pt idx="109">
                  <c:v>1879461</c:v>
                </c:pt>
                <c:pt idx="110">
                  <c:v>1900165</c:v>
                </c:pt>
                <c:pt idx="111">
                  <c:v>1892982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00-43FA-8464-4F7CE48E7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168350"/>
        <c:axId val="79771848"/>
      </c:lineChart>
      <c:catAx>
        <c:axId val="24168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71848"/>
        <c:crosses val="autoZero"/>
        <c:auto val="1"/>
        <c:lblAlgn val="ctr"/>
        <c:lblOffset val="100"/>
        <c:noMultiLvlLbl val="0"/>
      </c:catAx>
      <c:valAx>
        <c:axId val="79771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168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federal net interest (A091)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Data_nsa'!$E$3</c:f>
              <c:strCache>
                <c:ptCount val="1"/>
                <c:pt idx="0">
                  <c:v>Federal government current expenditures: Interest payments (NA000308Q), Millions of Dollars,
Not Seasonally Adjusted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Data_nsa'!$A$5:$A$115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Data_nsa'!$E$4:$E$115</c:f>
              <c:numCache>
                <c:formatCode>General</c:formatCode>
                <c:ptCount val="112"/>
                <c:pt idx="0">
                  <c:v>0</c:v>
                </c:pt>
                <c:pt idx="1">
                  <c:v>91910</c:v>
                </c:pt>
                <c:pt idx="2">
                  <c:v>91551</c:v>
                </c:pt>
                <c:pt idx="3">
                  <c:v>90022</c:v>
                </c:pt>
                <c:pt idx="4">
                  <c:v>88149</c:v>
                </c:pt>
                <c:pt idx="5">
                  <c:v>88035</c:v>
                </c:pt>
                <c:pt idx="6">
                  <c:v>87768</c:v>
                </c:pt>
                <c:pt idx="7">
                  <c:v>88231</c:v>
                </c:pt>
                <c:pt idx="8">
                  <c:v>88705</c:v>
                </c:pt>
                <c:pt idx="9">
                  <c:v>88527</c:v>
                </c:pt>
                <c:pt idx="10">
                  <c:v>88219</c:v>
                </c:pt>
                <c:pt idx="11">
                  <c:v>88276</c:v>
                </c:pt>
                <c:pt idx="12">
                  <c:v>86370</c:v>
                </c:pt>
                <c:pt idx="13">
                  <c:v>83694</c:v>
                </c:pt>
                <c:pt idx="14">
                  <c:v>81707</c:v>
                </c:pt>
                <c:pt idx="15">
                  <c:v>79455</c:v>
                </c:pt>
                <c:pt idx="16">
                  <c:v>76233</c:v>
                </c:pt>
                <c:pt idx="17">
                  <c:v>75489</c:v>
                </c:pt>
                <c:pt idx="18">
                  <c:v>75047</c:v>
                </c:pt>
                <c:pt idx="19">
                  <c:v>74502</c:v>
                </c:pt>
                <c:pt idx="20">
                  <c:v>72698</c:v>
                </c:pt>
                <c:pt idx="21">
                  <c:v>72580</c:v>
                </c:pt>
                <c:pt idx="22">
                  <c:v>72915</c:v>
                </c:pt>
                <c:pt idx="23">
                  <c:v>73527</c:v>
                </c:pt>
                <c:pt idx="24">
                  <c:v>74471</c:v>
                </c:pt>
                <c:pt idx="25">
                  <c:v>74915</c:v>
                </c:pt>
                <c:pt idx="26">
                  <c:v>77040</c:v>
                </c:pt>
                <c:pt idx="27">
                  <c:v>79596</c:v>
                </c:pt>
                <c:pt idx="28">
                  <c:v>82352</c:v>
                </c:pt>
                <c:pt idx="29">
                  <c:v>85895</c:v>
                </c:pt>
                <c:pt idx="30">
                  <c:v>87307</c:v>
                </c:pt>
                <c:pt idx="31">
                  <c:v>88821</c:v>
                </c:pt>
                <c:pt idx="32">
                  <c:v>89552</c:v>
                </c:pt>
                <c:pt idx="33">
                  <c:v>91854</c:v>
                </c:pt>
                <c:pt idx="34">
                  <c:v>94075</c:v>
                </c:pt>
                <c:pt idx="35">
                  <c:v>96731</c:v>
                </c:pt>
                <c:pt idx="36">
                  <c:v>99002</c:v>
                </c:pt>
                <c:pt idx="37">
                  <c:v>101978</c:v>
                </c:pt>
                <c:pt idx="38">
                  <c:v>103541</c:v>
                </c:pt>
                <c:pt idx="39">
                  <c:v>103456</c:v>
                </c:pt>
                <c:pt idx="40">
                  <c:v>100868</c:v>
                </c:pt>
                <c:pt idx="41">
                  <c:v>97088</c:v>
                </c:pt>
                <c:pt idx="42">
                  <c:v>95538</c:v>
                </c:pt>
                <c:pt idx="43">
                  <c:v>94903</c:v>
                </c:pt>
                <c:pt idx="44">
                  <c:v>90467</c:v>
                </c:pt>
                <c:pt idx="45">
                  <c:v>88033</c:v>
                </c:pt>
                <c:pt idx="46">
                  <c:v>87579</c:v>
                </c:pt>
                <c:pt idx="47">
                  <c:v>88453</c:v>
                </c:pt>
                <c:pt idx="48">
                  <c:v>90065</c:v>
                </c:pt>
                <c:pt idx="49">
                  <c:v>94232</c:v>
                </c:pt>
                <c:pt idx="50">
                  <c:v>97312</c:v>
                </c:pt>
                <c:pt idx="51">
                  <c:v>99879</c:v>
                </c:pt>
                <c:pt idx="52">
                  <c:v>102701</c:v>
                </c:pt>
                <c:pt idx="53">
                  <c:v>106247</c:v>
                </c:pt>
                <c:pt idx="54">
                  <c:v>108156</c:v>
                </c:pt>
                <c:pt idx="55">
                  <c:v>108337</c:v>
                </c:pt>
                <c:pt idx="56">
                  <c:v>107086</c:v>
                </c:pt>
                <c:pt idx="57">
                  <c:v>106086</c:v>
                </c:pt>
                <c:pt idx="58">
                  <c:v>105244</c:v>
                </c:pt>
                <c:pt idx="59">
                  <c:v>104209</c:v>
                </c:pt>
                <c:pt idx="60">
                  <c:v>102763</c:v>
                </c:pt>
                <c:pt idx="61">
                  <c:v>103127</c:v>
                </c:pt>
                <c:pt idx="62">
                  <c:v>104185</c:v>
                </c:pt>
                <c:pt idx="63">
                  <c:v>106250</c:v>
                </c:pt>
                <c:pt idx="64">
                  <c:v>107988</c:v>
                </c:pt>
                <c:pt idx="65">
                  <c:v>110007</c:v>
                </c:pt>
                <c:pt idx="66">
                  <c:v>110527</c:v>
                </c:pt>
                <c:pt idx="67">
                  <c:v>110571</c:v>
                </c:pt>
                <c:pt idx="68">
                  <c:v>107172</c:v>
                </c:pt>
                <c:pt idx="69">
                  <c:v>106469</c:v>
                </c:pt>
                <c:pt idx="70">
                  <c:v>106970</c:v>
                </c:pt>
                <c:pt idx="71">
                  <c:v>108670</c:v>
                </c:pt>
                <c:pt idx="72">
                  <c:v>111556</c:v>
                </c:pt>
                <c:pt idx="73">
                  <c:v>113323</c:v>
                </c:pt>
                <c:pt idx="74">
                  <c:v>114379</c:v>
                </c:pt>
                <c:pt idx="75">
                  <c:v>115046</c:v>
                </c:pt>
                <c:pt idx="76">
                  <c:v>115167</c:v>
                </c:pt>
                <c:pt idx="77">
                  <c:v>117803</c:v>
                </c:pt>
                <c:pt idx="78">
                  <c:v>120364</c:v>
                </c:pt>
                <c:pt idx="79">
                  <c:v>123360</c:v>
                </c:pt>
                <c:pt idx="80">
                  <c:v>126905</c:v>
                </c:pt>
                <c:pt idx="81">
                  <c:v>132944</c:v>
                </c:pt>
                <c:pt idx="82">
                  <c:v>137973</c:v>
                </c:pt>
                <c:pt idx="83">
                  <c:v>142807</c:v>
                </c:pt>
                <c:pt idx="84">
                  <c:v>144929</c:v>
                </c:pt>
                <c:pt idx="85">
                  <c:v>146602</c:v>
                </c:pt>
                <c:pt idx="86">
                  <c:v>144564</c:v>
                </c:pt>
                <c:pt idx="87">
                  <c:v>141060</c:v>
                </c:pt>
                <c:pt idx="88">
                  <c:v>136031</c:v>
                </c:pt>
                <c:pt idx="89">
                  <c:v>128684</c:v>
                </c:pt>
                <c:pt idx="90">
                  <c:v>127003</c:v>
                </c:pt>
                <c:pt idx="91">
                  <c:v>129178</c:v>
                </c:pt>
                <c:pt idx="92">
                  <c:v>133380</c:v>
                </c:pt>
                <c:pt idx="93">
                  <c:v>140159</c:v>
                </c:pt>
                <c:pt idx="94">
                  <c:v>146980</c:v>
                </c:pt>
                <c:pt idx="95">
                  <c:v>153070</c:v>
                </c:pt>
                <c:pt idx="96">
                  <c:v>159242</c:v>
                </c:pt>
                <c:pt idx="97">
                  <c:v>171189</c:v>
                </c:pt>
                <c:pt idx="98">
                  <c:v>188020</c:v>
                </c:pt>
                <c:pt idx="99">
                  <c:v>205776</c:v>
                </c:pt>
                <c:pt idx="100">
                  <c:v>215317</c:v>
                </c:pt>
                <c:pt idx="101">
                  <c:v>223527</c:v>
                </c:pt>
                <c:pt idx="102">
                  <c:v>241725</c:v>
                </c:pt>
                <c:pt idx="103">
                  <c:v>257870</c:v>
                </c:pt>
                <c:pt idx="104">
                  <c:v>267794</c:v>
                </c:pt>
                <c:pt idx="105">
                  <c:v>275891</c:v>
                </c:pt>
                <c:pt idx="106">
                  <c:v>286545</c:v>
                </c:pt>
                <c:pt idx="107">
                  <c:v>288904</c:v>
                </c:pt>
                <c:pt idx="108">
                  <c:v>286053</c:v>
                </c:pt>
                <c:pt idx="109">
                  <c:v>290225</c:v>
                </c:pt>
                <c:pt idx="110">
                  <c:v>299797</c:v>
                </c:pt>
                <c:pt idx="111">
                  <c:v>306874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E6-479F-A460-C4A20D59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955696"/>
        <c:axId val="97272274"/>
      </c:lineChart>
      <c:catAx>
        <c:axId val="9595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72274"/>
        <c:crosses val="autoZero"/>
        <c:auto val="1"/>
        <c:lblAlgn val="ctr"/>
        <c:lblOffset val="100"/>
        <c:noMultiLvlLbl val="0"/>
      </c:catAx>
      <c:valAx>
        <c:axId val="97272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9556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gross federal debt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Raw Data_nsa'!$F$3</c:f>
              <c:strCache>
                <c:ptCount val="1"/>
                <c:pt idx="0">
                  <c:v>GFDEBTN - Federal Debt: Total Public Debt (GFDEBTN), Millions of Dollars,
Not Seasonally Adjusted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Raw Data_nsa'!$A$5:$A$115</c:f>
              <c:strCache>
                <c:ptCount val="111"/>
                <c:pt idx="0">
                  <c:v>1998-Q2</c:v>
                </c:pt>
                <c:pt idx="1">
                  <c:v>1998-Q3</c:v>
                </c:pt>
                <c:pt idx="2">
                  <c:v>1998-Q4</c:v>
                </c:pt>
                <c:pt idx="3">
                  <c:v>1999-Q1</c:v>
                </c:pt>
                <c:pt idx="4">
                  <c:v>1999-Q2</c:v>
                </c:pt>
                <c:pt idx="5">
                  <c:v>1999-Q3</c:v>
                </c:pt>
                <c:pt idx="6">
                  <c:v>1999-Q4</c:v>
                </c:pt>
                <c:pt idx="7">
                  <c:v>2000-Q1</c:v>
                </c:pt>
                <c:pt idx="8">
                  <c:v>2000-Q2</c:v>
                </c:pt>
                <c:pt idx="9">
                  <c:v>2000-Q3</c:v>
                </c:pt>
                <c:pt idx="10">
                  <c:v>2000-Q4</c:v>
                </c:pt>
                <c:pt idx="11">
                  <c:v>2001-Q1</c:v>
                </c:pt>
                <c:pt idx="12">
                  <c:v>2001-Q2</c:v>
                </c:pt>
                <c:pt idx="13">
                  <c:v>2001-Q3</c:v>
                </c:pt>
                <c:pt idx="14">
                  <c:v>2001-Q4</c:v>
                </c:pt>
                <c:pt idx="15">
                  <c:v>2002-Q1</c:v>
                </c:pt>
                <c:pt idx="16">
                  <c:v>2002-Q2</c:v>
                </c:pt>
                <c:pt idx="17">
                  <c:v>2002-Q3</c:v>
                </c:pt>
                <c:pt idx="18">
                  <c:v>2002-Q4</c:v>
                </c:pt>
                <c:pt idx="19">
                  <c:v>2003-Q1</c:v>
                </c:pt>
                <c:pt idx="20">
                  <c:v>2003-Q2</c:v>
                </c:pt>
                <c:pt idx="21">
                  <c:v>2003-Q3</c:v>
                </c:pt>
                <c:pt idx="22">
                  <c:v>2003-Q4</c:v>
                </c:pt>
                <c:pt idx="23">
                  <c:v>2004-Q1</c:v>
                </c:pt>
                <c:pt idx="24">
                  <c:v>2004-Q2</c:v>
                </c:pt>
                <c:pt idx="25">
                  <c:v>2004-Q3</c:v>
                </c:pt>
                <c:pt idx="26">
                  <c:v>2004-Q4</c:v>
                </c:pt>
                <c:pt idx="27">
                  <c:v>2005-Q1</c:v>
                </c:pt>
                <c:pt idx="28">
                  <c:v>2005-Q2</c:v>
                </c:pt>
                <c:pt idx="29">
                  <c:v>2005-Q3</c:v>
                </c:pt>
                <c:pt idx="30">
                  <c:v>2005-Q4</c:v>
                </c:pt>
                <c:pt idx="31">
                  <c:v>2006-Q1</c:v>
                </c:pt>
                <c:pt idx="32">
                  <c:v>2006-Q2</c:v>
                </c:pt>
                <c:pt idx="33">
                  <c:v>2006-Q3</c:v>
                </c:pt>
                <c:pt idx="34">
                  <c:v>2006-Q4</c:v>
                </c:pt>
                <c:pt idx="35">
                  <c:v>2007-Q1</c:v>
                </c:pt>
                <c:pt idx="36">
                  <c:v>2007-Q2</c:v>
                </c:pt>
                <c:pt idx="37">
                  <c:v>2007-Q3</c:v>
                </c:pt>
                <c:pt idx="38">
                  <c:v>2007-Q4</c:v>
                </c:pt>
                <c:pt idx="39">
                  <c:v>2008-Q1</c:v>
                </c:pt>
                <c:pt idx="40">
                  <c:v>2008-Q2</c:v>
                </c:pt>
                <c:pt idx="41">
                  <c:v>2008-Q3</c:v>
                </c:pt>
                <c:pt idx="42">
                  <c:v>2008-Q4</c:v>
                </c:pt>
                <c:pt idx="43">
                  <c:v>2009-Q1</c:v>
                </c:pt>
                <c:pt idx="44">
                  <c:v>2009-Q2</c:v>
                </c:pt>
                <c:pt idx="45">
                  <c:v>2009-Q3</c:v>
                </c:pt>
                <c:pt idx="46">
                  <c:v>2009-Q4</c:v>
                </c:pt>
                <c:pt idx="47">
                  <c:v>2010-Q1</c:v>
                </c:pt>
                <c:pt idx="48">
                  <c:v>2010-Q2</c:v>
                </c:pt>
                <c:pt idx="49">
                  <c:v>2010-Q3</c:v>
                </c:pt>
                <c:pt idx="50">
                  <c:v>2010-Q4</c:v>
                </c:pt>
                <c:pt idx="51">
                  <c:v>2011-Q1</c:v>
                </c:pt>
                <c:pt idx="52">
                  <c:v>2011-Q2</c:v>
                </c:pt>
                <c:pt idx="53">
                  <c:v>2011-Q3</c:v>
                </c:pt>
                <c:pt idx="54">
                  <c:v>2011-Q4</c:v>
                </c:pt>
                <c:pt idx="55">
                  <c:v>2012-Q1</c:v>
                </c:pt>
                <c:pt idx="56">
                  <c:v>2012-Q2</c:v>
                </c:pt>
                <c:pt idx="57">
                  <c:v>2012-Q3</c:v>
                </c:pt>
                <c:pt idx="58">
                  <c:v>2012-Q4</c:v>
                </c:pt>
                <c:pt idx="59">
                  <c:v>2013-Q1</c:v>
                </c:pt>
                <c:pt idx="60">
                  <c:v>2013-Q2</c:v>
                </c:pt>
                <c:pt idx="61">
                  <c:v>2013-Q3</c:v>
                </c:pt>
                <c:pt idx="62">
                  <c:v>2013-Q4</c:v>
                </c:pt>
                <c:pt idx="63">
                  <c:v>2014-Q1</c:v>
                </c:pt>
                <c:pt idx="64">
                  <c:v>2014-Q2</c:v>
                </c:pt>
                <c:pt idx="65">
                  <c:v>2014-Q3</c:v>
                </c:pt>
                <c:pt idx="66">
                  <c:v>2014-Q4</c:v>
                </c:pt>
                <c:pt idx="67">
                  <c:v>2015-Q1</c:v>
                </c:pt>
                <c:pt idx="68">
                  <c:v>2015-Q2</c:v>
                </c:pt>
                <c:pt idx="69">
                  <c:v>2015-Q3</c:v>
                </c:pt>
                <c:pt idx="70">
                  <c:v>2015-Q4</c:v>
                </c:pt>
                <c:pt idx="71">
                  <c:v>2016-Q1</c:v>
                </c:pt>
                <c:pt idx="72">
                  <c:v>2016-Q2</c:v>
                </c:pt>
                <c:pt idx="73">
                  <c:v>2016-Q3</c:v>
                </c:pt>
                <c:pt idx="74">
                  <c:v>2016-Q4</c:v>
                </c:pt>
                <c:pt idx="75">
                  <c:v>2017-Q1</c:v>
                </c:pt>
                <c:pt idx="76">
                  <c:v>2017-Q2</c:v>
                </c:pt>
                <c:pt idx="77">
                  <c:v>2017-Q3</c:v>
                </c:pt>
                <c:pt idx="78">
                  <c:v>2017-Q4</c:v>
                </c:pt>
                <c:pt idx="79">
                  <c:v>2018-Q1</c:v>
                </c:pt>
                <c:pt idx="80">
                  <c:v>2018-Q2</c:v>
                </c:pt>
                <c:pt idx="81">
                  <c:v>2018-Q3</c:v>
                </c:pt>
                <c:pt idx="82">
                  <c:v>2018-Q4</c:v>
                </c:pt>
                <c:pt idx="83">
                  <c:v>2019-Q1</c:v>
                </c:pt>
                <c:pt idx="84">
                  <c:v>2019-Q2</c:v>
                </c:pt>
                <c:pt idx="85">
                  <c:v>2019-Q3</c:v>
                </c:pt>
                <c:pt idx="86">
                  <c:v>2019-Q4</c:v>
                </c:pt>
                <c:pt idx="87">
                  <c:v>2020-Q1</c:v>
                </c:pt>
                <c:pt idx="88">
                  <c:v>2020-Q2</c:v>
                </c:pt>
                <c:pt idx="89">
                  <c:v>2020-Q3</c:v>
                </c:pt>
                <c:pt idx="90">
                  <c:v>2020-Q4</c:v>
                </c:pt>
                <c:pt idx="91">
                  <c:v>2021-Q1</c:v>
                </c:pt>
                <c:pt idx="92">
                  <c:v>2021-Q2</c:v>
                </c:pt>
                <c:pt idx="93">
                  <c:v>2021-Q3</c:v>
                </c:pt>
                <c:pt idx="94">
                  <c:v>2021-Q4</c:v>
                </c:pt>
                <c:pt idx="95">
                  <c:v>2022-Q1</c:v>
                </c:pt>
                <c:pt idx="96">
                  <c:v>2022-Q2</c:v>
                </c:pt>
                <c:pt idx="97">
                  <c:v>2022-Q3</c:v>
                </c:pt>
                <c:pt idx="98">
                  <c:v>2022-Q4</c:v>
                </c:pt>
                <c:pt idx="99">
                  <c:v>2023-Q1</c:v>
                </c:pt>
                <c:pt idx="100">
                  <c:v>2023-Q2</c:v>
                </c:pt>
                <c:pt idx="101">
                  <c:v>2023-Q3</c:v>
                </c:pt>
                <c:pt idx="102">
                  <c:v>2023-Q4</c:v>
                </c:pt>
                <c:pt idx="103">
                  <c:v>2024-Q1</c:v>
                </c:pt>
                <c:pt idx="104">
                  <c:v>2024-Q2</c:v>
                </c:pt>
                <c:pt idx="105">
                  <c:v>2024-Q3</c:v>
                </c:pt>
                <c:pt idx="106">
                  <c:v>2024-Q4</c:v>
                </c:pt>
                <c:pt idx="107">
                  <c:v>2025-Q1</c:v>
                </c:pt>
                <c:pt idx="108">
                  <c:v>2025-Q2</c:v>
                </c:pt>
                <c:pt idx="109">
                  <c:v>2025-Q3</c:v>
                </c:pt>
                <c:pt idx="110">
                  <c:v>2025-Q4</c:v>
                </c:pt>
              </c:strCache>
            </c:strRef>
          </c:cat>
          <c:val>
            <c:numRef>
              <c:f>'US Raw Data_nsa'!$F$4:$F$115</c:f>
              <c:numCache>
                <c:formatCode>General</c:formatCode>
                <c:ptCount val="112"/>
                <c:pt idx="0">
                  <c:v>0</c:v>
                </c:pt>
                <c:pt idx="1">
                  <c:v>5547935</c:v>
                </c:pt>
                <c:pt idx="2">
                  <c:v>5526193</c:v>
                </c:pt>
                <c:pt idx="3">
                  <c:v>5614217</c:v>
                </c:pt>
                <c:pt idx="4">
                  <c:v>5651615</c:v>
                </c:pt>
                <c:pt idx="5">
                  <c:v>5638780</c:v>
                </c:pt>
                <c:pt idx="6">
                  <c:v>5656271</c:v>
                </c:pt>
                <c:pt idx="7">
                  <c:v>5776091</c:v>
                </c:pt>
                <c:pt idx="8">
                  <c:v>5773392</c:v>
                </c:pt>
                <c:pt idx="9">
                  <c:v>5685938</c:v>
                </c:pt>
                <c:pt idx="10">
                  <c:v>5674179</c:v>
                </c:pt>
                <c:pt idx="11">
                  <c:v>5662216</c:v>
                </c:pt>
                <c:pt idx="12">
                  <c:v>5773740</c:v>
                </c:pt>
                <c:pt idx="13">
                  <c:v>5726815</c:v>
                </c:pt>
                <c:pt idx="14">
                  <c:v>5807464</c:v>
                </c:pt>
                <c:pt idx="15">
                  <c:v>5943439</c:v>
                </c:pt>
                <c:pt idx="16">
                  <c:v>6006032</c:v>
                </c:pt>
                <c:pt idx="17">
                  <c:v>6126469</c:v>
                </c:pt>
                <c:pt idx="18">
                  <c:v>6228236</c:v>
                </c:pt>
                <c:pt idx="19">
                  <c:v>6405707</c:v>
                </c:pt>
                <c:pt idx="20">
                  <c:v>6460776</c:v>
                </c:pt>
                <c:pt idx="21">
                  <c:v>6670121</c:v>
                </c:pt>
                <c:pt idx="22">
                  <c:v>6783320</c:v>
                </c:pt>
                <c:pt idx="23">
                  <c:v>6997964</c:v>
                </c:pt>
                <c:pt idx="24">
                  <c:v>7131068</c:v>
                </c:pt>
                <c:pt idx="25">
                  <c:v>7274335</c:v>
                </c:pt>
                <c:pt idx="26">
                  <c:v>7379053</c:v>
                </c:pt>
                <c:pt idx="27">
                  <c:v>7596143</c:v>
                </c:pt>
                <c:pt idx="28">
                  <c:v>7776939</c:v>
                </c:pt>
                <c:pt idx="29">
                  <c:v>7836496</c:v>
                </c:pt>
                <c:pt idx="30">
                  <c:v>7932710</c:v>
                </c:pt>
                <c:pt idx="31">
                  <c:v>8170413</c:v>
                </c:pt>
                <c:pt idx="32">
                  <c:v>8371156</c:v>
                </c:pt>
                <c:pt idx="33">
                  <c:v>8420042</c:v>
                </c:pt>
                <c:pt idx="34">
                  <c:v>8506974</c:v>
                </c:pt>
                <c:pt idx="35">
                  <c:v>8680224</c:v>
                </c:pt>
                <c:pt idx="36">
                  <c:v>8849665</c:v>
                </c:pt>
                <c:pt idx="37">
                  <c:v>8867677</c:v>
                </c:pt>
                <c:pt idx="38">
                  <c:v>9007653</c:v>
                </c:pt>
                <c:pt idx="39">
                  <c:v>9229172</c:v>
                </c:pt>
                <c:pt idx="40">
                  <c:v>9437594</c:v>
                </c:pt>
                <c:pt idx="41">
                  <c:v>9492006</c:v>
                </c:pt>
                <c:pt idx="42">
                  <c:v>10024725</c:v>
                </c:pt>
                <c:pt idx="43">
                  <c:v>10699805</c:v>
                </c:pt>
                <c:pt idx="44">
                  <c:v>11126941</c:v>
                </c:pt>
                <c:pt idx="45">
                  <c:v>11545275</c:v>
                </c:pt>
                <c:pt idx="46">
                  <c:v>11909828</c:v>
                </c:pt>
                <c:pt idx="47">
                  <c:v>12311349</c:v>
                </c:pt>
                <c:pt idx="48">
                  <c:v>12773123</c:v>
                </c:pt>
                <c:pt idx="49">
                  <c:v>13201792</c:v>
                </c:pt>
                <c:pt idx="50">
                  <c:v>13561622</c:v>
                </c:pt>
                <c:pt idx="51">
                  <c:v>14025215</c:v>
                </c:pt>
                <c:pt idx="52">
                  <c:v>14270114</c:v>
                </c:pt>
                <c:pt idx="53">
                  <c:v>14343087</c:v>
                </c:pt>
                <c:pt idx="54">
                  <c:v>14790340</c:v>
                </c:pt>
                <c:pt idx="55">
                  <c:v>15222940</c:v>
                </c:pt>
                <c:pt idx="56">
                  <c:v>15606518</c:v>
                </c:pt>
                <c:pt idx="57">
                  <c:v>15855037</c:v>
                </c:pt>
                <c:pt idx="58">
                  <c:v>16066240</c:v>
                </c:pt>
                <c:pt idx="59">
                  <c:v>16432730</c:v>
                </c:pt>
                <c:pt idx="60">
                  <c:v>16771381</c:v>
                </c:pt>
                <c:pt idx="61">
                  <c:v>16738320</c:v>
                </c:pt>
                <c:pt idx="62">
                  <c:v>16738180</c:v>
                </c:pt>
                <c:pt idx="63">
                  <c:v>17156119</c:v>
                </c:pt>
                <c:pt idx="64">
                  <c:v>17601227</c:v>
                </c:pt>
                <c:pt idx="65">
                  <c:v>17632606</c:v>
                </c:pt>
                <c:pt idx="66">
                  <c:v>17824071</c:v>
                </c:pt>
                <c:pt idx="67">
                  <c:v>18141444</c:v>
                </c:pt>
                <c:pt idx="68">
                  <c:v>18152056</c:v>
                </c:pt>
                <c:pt idx="69">
                  <c:v>18151998</c:v>
                </c:pt>
                <c:pt idx="70">
                  <c:v>18150618</c:v>
                </c:pt>
                <c:pt idx="71">
                  <c:v>18922179</c:v>
                </c:pt>
                <c:pt idx="72">
                  <c:v>19264939</c:v>
                </c:pt>
                <c:pt idx="73">
                  <c:v>19381591</c:v>
                </c:pt>
                <c:pt idx="74">
                  <c:v>19573445</c:v>
                </c:pt>
                <c:pt idx="75">
                  <c:v>19976827</c:v>
                </c:pt>
                <c:pt idx="76">
                  <c:v>19846420</c:v>
                </c:pt>
                <c:pt idx="77">
                  <c:v>19844554</c:v>
                </c:pt>
                <c:pt idx="78">
                  <c:v>20244900</c:v>
                </c:pt>
                <c:pt idx="79">
                  <c:v>20492747</c:v>
                </c:pt>
                <c:pt idx="80">
                  <c:v>21089643</c:v>
                </c:pt>
                <c:pt idx="81">
                  <c:v>21195070</c:v>
                </c:pt>
                <c:pt idx="82">
                  <c:v>21516058</c:v>
                </c:pt>
                <c:pt idx="83">
                  <c:v>21974096</c:v>
                </c:pt>
                <c:pt idx="84">
                  <c:v>22027880</c:v>
                </c:pt>
                <c:pt idx="85">
                  <c:v>22023283</c:v>
                </c:pt>
                <c:pt idx="86">
                  <c:v>22719402</c:v>
                </c:pt>
                <c:pt idx="87">
                  <c:v>23201380</c:v>
                </c:pt>
                <c:pt idx="88">
                  <c:v>23223813</c:v>
                </c:pt>
                <c:pt idx="89">
                  <c:v>26477241</c:v>
                </c:pt>
                <c:pt idx="90">
                  <c:v>26945391</c:v>
                </c:pt>
                <c:pt idx="91">
                  <c:v>27747798</c:v>
                </c:pt>
                <c:pt idx="92">
                  <c:v>28132570</c:v>
                </c:pt>
                <c:pt idx="93">
                  <c:v>28529436</c:v>
                </c:pt>
                <c:pt idx="94">
                  <c:v>28428919</c:v>
                </c:pt>
                <c:pt idx="95">
                  <c:v>29617215</c:v>
                </c:pt>
                <c:pt idx="96">
                  <c:v>30400960</c:v>
                </c:pt>
                <c:pt idx="97">
                  <c:v>30568582</c:v>
                </c:pt>
                <c:pt idx="98">
                  <c:v>30928912</c:v>
                </c:pt>
                <c:pt idx="99">
                  <c:v>31419689</c:v>
                </c:pt>
                <c:pt idx="100">
                  <c:v>31458438</c:v>
                </c:pt>
                <c:pt idx="101">
                  <c:v>32332274</c:v>
                </c:pt>
                <c:pt idx="102">
                  <c:v>33167334</c:v>
                </c:pt>
                <c:pt idx="103">
                  <c:v>34001494</c:v>
                </c:pt>
                <c:pt idx="104">
                  <c:v>34586533</c:v>
                </c:pt>
                <c:pt idx="105">
                  <c:v>34831634</c:v>
                </c:pt>
                <c:pt idx="106">
                  <c:v>35464674</c:v>
                </c:pt>
                <c:pt idx="107">
                  <c:v>36218605</c:v>
                </c:pt>
                <c:pt idx="108">
                  <c:v>36214309.520796403</c:v>
                </c:pt>
                <c:pt idx="109">
                  <c:v>36211469</c:v>
                </c:pt>
                <c:pt idx="110">
                  <c:v>37637552.5955576</c:v>
                </c:pt>
                <c:pt idx="111">
                  <c:v>38514009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D7-404C-856D-22B988A1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876462"/>
        <c:axId val="1914930"/>
      </c:lineChart>
      <c:catAx>
        <c:axId val="62876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4930"/>
        <c:crosses val="autoZero"/>
        <c:auto val="1"/>
        <c:lblAlgn val="ctr"/>
        <c:lblOffset val="100"/>
        <c:noMultiLvlLbl val="0"/>
      </c:catAx>
      <c:valAx>
        <c:axId val="1914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76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Check of Debt</a:t>
            </a:r>
            <a:r>
              <a:rPr lang="en-US" baseline="0"/>
              <a:t> Accumulation Equation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UScalc_nsa!$S$1:$S$2</c:f>
              <c:strCache>
                <c:ptCount val="2"/>
                <c:pt idx="0">
                  <c:v>DEBTcheck Static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UScalc_nsa!$S$3:$S$190</c:f>
              <c:numCache>
                <c:formatCode>0.000</c:formatCode>
                <c:ptCount val="188"/>
                <c:pt idx="0">
                  <c:v>60.556453387404872</c:v>
                </c:pt>
                <c:pt idx="1">
                  <c:v>59.204786227731567</c:v>
                </c:pt>
                <c:pt idx="2">
                  <c:v>61.614476856148087</c:v>
                </c:pt>
                <c:pt idx="3">
                  <c:v>59.022023746222395</c:v>
                </c:pt>
                <c:pt idx="4">
                  <c:v>58.344600783612151</c:v>
                </c:pt>
                <c:pt idx="5">
                  <c:v>57.192915715446759</c:v>
                </c:pt>
                <c:pt idx="6">
                  <c:v>58.938818045058753</c:v>
                </c:pt>
                <c:pt idx="7">
                  <c:v>55.326482349433647</c:v>
                </c:pt>
                <c:pt idx="8">
                  <c:v>55.02656785859336</c:v>
                </c:pt>
                <c:pt idx="9">
                  <c:v>53.303766028175552</c:v>
                </c:pt>
                <c:pt idx="10">
                  <c:v>56.329434518327503</c:v>
                </c:pt>
                <c:pt idx="11">
                  <c:v>53.896249708723097</c:v>
                </c:pt>
                <c:pt idx="12">
                  <c:v>54.759169424364657</c:v>
                </c:pt>
                <c:pt idx="13">
                  <c:v>54.794097093536742</c:v>
                </c:pt>
                <c:pt idx="14">
                  <c:v>57.067278218887104</c:v>
                </c:pt>
                <c:pt idx="15">
                  <c:v>56.27135043106837</c:v>
                </c:pt>
                <c:pt idx="16">
                  <c:v>56.590221275008972</c:v>
                </c:pt>
                <c:pt idx="17">
                  <c:v>56.693974126681688</c:v>
                </c:pt>
                <c:pt idx="18">
                  <c:v>58.868461738637933</c:v>
                </c:pt>
                <c:pt idx="19">
                  <c:v>58.893925047317367</c:v>
                </c:pt>
                <c:pt idx="20">
                  <c:v>58.742147732606377</c:v>
                </c:pt>
                <c:pt idx="21">
                  <c:v>58.425446976171173</c:v>
                </c:pt>
                <c:pt idx="22">
                  <c:v>60.957593546061986</c:v>
                </c:pt>
                <c:pt idx="23">
                  <c:v>59.972040169028617</c:v>
                </c:pt>
                <c:pt idx="24">
                  <c:v>60.096115631295426</c:v>
                </c:pt>
                <c:pt idx="25">
                  <c:v>59.52118008312749</c:v>
                </c:pt>
                <c:pt idx="26">
                  <c:v>62.488883367846995</c:v>
                </c:pt>
                <c:pt idx="27">
                  <c:v>60.61550390139265</c:v>
                </c:pt>
                <c:pt idx="28">
                  <c:v>59.979037947333865</c:v>
                </c:pt>
                <c:pt idx="29">
                  <c:v>60.26503621472682</c:v>
                </c:pt>
                <c:pt idx="30">
                  <c:v>62.784938255752763</c:v>
                </c:pt>
                <c:pt idx="31">
                  <c:v>60.821051202112685</c:v>
                </c:pt>
                <c:pt idx="32">
                  <c:v>61.401021568302518</c:v>
                </c:pt>
                <c:pt idx="33">
                  <c:v>60.997185488216466</c:v>
                </c:pt>
                <c:pt idx="34">
                  <c:v>63.538553638333774</c:v>
                </c:pt>
                <c:pt idx="35">
                  <c:v>61.34453891964376</c:v>
                </c:pt>
                <c:pt idx="36">
                  <c:v>61.899878586902169</c:v>
                </c:pt>
                <c:pt idx="37">
                  <c:v>61.686553397409327</c:v>
                </c:pt>
                <c:pt idx="38">
                  <c:v>64.508732361864858</c:v>
                </c:pt>
                <c:pt idx="39">
                  <c:v>63.861864157046803</c:v>
                </c:pt>
                <c:pt idx="40">
                  <c:v>67.767926240514925</c:v>
                </c:pt>
                <c:pt idx="41">
                  <c:v>72.328038644155797</c:v>
                </c:pt>
                <c:pt idx="42">
                  <c:v>78.979069974109322</c:v>
                </c:pt>
                <c:pt idx="43">
                  <c:v>80.219864591816034</c:v>
                </c:pt>
                <c:pt idx="44">
                  <c:v>82.17745950821427</c:v>
                </c:pt>
                <c:pt idx="45">
                  <c:v>82.411062034338158</c:v>
                </c:pt>
                <c:pt idx="46">
                  <c:v>88.642704705561655</c:v>
                </c:pt>
                <c:pt idx="47">
                  <c:v>87.886093780373173</c:v>
                </c:pt>
                <c:pt idx="48">
                  <c:v>89.365428466522417</c:v>
                </c:pt>
                <c:pt idx="49">
                  <c:v>89.967163290624441</c:v>
                </c:pt>
                <c:pt idx="50">
                  <c:v>94.759225835926415</c:v>
                </c:pt>
                <c:pt idx="51">
                  <c:v>92.107525299073103</c:v>
                </c:pt>
                <c:pt idx="52">
                  <c:v>94.144032093020058</c:v>
                </c:pt>
                <c:pt idx="53">
                  <c:v>94.804732495525982</c:v>
                </c:pt>
                <c:pt idx="54">
                  <c:v>98.519553897863744</c:v>
                </c:pt>
                <c:pt idx="55">
                  <c:v>97.939156174754416</c:v>
                </c:pt>
                <c:pt idx="56">
                  <c:v>98.292215098770384</c:v>
                </c:pt>
                <c:pt idx="57">
                  <c:v>98.749615703664318</c:v>
                </c:pt>
                <c:pt idx="58">
                  <c:v>102.90875218103184</c:v>
                </c:pt>
                <c:pt idx="59">
                  <c:v>100.00803012443825</c:v>
                </c:pt>
                <c:pt idx="60">
                  <c:v>98.242500593979827</c:v>
                </c:pt>
                <c:pt idx="61">
                  <c:v>98.311270945725411</c:v>
                </c:pt>
                <c:pt idx="62">
                  <c:v>104.2662972263781</c:v>
                </c:pt>
                <c:pt idx="63">
                  <c:v>100.71566668829571</c:v>
                </c:pt>
                <c:pt idx="64">
                  <c:v>99.788012900729228</c:v>
                </c:pt>
                <c:pt idx="65">
                  <c:v>99.775473554784242</c:v>
                </c:pt>
                <c:pt idx="66">
                  <c:v>102.86933843522571</c:v>
                </c:pt>
                <c:pt idx="67">
                  <c:v>99.072164408288273</c:v>
                </c:pt>
                <c:pt idx="68">
                  <c:v>98.092402815626286</c:v>
                </c:pt>
                <c:pt idx="69">
                  <c:v>101.14078694292384</c:v>
                </c:pt>
                <c:pt idx="70">
                  <c:v>106.51093187657541</c:v>
                </c:pt>
                <c:pt idx="71">
                  <c:v>103.30719524054103</c:v>
                </c:pt>
                <c:pt idx="72">
                  <c:v>103.0905988441138</c:v>
                </c:pt>
                <c:pt idx="73">
                  <c:v>103.1757936139844</c:v>
                </c:pt>
                <c:pt idx="74">
                  <c:v>106.13730837289377</c:v>
                </c:pt>
                <c:pt idx="75">
                  <c:v>101.46145615314546</c:v>
                </c:pt>
                <c:pt idx="76">
                  <c:v>102.07737689947047</c:v>
                </c:pt>
                <c:pt idx="77">
                  <c:v>100.66198611060625</c:v>
                </c:pt>
                <c:pt idx="78">
                  <c:v>106.24702261482733</c:v>
                </c:pt>
                <c:pt idx="79">
                  <c:v>102.65863431095481</c:v>
                </c:pt>
                <c:pt idx="80">
                  <c:v>103.01414674008697</c:v>
                </c:pt>
                <c:pt idx="81">
                  <c:v>103.43788481888328</c:v>
                </c:pt>
                <c:pt idx="82">
                  <c:v>107.10142523270427</c:v>
                </c:pt>
                <c:pt idx="83">
                  <c:v>102.414668095732</c:v>
                </c:pt>
                <c:pt idx="84">
                  <c:v>104.25122158850006</c:v>
                </c:pt>
                <c:pt idx="85">
                  <c:v>104.07174422839879</c:v>
                </c:pt>
                <c:pt idx="86">
                  <c:v>109.29752245031735</c:v>
                </c:pt>
                <c:pt idx="87">
                  <c:v>131.79145651503893</c:v>
                </c:pt>
                <c:pt idx="88">
                  <c:v>124.23191717611232</c:v>
                </c:pt>
                <c:pt idx="89">
                  <c:v>123.40443415977727</c:v>
                </c:pt>
                <c:pt idx="90">
                  <c:v>127.19149047755974</c:v>
                </c:pt>
                <c:pt idx="91">
                  <c:v>121.24220770743409</c:v>
                </c:pt>
                <c:pt idx="92">
                  <c:v>118.27537134387067</c:v>
                </c:pt>
                <c:pt idx="93">
                  <c:v>117.43945153394628</c:v>
                </c:pt>
                <c:pt idx="94">
                  <c:v>123.43712822844893</c:v>
                </c:pt>
                <c:pt idx="95">
                  <c:v>117.79753175555673</c:v>
                </c:pt>
                <c:pt idx="96">
                  <c:v>116.72045128966862</c:v>
                </c:pt>
                <c:pt idx="97">
                  <c:v>115.62560030594349</c:v>
                </c:pt>
                <c:pt idx="98">
                  <c:v>118.03154577825296</c:v>
                </c:pt>
                <c:pt idx="99">
                  <c:v>116.89542525249516</c:v>
                </c:pt>
                <c:pt idx="100">
                  <c:v>117.66932156427275</c:v>
                </c:pt>
                <c:pt idx="101">
                  <c:v>118.26685590387248</c:v>
                </c:pt>
                <c:pt idx="102">
                  <c:v>123.01065886262026</c:v>
                </c:pt>
                <c:pt idx="103">
                  <c:v>119.09407272364223</c:v>
                </c:pt>
                <c:pt idx="104">
                  <c:v>119.86258784708927</c:v>
                </c:pt>
                <c:pt idx="105">
                  <c:v>119.86404801842072</c:v>
                </c:pt>
                <c:pt idx="106">
                  <c:v>123.1100706290873</c:v>
                </c:pt>
                <c:pt idx="107">
                  <c:v>118.47959707708524</c:v>
                </c:pt>
                <c:pt idx="108">
                  <c:v>120.68458064946893</c:v>
                </c:pt>
                <c:pt idx="109">
                  <c:v>120.78277720917275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E-47B8-94F8-D137F0CC8CD0}"/>
            </c:ext>
          </c:extLst>
        </c:ser>
        <c:ser>
          <c:idx val="1"/>
          <c:order val="1"/>
          <c:tx>
            <c:strRef>
              <c:f>UScalc_nsa!$U$1:$U$2</c:f>
              <c:strCache>
                <c:ptCount val="2"/>
                <c:pt idx="0">
                  <c:v>DEBTcheck Dynamic</c:v>
                </c:pt>
                <c:pt idx="1">
                  <c:v>GDP(t)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UScalc_nsa!$U$3:$U$190</c:f>
              <c:numCache>
                <c:formatCode>General</c:formatCode>
                <c:ptCount val="188"/>
                <c:pt idx="1">
                  <c:v>59.2055795018304</c:v>
                </c:pt>
                <c:pt idx="2">
                  <c:v>61.59660058040393</c:v>
                </c:pt>
                <c:pt idx="3">
                  <c:v>59.046715296327854</c:v>
                </c:pt>
                <c:pt idx="4">
                  <c:v>58.37984824065358</c:v>
                </c:pt>
                <c:pt idx="5">
                  <c:v>57.214743951080827</c:v>
                </c:pt>
                <c:pt idx="6">
                  <c:v>58.93273440876424</c:v>
                </c:pt>
                <c:pt idx="7">
                  <c:v>55.400821788267145</c:v>
                </c:pt>
                <c:pt idx="8">
                  <c:v>55.105064465463798</c:v>
                </c:pt>
                <c:pt idx="9">
                  <c:v>53.408763981887041</c:v>
                </c:pt>
                <c:pt idx="10">
                  <c:v>56.448829701834839</c:v>
                </c:pt>
                <c:pt idx="11">
                  <c:v>54.056555204264555</c:v>
                </c:pt>
                <c:pt idx="12">
                  <c:v>54.922052236860743</c:v>
                </c:pt>
                <c:pt idx="13">
                  <c:v>54.943937427805849</c:v>
                </c:pt>
                <c:pt idx="14">
                  <c:v>57.219719256155571</c:v>
                </c:pt>
                <c:pt idx="15">
                  <c:v>56.406801785969648</c:v>
                </c:pt>
                <c:pt idx="16">
                  <c:v>56.723242130744687</c:v>
                </c:pt>
                <c:pt idx="17">
                  <c:v>56.801472677328775</c:v>
                </c:pt>
                <c:pt idx="18">
                  <c:v>58.9756486827673</c:v>
                </c:pt>
                <c:pt idx="19">
                  <c:v>58.961565440127309</c:v>
                </c:pt>
                <c:pt idx="20">
                  <c:v>58.802507542234402</c:v>
                </c:pt>
                <c:pt idx="21">
                  <c:v>58.441976211410953</c:v>
                </c:pt>
                <c:pt idx="22">
                  <c:v>60.986658849677831</c:v>
                </c:pt>
                <c:pt idx="23">
                  <c:v>59.980337059828123</c:v>
                </c:pt>
                <c:pt idx="24">
                  <c:v>60.101659336305957</c:v>
                </c:pt>
                <c:pt idx="25">
                  <c:v>59.485768931429874</c:v>
                </c:pt>
                <c:pt idx="26">
                  <c:v>62.472310702626991</c:v>
                </c:pt>
                <c:pt idx="27">
                  <c:v>60.606983486934936</c:v>
                </c:pt>
                <c:pt idx="28">
                  <c:v>59.96910108876984</c:v>
                </c:pt>
                <c:pt idx="29">
                  <c:v>60.228369123975448</c:v>
                </c:pt>
                <c:pt idx="30">
                  <c:v>62.761281281029817</c:v>
                </c:pt>
                <c:pt idx="31">
                  <c:v>60.80947125547894</c:v>
                </c:pt>
                <c:pt idx="32">
                  <c:v>61.38936163133787</c:v>
                </c:pt>
                <c:pt idx="33">
                  <c:v>60.971506160578834</c:v>
                </c:pt>
                <c:pt idx="34">
                  <c:v>63.523001591524888</c:v>
                </c:pt>
                <c:pt idx="35">
                  <c:v>61.350578078919426</c:v>
                </c:pt>
                <c:pt idx="36">
                  <c:v>61.904288371614555</c:v>
                </c:pt>
                <c:pt idx="37">
                  <c:v>61.669297081879918</c:v>
                </c:pt>
                <c:pt idx="38">
                  <c:v>64.507547872813845</c:v>
                </c:pt>
                <c:pt idx="39">
                  <c:v>63.865194823084373</c:v>
                </c:pt>
                <c:pt idx="40">
                  <c:v>67.785413767515593</c:v>
                </c:pt>
                <c:pt idx="41">
                  <c:v>72.345502117469593</c:v>
                </c:pt>
                <c:pt idx="42">
                  <c:v>79.117139289465925</c:v>
                </c:pt>
                <c:pt idx="43">
                  <c:v>80.307681839585243</c:v>
                </c:pt>
                <c:pt idx="44">
                  <c:v>82.252038693957758</c:v>
                </c:pt>
                <c:pt idx="45">
                  <c:v>82.421367000618815</c:v>
                </c:pt>
                <c:pt idx="46">
                  <c:v>88.748216589579755</c:v>
                </c:pt>
                <c:pt idx="47">
                  <c:v>87.897376543948241</c:v>
                </c:pt>
                <c:pt idx="48">
                  <c:v>89.359125643329051</c:v>
                </c:pt>
                <c:pt idx="49">
                  <c:v>89.89905400077842</c:v>
                </c:pt>
                <c:pt idx="50">
                  <c:v>94.721430635981662</c:v>
                </c:pt>
                <c:pt idx="51">
                  <c:v>92.077738654136411</c:v>
                </c:pt>
                <c:pt idx="52">
                  <c:v>94.095294915165496</c:v>
                </c:pt>
                <c:pt idx="53">
                  <c:v>94.713080841057291</c:v>
                </c:pt>
                <c:pt idx="54">
                  <c:v>98.449810691835467</c:v>
                </c:pt>
                <c:pt idx="55">
                  <c:v>97.851553785703587</c:v>
                </c:pt>
                <c:pt idx="56">
                  <c:v>98.198661145144754</c:v>
                </c:pt>
                <c:pt idx="57">
                  <c:v>98.629145881524877</c:v>
                </c:pt>
                <c:pt idx="58">
                  <c:v>102.8154786904243</c:v>
                </c:pt>
                <c:pt idx="59">
                  <c:v>99.938022263806218</c:v>
                </c:pt>
                <c:pt idx="60">
                  <c:v>98.184104823949625</c:v>
                </c:pt>
                <c:pt idx="61">
                  <c:v>98.211604734479963</c:v>
                </c:pt>
                <c:pt idx="62">
                  <c:v>104.23002419814595</c:v>
                </c:pt>
                <c:pt idx="63">
                  <c:v>100.69653860652333</c:v>
                </c:pt>
                <c:pt idx="64">
                  <c:v>99.760150768034734</c:v>
                </c:pt>
                <c:pt idx="65">
                  <c:v>99.72789428435344</c:v>
                </c:pt>
                <c:pt idx="66">
                  <c:v>102.8033845312181</c:v>
                </c:pt>
                <c:pt idx="67">
                  <c:v>99.02973204318819</c:v>
                </c:pt>
                <c:pt idx="68">
                  <c:v>98.055886045861897</c:v>
                </c:pt>
                <c:pt idx="69">
                  <c:v>101.06559953813834</c:v>
                </c:pt>
                <c:pt idx="70">
                  <c:v>106.47662280735339</c:v>
                </c:pt>
                <c:pt idx="71">
                  <c:v>103.27328655832459</c:v>
                </c:pt>
                <c:pt idx="72">
                  <c:v>103.05204844486792</c:v>
                </c:pt>
                <c:pt idx="73">
                  <c:v>103.10890359296218</c:v>
                </c:pt>
                <c:pt idx="74">
                  <c:v>106.02107291855826</c:v>
                </c:pt>
                <c:pt idx="75">
                  <c:v>101.37657104332112</c:v>
                </c:pt>
                <c:pt idx="76">
                  <c:v>101.97364115130375</c:v>
                </c:pt>
                <c:pt idx="77">
                  <c:v>100.54453829394303</c:v>
                </c:pt>
                <c:pt idx="78">
                  <c:v>106.18645914467633</c:v>
                </c:pt>
                <c:pt idx="79">
                  <c:v>102.60518226281651</c:v>
                </c:pt>
                <c:pt idx="80">
                  <c:v>102.95088285489578</c:v>
                </c:pt>
                <c:pt idx="81">
                  <c:v>103.35031795698718</c:v>
                </c:pt>
                <c:pt idx="82">
                  <c:v>106.99580657396534</c:v>
                </c:pt>
                <c:pt idx="83">
                  <c:v>102.3436060737248</c:v>
                </c:pt>
                <c:pt idx="84">
                  <c:v>104.14708992289981</c:v>
                </c:pt>
                <c:pt idx="85">
                  <c:v>103.93497386170881</c:v>
                </c:pt>
                <c:pt idx="86">
                  <c:v>109.12687901676424</c:v>
                </c:pt>
                <c:pt idx="87">
                  <c:v>132.50647775604907</c:v>
                </c:pt>
                <c:pt idx="88">
                  <c:v>124.78141297867255</c:v>
                </c:pt>
                <c:pt idx="89">
                  <c:v>123.83107754884476</c:v>
                </c:pt>
                <c:pt idx="90">
                  <c:v>127.64615469242035</c:v>
                </c:pt>
                <c:pt idx="91">
                  <c:v>121.60621220626231</c:v>
                </c:pt>
                <c:pt idx="92">
                  <c:v>118.65520504970161</c:v>
                </c:pt>
                <c:pt idx="93">
                  <c:v>117.61087332725542</c:v>
                </c:pt>
                <c:pt idx="94">
                  <c:v>123.67439228894719</c:v>
                </c:pt>
                <c:pt idx="95">
                  <c:v>118.02468205440101</c:v>
                </c:pt>
                <c:pt idx="96">
                  <c:v>116.93081846572561</c:v>
                </c:pt>
                <c:pt idx="97">
                  <c:v>115.80603707095776</c:v>
                </c:pt>
                <c:pt idx="98">
                  <c:v>118.20381895793206</c:v>
                </c:pt>
                <c:pt idx="99">
                  <c:v>116.97704501021752</c:v>
                </c:pt>
                <c:pt idx="100">
                  <c:v>117.7105989936891</c:v>
                </c:pt>
                <c:pt idx="101">
                  <c:v>118.26839258764507</c:v>
                </c:pt>
                <c:pt idx="102">
                  <c:v>123.03764913603939</c:v>
                </c:pt>
                <c:pt idx="103">
                  <c:v>119.12429584787415</c:v>
                </c:pt>
                <c:pt idx="104">
                  <c:v>119.87922733783387</c:v>
                </c:pt>
                <c:pt idx="105">
                  <c:v>119.84845664730626</c:v>
                </c:pt>
                <c:pt idx="106">
                  <c:v>123.06707860662046</c:v>
                </c:pt>
                <c:pt idx="107">
                  <c:v>118.47388051627966</c:v>
                </c:pt>
                <c:pt idx="108">
                  <c:v>120.60675963487724</c:v>
                </c:pt>
                <c:pt idx="109">
                  <c:v>120.66681560764357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E-47B8-94F8-D137F0CC8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019680"/>
        <c:axId val="784033120"/>
      </c:lineChart>
      <c:catAx>
        <c:axId val="7840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33120"/>
        <c:crosses val="autoZero"/>
        <c:auto val="1"/>
        <c:lblAlgn val="ctr"/>
        <c:lblOffset val="100"/>
        <c:noMultiLvlLbl val="0"/>
      </c:catAx>
      <c:valAx>
        <c:axId val="7840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Static </a:t>
            </a:r>
            <a:r>
              <a:rPr lang="en-US" baseline="0"/>
              <a:t>Check of Debt Accumulation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UScalc_nsa!$O$1</c:f>
              <c:strCache>
                <c:ptCount val="1"/>
                <c:pt idx="0">
                  <c:v>DEBTG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UScalc_nsa!$O$2:$O$190</c:f>
              <c:numCache>
                <c:formatCode>0.000</c:formatCode>
                <c:ptCount val="189"/>
                <c:pt idx="0">
                  <c:v>61.646242868597291</c:v>
                </c:pt>
                <c:pt idx="1">
                  <c:v>60.556453387404872</c:v>
                </c:pt>
                <c:pt idx="2">
                  <c:v>59.204786227731574</c:v>
                </c:pt>
                <c:pt idx="3">
                  <c:v>61.614476856148087</c:v>
                </c:pt>
                <c:pt idx="4">
                  <c:v>59.022023746222402</c:v>
                </c:pt>
                <c:pt idx="5">
                  <c:v>58.344600783612144</c:v>
                </c:pt>
                <c:pt idx="6">
                  <c:v>57.192915715446752</c:v>
                </c:pt>
                <c:pt idx="7">
                  <c:v>58.938818045058746</c:v>
                </c:pt>
                <c:pt idx="8">
                  <c:v>55.326482349433654</c:v>
                </c:pt>
                <c:pt idx="9">
                  <c:v>55.02656785859336</c:v>
                </c:pt>
                <c:pt idx="10">
                  <c:v>53.303766028175545</c:v>
                </c:pt>
                <c:pt idx="11">
                  <c:v>56.329434518327503</c:v>
                </c:pt>
                <c:pt idx="12">
                  <c:v>53.896249708723097</c:v>
                </c:pt>
                <c:pt idx="13">
                  <c:v>54.75916942436465</c:v>
                </c:pt>
                <c:pt idx="14">
                  <c:v>54.794097093536749</c:v>
                </c:pt>
                <c:pt idx="15">
                  <c:v>57.067278218887097</c:v>
                </c:pt>
                <c:pt idx="16">
                  <c:v>56.27135043106837</c:v>
                </c:pt>
                <c:pt idx="17">
                  <c:v>56.590221275008965</c:v>
                </c:pt>
                <c:pt idx="18">
                  <c:v>56.693974126681688</c:v>
                </c:pt>
                <c:pt idx="19">
                  <c:v>58.868461738637926</c:v>
                </c:pt>
                <c:pt idx="20">
                  <c:v>58.893925047317367</c:v>
                </c:pt>
                <c:pt idx="21">
                  <c:v>58.742147732606369</c:v>
                </c:pt>
                <c:pt idx="22">
                  <c:v>58.42544697617118</c:v>
                </c:pt>
                <c:pt idx="23">
                  <c:v>60.957593546061993</c:v>
                </c:pt>
                <c:pt idx="24">
                  <c:v>59.97204016902861</c:v>
                </c:pt>
                <c:pt idx="25">
                  <c:v>60.096115631295426</c:v>
                </c:pt>
                <c:pt idx="26">
                  <c:v>59.52118008312749</c:v>
                </c:pt>
                <c:pt idx="27">
                  <c:v>62.488883367846988</c:v>
                </c:pt>
                <c:pt idx="28">
                  <c:v>60.615503901392643</c:v>
                </c:pt>
                <c:pt idx="29">
                  <c:v>59.979037947333865</c:v>
                </c:pt>
                <c:pt idx="30">
                  <c:v>60.26503621472682</c:v>
                </c:pt>
                <c:pt idx="31">
                  <c:v>62.784938255752763</c:v>
                </c:pt>
                <c:pt idx="32">
                  <c:v>60.821051202112692</c:v>
                </c:pt>
                <c:pt idx="33">
                  <c:v>61.401021568302511</c:v>
                </c:pt>
                <c:pt idx="34">
                  <c:v>60.997185488216466</c:v>
                </c:pt>
                <c:pt idx="35">
                  <c:v>63.538553638333767</c:v>
                </c:pt>
                <c:pt idx="36">
                  <c:v>61.344538919643753</c:v>
                </c:pt>
                <c:pt idx="37">
                  <c:v>61.899878586902176</c:v>
                </c:pt>
                <c:pt idx="38">
                  <c:v>61.686553397409334</c:v>
                </c:pt>
                <c:pt idx="39">
                  <c:v>64.508732361864858</c:v>
                </c:pt>
                <c:pt idx="40">
                  <c:v>63.861864157046803</c:v>
                </c:pt>
                <c:pt idx="41">
                  <c:v>67.767926240514939</c:v>
                </c:pt>
                <c:pt idx="42">
                  <c:v>72.328038644155782</c:v>
                </c:pt>
                <c:pt idx="43">
                  <c:v>78.979069974109322</c:v>
                </c:pt>
                <c:pt idx="44">
                  <c:v>80.219864591816034</c:v>
                </c:pt>
                <c:pt idx="45">
                  <c:v>82.17745950821427</c:v>
                </c:pt>
                <c:pt idx="46">
                  <c:v>82.411062034338158</c:v>
                </c:pt>
                <c:pt idx="47">
                  <c:v>88.642704705561655</c:v>
                </c:pt>
                <c:pt idx="48">
                  <c:v>87.886093780373173</c:v>
                </c:pt>
                <c:pt idx="49">
                  <c:v>89.365428466522417</c:v>
                </c:pt>
                <c:pt idx="50">
                  <c:v>89.967163290624441</c:v>
                </c:pt>
                <c:pt idx="51">
                  <c:v>94.759225835926415</c:v>
                </c:pt>
                <c:pt idx="52">
                  <c:v>92.107525299073117</c:v>
                </c:pt>
                <c:pt idx="53">
                  <c:v>94.144032093020058</c:v>
                </c:pt>
                <c:pt idx="54">
                  <c:v>94.804732495525982</c:v>
                </c:pt>
                <c:pt idx="55">
                  <c:v>98.519553897863744</c:v>
                </c:pt>
                <c:pt idx="56">
                  <c:v>97.93915617475443</c:v>
                </c:pt>
                <c:pt idx="57">
                  <c:v>98.292215098770399</c:v>
                </c:pt>
                <c:pt idx="58">
                  <c:v>98.749615703664318</c:v>
                </c:pt>
                <c:pt idx="59">
                  <c:v>102.90875218103184</c:v>
                </c:pt>
                <c:pt idx="60">
                  <c:v>100.00803012443825</c:v>
                </c:pt>
                <c:pt idx="61">
                  <c:v>98.242500593979813</c:v>
                </c:pt>
                <c:pt idx="62">
                  <c:v>98.311270945725397</c:v>
                </c:pt>
                <c:pt idx="63">
                  <c:v>104.2662972263781</c:v>
                </c:pt>
                <c:pt idx="64">
                  <c:v>100.71566668829573</c:v>
                </c:pt>
                <c:pt idx="65">
                  <c:v>99.788012900729242</c:v>
                </c:pt>
                <c:pt idx="66">
                  <c:v>99.775473554784256</c:v>
                </c:pt>
                <c:pt idx="67">
                  <c:v>102.86933843522573</c:v>
                </c:pt>
                <c:pt idx="68">
                  <c:v>99.072164408288273</c:v>
                </c:pt>
                <c:pt idx="69">
                  <c:v>98.092402815626286</c:v>
                </c:pt>
                <c:pt idx="70">
                  <c:v>101.14078694292382</c:v>
                </c:pt>
                <c:pt idx="71">
                  <c:v>106.51093187657541</c:v>
                </c:pt>
                <c:pt idx="72">
                  <c:v>103.30719524054102</c:v>
                </c:pt>
                <c:pt idx="73">
                  <c:v>103.09059884411379</c:v>
                </c:pt>
                <c:pt idx="74">
                  <c:v>103.1757936139844</c:v>
                </c:pt>
                <c:pt idx="75">
                  <c:v>106.13730837289377</c:v>
                </c:pt>
                <c:pt idx="76">
                  <c:v>101.46145615314546</c:v>
                </c:pt>
                <c:pt idx="77">
                  <c:v>102.07737689947045</c:v>
                </c:pt>
                <c:pt idx="78">
                  <c:v>100.66198611060626</c:v>
                </c:pt>
                <c:pt idx="79">
                  <c:v>106.24702261482732</c:v>
                </c:pt>
                <c:pt idx="80">
                  <c:v>102.65863431095481</c:v>
                </c:pt>
                <c:pt idx="81">
                  <c:v>103.01414674008694</c:v>
                </c:pt>
                <c:pt idx="82">
                  <c:v>103.43788481888329</c:v>
                </c:pt>
                <c:pt idx="83">
                  <c:v>107.10142523270424</c:v>
                </c:pt>
                <c:pt idx="84">
                  <c:v>102.414668095732</c:v>
                </c:pt>
                <c:pt idx="85">
                  <c:v>104.25122158850006</c:v>
                </c:pt>
                <c:pt idx="86">
                  <c:v>104.07174422839877</c:v>
                </c:pt>
                <c:pt idx="87">
                  <c:v>109.29752245031733</c:v>
                </c:pt>
                <c:pt idx="88">
                  <c:v>131.79145651503893</c:v>
                </c:pt>
                <c:pt idx="89">
                  <c:v>124.23191717611233</c:v>
                </c:pt>
                <c:pt idx="90">
                  <c:v>123.40443415977727</c:v>
                </c:pt>
                <c:pt idx="91">
                  <c:v>127.19149047755974</c:v>
                </c:pt>
                <c:pt idx="92">
                  <c:v>121.24220770743409</c:v>
                </c:pt>
                <c:pt idx="93">
                  <c:v>118.27537134387066</c:v>
                </c:pt>
                <c:pt idx="94">
                  <c:v>117.43945153394628</c:v>
                </c:pt>
                <c:pt idx="95">
                  <c:v>123.43712822844893</c:v>
                </c:pt>
                <c:pt idx="96">
                  <c:v>117.79753175555675</c:v>
                </c:pt>
                <c:pt idx="97">
                  <c:v>116.72045128966862</c:v>
                </c:pt>
                <c:pt idx="98">
                  <c:v>115.62560030594351</c:v>
                </c:pt>
                <c:pt idx="99">
                  <c:v>118.03154577825296</c:v>
                </c:pt>
                <c:pt idx="100">
                  <c:v>116.89542525249516</c:v>
                </c:pt>
                <c:pt idx="101">
                  <c:v>117.66932156427276</c:v>
                </c:pt>
                <c:pt idx="102">
                  <c:v>118.26685590387247</c:v>
                </c:pt>
                <c:pt idx="103">
                  <c:v>123.01065886262028</c:v>
                </c:pt>
                <c:pt idx="104">
                  <c:v>119.09407272364223</c:v>
                </c:pt>
                <c:pt idx="105">
                  <c:v>119.86258784708929</c:v>
                </c:pt>
                <c:pt idx="106">
                  <c:v>119.86404801842072</c:v>
                </c:pt>
                <c:pt idx="107">
                  <c:v>123.1100706290873</c:v>
                </c:pt>
                <c:pt idx="108">
                  <c:v>118.47959707708524</c:v>
                </c:pt>
                <c:pt idx="109">
                  <c:v>120.68458064946891</c:v>
                </c:pt>
                <c:pt idx="110">
                  <c:v>120.78277720917274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D-463C-B467-0F6F8AFFC7F1}"/>
            </c:ext>
          </c:extLst>
        </c:ser>
        <c:ser>
          <c:idx val="1"/>
          <c:order val="1"/>
          <c:tx>
            <c:strRef>
              <c:f>UScalc_nsa!$S$1</c:f>
              <c:strCache>
                <c:ptCount val="1"/>
                <c:pt idx="0">
                  <c:v>DEBTcheck Static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UScalc_nsa!$S$2:$S$190</c:f>
              <c:numCache>
                <c:formatCode>0.000</c:formatCode>
                <c:ptCount val="189"/>
                <c:pt idx="1">
                  <c:v>60.556453387404872</c:v>
                </c:pt>
                <c:pt idx="2">
                  <c:v>59.204786227731567</c:v>
                </c:pt>
                <c:pt idx="3">
                  <c:v>61.614476856148087</c:v>
                </c:pt>
                <c:pt idx="4">
                  <c:v>59.022023746222395</c:v>
                </c:pt>
                <c:pt idx="5">
                  <c:v>58.344600783612151</c:v>
                </c:pt>
                <c:pt idx="6">
                  <c:v>57.192915715446759</c:v>
                </c:pt>
                <c:pt idx="7">
                  <c:v>58.938818045058753</c:v>
                </c:pt>
                <c:pt idx="8">
                  <c:v>55.326482349433647</c:v>
                </c:pt>
                <c:pt idx="9">
                  <c:v>55.02656785859336</c:v>
                </c:pt>
                <c:pt idx="10">
                  <c:v>53.303766028175552</c:v>
                </c:pt>
                <c:pt idx="11">
                  <c:v>56.329434518327503</c:v>
                </c:pt>
                <c:pt idx="12">
                  <c:v>53.896249708723097</c:v>
                </c:pt>
                <c:pt idx="13">
                  <c:v>54.759169424364657</c:v>
                </c:pt>
                <c:pt idx="14">
                  <c:v>54.794097093536742</c:v>
                </c:pt>
                <c:pt idx="15">
                  <c:v>57.067278218887104</c:v>
                </c:pt>
                <c:pt idx="16">
                  <c:v>56.27135043106837</c:v>
                </c:pt>
                <c:pt idx="17">
                  <c:v>56.590221275008972</c:v>
                </c:pt>
                <c:pt idx="18">
                  <c:v>56.693974126681688</c:v>
                </c:pt>
                <c:pt idx="19">
                  <c:v>58.868461738637933</c:v>
                </c:pt>
                <c:pt idx="20">
                  <c:v>58.893925047317367</c:v>
                </c:pt>
                <c:pt idx="21">
                  <c:v>58.742147732606377</c:v>
                </c:pt>
                <c:pt idx="22">
                  <c:v>58.425446976171173</c:v>
                </c:pt>
                <c:pt idx="23">
                  <c:v>60.957593546061986</c:v>
                </c:pt>
                <c:pt idx="24">
                  <c:v>59.972040169028617</c:v>
                </c:pt>
                <c:pt idx="25">
                  <c:v>60.096115631295426</c:v>
                </c:pt>
                <c:pt idx="26">
                  <c:v>59.52118008312749</c:v>
                </c:pt>
                <c:pt idx="27">
                  <c:v>62.488883367846995</c:v>
                </c:pt>
                <c:pt idx="28">
                  <c:v>60.61550390139265</c:v>
                </c:pt>
                <c:pt idx="29">
                  <c:v>59.979037947333865</c:v>
                </c:pt>
                <c:pt idx="30">
                  <c:v>60.26503621472682</c:v>
                </c:pt>
                <c:pt idx="31">
                  <c:v>62.784938255752763</c:v>
                </c:pt>
                <c:pt idx="32">
                  <c:v>60.821051202112685</c:v>
                </c:pt>
                <c:pt idx="33">
                  <c:v>61.401021568302518</c:v>
                </c:pt>
                <c:pt idx="34">
                  <c:v>60.997185488216466</c:v>
                </c:pt>
                <c:pt idx="35">
                  <c:v>63.538553638333774</c:v>
                </c:pt>
                <c:pt idx="36">
                  <c:v>61.34453891964376</c:v>
                </c:pt>
                <c:pt idx="37">
                  <c:v>61.899878586902169</c:v>
                </c:pt>
                <c:pt idx="38">
                  <c:v>61.686553397409327</c:v>
                </c:pt>
                <c:pt idx="39">
                  <c:v>64.508732361864858</c:v>
                </c:pt>
                <c:pt idx="40">
                  <c:v>63.861864157046803</c:v>
                </c:pt>
                <c:pt idx="41">
                  <c:v>67.767926240514925</c:v>
                </c:pt>
                <c:pt idx="42">
                  <c:v>72.328038644155797</c:v>
                </c:pt>
                <c:pt idx="43">
                  <c:v>78.979069974109322</c:v>
                </c:pt>
                <c:pt idx="44">
                  <c:v>80.219864591816034</c:v>
                </c:pt>
                <c:pt idx="45">
                  <c:v>82.17745950821427</c:v>
                </c:pt>
                <c:pt idx="46">
                  <c:v>82.411062034338158</c:v>
                </c:pt>
                <c:pt idx="47">
                  <c:v>88.642704705561655</c:v>
                </c:pt>
                <c:pt idx="48">
                  <c:v>87.886093780373173</c:v>
                </c:pt>
                <c:pt idx="49">
                  <c:v>89.365428466522417</c:v>
                </c:pt>
                <c:pt idx="50">
                  <c:v>89.967163290624441</c:v>
                </c:pt>
                <c:pt idx="51">
                  <c:v>94.759225835926415</c:v>
                </c:pt>
                <c:pt idx="52">
                  <c:v>92.107525299073103</c:v>
                </c:pt>
                <c:pt idx="53">
                  <c:v>94.144032093020058</c:v>
                </c:pt>
                <c:pt idx="54">
                  <c:v>94.804732495525982</c:v>
                </c:pt>
                <c:pt idx="55">
                  <c:v>98.519553897863744</c:v>
                </c:pt>
                <c:pt idx="56">
                  <c:v>97.939156174754416</c:v>
                </c:pt>
                <c:pt idx="57">
                  <c:v>98.292215098770384</c:v>
                </c:pt>
                <c:pt idx="58">
                  <c:v>98.749615703664318</c:v>
                </c:pt>
                <c:pt idx="59">
                  <c:v>102.90875218103184</c:v>
                </c:pt>
                <c:pt idx="60">
                  <c:v>100.00803012443825</c:v>
                </c:pt>
                <c:pt idx="61">
                  <c:v>98.242500593979827</c:v>
                </c:pt>
                <c:pt idx="62">
                  <c:v>98.311270945725411</c:v>
                </c:pt>
                <c:pt idx="63">
                  <c:v>104.2662972263781</c:v>
                </c:pt>
                <c:pt idx="64">
                  <c:v>100.71566668829571</c:v>
                </c:pt>
                <c:pt idx="65">
                  <c:v>99.788012900729228</c:v>
                </c:pt>
                <c:pt idx="66">
                  <c:v>99.775473554784242</c:v>
                </c:pt>
                <c:pt idx="67">
                  <c:v>102.86933843522571</c:v>
                </c:pt>
                <c:pt idx="68">
                  <c:v>99.072164408288273</c:v>
                </c:pt>
                <c:pt idx="69">
                  <c:v>98.092402815626286</c:v>
                </c:pt>
                <c:pt idx="70">
                  <c:v>101.14078694292384</c:v>
                </c:pt>
                <c:pt idx="71">
                  <c:v>106.51093187657541</c:v>
                </c:pt>
                <c:pt idx="72">
                  <c:v>103.30719524054103</c:v>
                </c:pt>
                <c:pt idx="73">
                  <c:v>103.0905988441138</c:v>
                </c:pt>
                <c:pt idx="74">
                  <c:v>103.1757936139844</c:v>
                </c:pt>
                <c:pt idx="75">
                  <c:v>106.13730837289377</c:v>
                </c:pt>
                <c:pt idx="76">
                  <c:v>101.46145615314546</c:v>
                </c:pt>
                <c:pt idx="77">
                  <c:v>102.07737689947047</c:v>
                </c:pt>
                <c:pt idx="78">
                  <c:v>100.66198611060625</c:v>
                </c:pt>
                <c:pt idx="79">
                  <c:v>106.24702261482733</c:v>
                </c:pt>
                <c:pt idx="80">
                  <c:v>102.65863431095481</c:v>
                </c:pt>
                <c:pt idx="81">
                  <c:v>103.01414674008697</c:v>
                </c:pt>
                <c:pt idx="82">
                  <c:v>103.43788481888328</c:v>
                </c:pt>
                <c:pt idx="83">
                  <c:v>107.10142523270427</c:v>
                </c:pt>
                <c:pt idx="84">
                  <c:v>102.414668095732</c:v>
                </c:pt>
                <c:pt idx="85">
                  <c:v>104.25122158850006</c:v>
                </c:pt>
                <c:pt idx="86">
                  <c:v>104.07174422839879</c:v>
                </c:pt>
                <c:pt idx="87">
                  <c:v>109.29752245031735</c:v>
                </c:pt>
                <c:pt idx="88">
                  <c:v>131.79145651503893</c:v>
                </c:pt>
                <c:pt idx="89">
                  <c:v>124.23191717611232</c:v>
                </c:pt>
                <c:pt idx="90">
                  <c:v>123.40443415977727</c:v>
                </c:pt>
                <c:pt idx="91">
                  <c:v>127.19149047755974</c:v>
                </c:pt>
                <c:pt idx="92">
                  <c:v>121.24220770743409</c:v>
                </c:pt>
                <c:pt idx="93">
                  <c:v>118.27537134387067</c:v>
                </c:pt>
                <c:pt idx="94">
                  <c:v>117.43945153394628</c:v>
                </c:pt>
                <c:pt idx="95">
                  <c:v>123.43712822844893</c:v>
                </c:pt>
                <c:pt idx="96">
                  <c:v>117.79753175555673</c:v>
                </c:pt>
                <c:pt idx="97">
                  <c:v>116.72045128966862</c:v>
                </c:pt>
                <c:pt idx="98">
                  <c:v>115.62560030594349</c:v>
                </c:pt>
                <c:pt idx="99">
                  <c:v>118.03154577825296</c:v>
                </c:pt>
                <c:pt idx="100">
                  <c:v>116.89542525249516</c:v>
                </c:pt>
                <c:pt idx="101">
                  <c:v>117.66932156427275</c:v>
                </c:pt>
                <c:pt idx="102">
                  <c:v>118.26685590387248</c:v>
                </c:pt>
                <c:pt idx="103">
                  <c:v>123.01065886262026</c:v>
                </c:pt>
                <c:pt idx="104">
                  <c:v>119.09407272364223</c:v>
                </c:pt>
                <c:pt idx="105">
                  <c:v>119.86258784708927</c:v>
                </c:pt>
                <c:pt idx="106">
                  <c:v>119.86404801842072</c:v>
                </c:pt>
                <c:pt idx="107">
                  <c:v>123.1100706290873</c:v>
                </c:pt>
                <c:pt idx="108">
                  <c:v>118.47959707708524</c:v>
                </c:pt>
                <c:pt idx="109">
                  <c:v>120.68458064946893</c:v>
                </c:pt>
                <c:pt idx="110">
                  <c:v>120.78277720917275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5D-463C-B467-0F6F8AFFC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040448"/>
        <c:axId val="1146053888"/>
      </c:lineChart>
      <c:catAx>
        <c:axId val="1146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53888"/>
        <c:crosses val="autoZero"/>
        <c:auto val="1"/>
        <c:lblAlgn val="ctr"/>
        <c:lblOffset val="100"/>
        <c:noMultiLvlLbl val="0"/>
      </c:catAx>
      <c:valAx>
        <c:axId val="11460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Components driving</a:t>
            </a:r>
            <a:r>
              <a:rPr lang="en-US" baseline="0"/>
              <a:t> Government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UScalc_nsa!$M$1</c:f>
              <c:strCache>
                <c:ptCount val="1"/>
                <c:pt idx="0">
                  <c:v>GEXPSHR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UScalc_nsa!$M$2:$M$190</c:f>
              <c:numCache>
                <c:formatCode>General</c:formatCode>
                <c:ptCount val="189"/>
                <c:pt idx="0">
                  <c:v>15.704686591629525</c:v>
                </c:pt>
                <c:pt idx="1">
                  <c:v>15.435592363008684</c:v>
                </c:pt>
                <c:pt idx="2">
                  <c:v>15.612924071900137</c:v>
                </c:pt>
                <c:pt idx="3">
                  <c:v>15.704999616246049</c:v>
                </c:pt>
                <c:pt idx="4">
                  <c:v>15.43152759436984</c:v>
                </c:pt>
                <c:pt idx="5">
                  <c:v>15.283902612920688</c:v>
                </c:pt>
                <c:pt idx="6">
                  <c:v>15.268762862262301</c:v>
                </c:pt>
                <c:pt idx="7">
                  <c:v>15.490107362840011</c:v>
                </c:pt>
                <c:pt idx="8">
                  <c:v>15.204965153471848</c:v>
                </c:pt>
                <c:pt idx="9">
                  <c:v>14.904145850522532</c:v>
                </c:pt>
                <c:pt idx="10">
                  <c:v>15.068104213077394</c:v>
                </c:pt>
                <c:pt idx="11">
                  <c:v>16.031294585574646</c:v>
                </c:pt>
                <c:pt idx="12">
                  <c:v>15.790351403230002</c:v>
                </c:pt>
                <c:pt idx="13">
                  <c:v>15.830632209962713</c:v>
                </c:pt>
                <c:pt idx="14">
                  <c:v>16.08273730830858</c:v>
                </c:pt>
                <c:pt idx="15">
                  <c:v>16.954915380110137</c:v>
                </c:pt>
                <c:pt idx="16">
                  <c:v>16.893486102426223</c:v>
                </c:pt>
                <c:pt idx="17">
                  <c:v>16.70849289995904</c:v>
                </c:pt>
                <c:pt idx="18">
                  <c:v>16.702139636051584</c:v>
                </c:pt>
                <c:pt idx="19">
                  <c:v>17.622152876335679</c:v>
                </c:pt>
                <c:pt idx="20">
                  <c:v>17.829613694646454</c:v>
                </c:pt>
                <c:pt idx="21">
                  <c:v>17.395965575590466</c:v>
                </c:pt>
                <c:pt idx="22">
                  <c:v>17.073108827514304</c:v>
                </c:pt>
                <c:pt idx="23">
                  <c:v>17.850975961857372</c:v>
                </c:pt>
                <c:pt idx="24">
                  <c:v>17.343834195250867</c:v>
                </c:pt>
                <c:pt idx="25">
                  <c:v>17.186437188404817</c:v>
                </c:pt>
                <c:pt idx="26">
                  <c:v>16.924445882036196</c:v>
                </c:pt>
                <c:pt idx="27">
                  <c:v>17.885283105708204</c:v>
                </c:pt>
                <c:pt idx="28">
                  <c:v>17.315475529315595</c:v>
                </c:pt>
                <c:pt idx="29">
                  <c:v>17.070236334970637</c:v>
                </c:pt>
                <c:pt idx="30">
                  <c:v>16.922186355151272</c:v>
                </c:pt>
                <c:pt idx="31">
                  <c:v>17.839080349423057</c:v>
                </c:pt>
                <c:pt idx="32">
                  <c:v>17.295947113398189</c:v>
                </c:pt>
                <c:pt idx="33">
                  <c:v>17.188931816725148</c:v>
                </c:pt>
                <c:pt idx="34">
                  <c:v>16.862391370891824</c:v>
                </c:pt>
                <c:pt idx="35">
                  <c:v>17.755856825060036</c:v>
                </c:pt>
                <c:pt idx="36">
                  <c:v>17.339802461729519</c:v>
                </c:pt>
                <c:pt idx="37">
                  <c:v>17.298548952678029</c:v>
                </c:pt>
                <c:pt idx="38">
                  <c:v>17.265951047361877</c:v>
                </c:pt>
                <c:pt idx="39">
                  <c:v>18.055785297391353</c:v>
                </c:pt>
                <c:pt idx="40">
                  <c:v>20.227835735440351</c:v>
                </c:pt>
                <c:pt idx="41">
                  <c:v>18.919593465113397</c:v>
                </c:pt>
                <c:pt idx="42">
                  <c:v>19.113634151353573</c:v>
                </c:pt>
                <c:pt idx="43">
                  <c:v>20.967702095075207</c:v>
                </c:pt>
                <c:pt idx="44">
                  <c:v>22.232345101875758</c:v>
                </c:pt>
                <c:pt idx="45">
                  <c:v>21.797778982359262</c:v>
                </c:pt>
                <c:pt idx="46">
                  <c:v>21.487504612103983</c:v>
                </c:pt>
                <c:pt idx="47">
                  <c:v>23.148479715568822</c:v>
                </c:pt>
                <c:pt idx="48">
                  <c:v>22.511310470073521</c:v>
                </c:pt>
                <c:pt idx="49">
                  <c:v>22.320049701267862</c:v>
                </c:pt>
                <c:pt idx="50">
                  <c:v>21.990934784588877</c:v>
                </c:pt>
                <c:pt idx="51">
                  <c:v>22.411978214184685</c:v>
                </c:pt>
                <c:pt idx="52">
                  <c:v>22.110038766738899</c:v>
                </c:pt>
                <c:pt idx="53">
                  <c:v>21.333680281231484</c:v>
                </c:pt>
                <c:pt idx="54">
                  <c:v>20.922489866197942</c:v>
                </c:pt>
                <c:pt idx="55">
                  <c:v>21.050315143529755</c:v>
                </c:pt>
                <c:pt idx="56">
                  <c:v>20.734267073371115</c:v>
                </c:pt>
                <c:pt idx="57">
                  <c:v>20.56842470020894</c:v>
                </c:pt>
                <c:pt idx="58">
                  <c:v>20.133257984409887</c:v>
                </c:pt>
                <c:pt idx="59">
                  <c:v>20.51128368741583</c:v>
                </c:pt>
                <c:pt idx="60">
                  <c:v>20.156640004741597</c:v>
                </c:pt>
                <c:pt idx="61">
                  <c:v>19.781476469477891</c:v>
                </c:pt>
                <c:pt idx="62">
                  <c:v>19.076586447304241</c:v>
                </c:pt>
                <c:pt idx="63">
                  <c:v>20.066569389833514</c:v>
                </c:pt>
                <c:pt idx="64">
                  <c:v>19.670820968975704</c:v>
                </c:pt>
                <c:pt idx="65">
                  <c:v>19.614738290407043</c:v>
                </c:pt>
                <c:pt idx="66">
                  <c:v>19.043454864926641</c:v>
                </c:pt>
                <c:pt idx="67">
                  <c:v>20.076460380805791</c:v>
                </c:pt>
                <c:pt idx="68">
                  <c:v>19.425918442510302</c:v>
                </c:pt>
                <c:pt idx="69">
                  <c:v>19.50743401605483</c:v>
                </c:pt>
                <c:pt idx="70">
                  <c:v>19.214258652848677</c:v>
                </c:pt>
                <c:pt idx="71">
                  <c:v>20.085421319105439</c:v>
                </c:pt>
                <c:pt idx="72">
                  <c:v>19.419241618998946</c:v>
                </c:pt>
                <c:pt idx="73">
                  <c:v>19.585578156940215</c:v>
                </c:pt>
                <c:pt idx="74">
                  <c:v>19.108940161549995</c:v>
                </c:pt>
                <c:pt idx="75">
                  <c:v>20.005501952637001</c:v>
                </c:pt>
                <c:pt idx="76">
                  <c:v>19.037429458545123</c:v>
                </c:pt>
                <c:pt idx="77">
                  <c:v>19.061805194763288</c:v>
                </c:pt>
                <c:pt idx="78">
                  <c:v>18.718104644959862</c:v>
                </c:pt>
                <c:pt idx="79">
                  <c:v>19.638167599278415</c:v>
                </c:pt>
                <c:pt idx="80">
                  <c:v>18.954571900136024</c:v>
                </c:pt>
                <c:pt idx="81">
                  <c:v>19.018171922276334</c:v>
                </c:pt>
                <c:pt idx="82">
                  <c:v>18.88400170214689</c:v>
                </c:pt>
                <c:pt idx="83">
                  <c:v>19.86649881452643</c:v>
                </c:pt>
                <c:pt idx="84">
                  <c:v>19.335164679814465</c:v>
                </c:pt>
                <c:pt idx="85">
                  <c:v>19.328942185669707</c:v>
                </c:pt>
                <c:pt idx="86">
                  <c:v>18.963596792627854</c:v>
                </c:pt>
                <c:pt idx="87">
                  <c:v>20.284002655841995</c:v>
                </c:pt>
                <c:pt idx="88">
                  <c:v>41.787302262350465</c:v>
                </c:pt>
                <c:pt idx="89">
                  <c:v>30.669056507666259</c:v>
                </c:pt>
                <c:pt idx="90">
                  <c:v>24.103354500985802</c:v>
                </c:pt>
                <c:pt idx="91">
                  <c:v>35.221961201323069</c:v>
                </c:pt>
                <c:pt idx="92">
                  <c:v>30.745336863663439</c:v>
                </c:pt>
                <c:pt idx="93">
                  <c:v>25.810839078969682</c:v>
                </c:pt>
                <c:pt idx="94">
                  <c:v>22.255972607467598</c:v>
                </c:pt>
                <c:pt idx="95">
                  <c:v>21.74532963575016</c:v>
                </c:pt>
                <c:pt idx="96">
                  <c:v>20.876617681378079</c:v>
                </c:pt>
                <c:pt idx="97">
                  <c:v>20.43844355180789</c:v>
                </c:pt>
                <c:pt idx="98">
                  <c:v>20.217133925799573</c:v>
                </c:pt>
                <c:pt idx="99">
                  <c:v>20.881620112553506</c:v>
                </c:pt>
                <c:pt idx="100">
                  <c:v>20.276390332253232</c:v>
                </c:pt>
                <c:pt idx="101">
                  <c:v>19.849944477753851</c:v>
                </c:pt>
                <c:pt idx="102">
                  <c:v>19.580847287745364</c:v>
                </c:pt>
                <c:pt idx="103">
                  <c:v>20.516052099435864</c:v>
                </c:pt>
                <c:pt idx="104">
                  <c:v>20.020309664254579</c:v>
                </c:pt>
                <c:pt idx="105">
                  <c:v>20.375698396527</c:v>
                </c:pt>
                <c:pt idx="106">
                  <c:v>20.13610885001405</c:v>
                </c:pt>
                <c:pt idx="107">
                  <c:v>20.967450456897836</c:v>
                </c:pt>
                <c:pt idx="108">
                  <c:v>20.799160723404913</c:v>
                </c:pt>
                <c:pt idx="109">
                  <c:v>20.526280551793981</c:v>
                </c:pt>
                <c:pt idx="110">
                  <c:v>19.896607407832985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C-47C4-B09B-87B5287A2C70}"/>
            </c:ext>
          </c:extLst>
        </c:ser>
        <c:ser>
          <c:idx val="1"/>
          <c:order val="1"/>
          <c:tx>
            <c:strRef>
              <c:f>UScalc_nsa!$N$1</c:f>
              <c:strCache>
                <c:ptCount val="1"/>
                <c:pt idx="0">
                  <c:v>TAXSHR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UScalc_nsa!$N$2:$N$190</c:f>
              <c:numCache>
                <c:formatCode>General</c:formatCode>
                <c:ptCount val="189"/>
                <c:pt idx="0">
                  <c:v>20.261495136690034</c:v>
                </c:pt>
                <c:pt idx="1">
                  <c:v>20.000552287126187</c:v>
                </c:pt>
                <c:pt idx="2">
                  <c:v>19.002630894044191</c:v>
                </c:pt>
                <c:pt idx="3">
                  <c:v>19.69285729237167</c:v>
                </c:pt>
                <c:pt idx="4">
                  <c:v>20.380318050997687</c:v>
                </c:pt>
                <c:pt idx="5">
                  <c:v>19.951783427296373</c:v>
                </c:pt>
                <c:pt idx="6">
                  <c:v>19.171088089960978</c:v>
                </c:pt>
                <c:pt idx="7">
                  <c:v>20.391426000003268</c:v>
                </c:pt>
                <c:pt idx="8">
                  <c:v>20.67146803795325</c:v>
                </c:pt>
                <c:pt idx="9">
                  <c:v>20.285795524853885</c:v>
                </c:pt>
                <c:pt idx="10">
                  <c:v>19.368467666502486</c:v>
                </c:pt>
                <c:pt idx="11">
                  <c:v>19.955293449179081</c:v>
                </c:pt>
                <c:pt idx="12">
                  <c:v>20.236507432784208</c:v>
                </c:pt>
                <c:pt idx="13">
                  <c:v>18.299887680539012</c:v>
                </c:pt>
                <c:pt idx="14">
                  <c:v>18.374165426676477</c:v>
                </c:pt>
                <c:pt idx="15">
                  <c:v>17.460403729363819</c:v>
                </c:pt>
                <c:pt idx="16">
                  <c:v>17.54091530661956</c:v>
                </c:pt>
                <c:pt idx="17">
                  <c:v>16.543671494037898</c:v>
                </c:pt>
                <c:pt idx="18">
                  <c:v>16.952432942989063</c:v>
                </c:pt>
                <c:pt idx="19">
                  <c:v>17.288519951278076</c:v>
                </c:pt>
                <c:pt idx="20">
                  <c:v>17.15991273614976</c:v>
                </c:pt>
                <c:pt idx="21">
                  <c:v>15.139535246223897</c:v>
                </c:pt>
                <c:pt idx="22">
                  <c:v>16.658835378985899</c:v>
                </c:pt>
                <c:pt idx="23">
                  <c:v>16.605951852593961</c:v>
                </c:pt>
                <c:pt idx="24">
                  <c:v>16.82193493836207</c:v>
                </c:pt>
                <c:pt idx="25">
                  <c:v>15.788672985658478</c:v>
                </c:pt>
                <c:pt idx="26">
                  <c:v>17.165002204969031</c:v>
                </c:pt>
                <c:pt idx="27">
                  <c:v>17.718859047050312</c:v>
                </c:pt>
                <c:pt idx="28">
                  <c:v>17.89204440152708</c:v>
                </c:pt>
                <c:pt idx="29">
                  <c:v>17.120834393130277</c:v>
                </c:pt>
                <c:pt idx="30">
                  <c:v>17.969225522051758</c:v>
                </c:pt>
                <c:pt idx="31">
                  <c:v>18.656566862650624</c:v>
                </c:pt>
                <c:pt idx="32">
                  <c:v>18.337412127743796</c:v>
                </c:pt>
                <c:pt idx="33">
                  <c:v>17.688658409201274</c:v>
                </c:pt>
                <c:pt idx="34">
                  <c:v>18.820631582852982</c:v>
                </c:pt>
                <c:pt idx="35">
                  <c:v>19.202465475361041</c:v>
                </c:pt>
                <c:pt idx="36">
                  <c:v>18.746848956330062</c:v>
                </c:pt>
                <c:pt idx="37">
                  <c:v>17.718808145040413</c:v>
                </c:pt>
                <c:pt idx="38">
                  <c:v>18.115871509350729</c:v>
                </c:pt>
                <c:pt idx="39">
                  <c:v>18.200201395110906</c:v>
                </c:pt>
                <c:pt idx="40">
                  <c:v>17.836260221457625</c:v>
                </c:pt>
                <c:pt idx="41">
                  <c:v>16.74944607918161</c:v>
                </c:pt>
                <c:pt idx="42">
                  <c:v>17.147843909192183</c:v>
                </c:pt>
                <c:pt idx="43">
                  <c:v>15.875196650196459</c:v>
                </c:pt>
                <c:pt idx="44">
                  <c:v>15.652485679583993</c:v>
                </c:pt>
                <c:pt idx="45">
                  <c:v>14.629510234587951</c:v>
                </c:pt>
                <c:pt idx="46">
                  <c:v>15.789246795893046</c:v>
                </c:pt>
                <c:pt idx="47">
                  <c:v>16.354598494677742</c:v>
                </c:pt>
                <c:pt idx="48">
                  <c:v>16.341132831119172</c:v>
                </c:pt>
                <c:pt idx="49">
                  <c:v>15.663675084023767</c:v>
                </c:pt>
                <c:pt idx="50">
                  <c:v>16.656954852250845</c:v>
                </c:pt>
                <c:pt idx="51">
                  <c:v>17.1455588359118</c:v>
                </c:pt>
                <c:pt idx="52">
                  <c:v>16.540363953200441</c:v>
                </c:pt>
                <c:pt idx="53">
                  <c:v>15.885545894256087</c:v>
                </c:pt>
                <c:pt idx="54">
                  <c:v>16.447972841011904</c:v>
                </c:pt>
                <c:pt idx="55">
                  <c:v>17.137464999132632</c:v>
                </c:pt>
                <c:pt idx="56">
                  <c:v>16.779498735534627</c:v>
                </c:pt>
                <c:pt idx="57">
                  <c:v>15.663504754614515</c:v>
                </c:pt>
                <c:pt idx="58">
                  <c:v>16.897500865943737</c:v>
                </c:pt>
                <c:pt idx="59">
                  <c:v>17.938101770277491</c:v>
                </c:pt>
                <c:pt idx="60">
                  <c:v>19.524124310150174</c:v>
                </c:pt>
                <c:pt idx="61">
                  <c:v>17.598518478172064</c:v>
                </c:pt>
                <c:pt idx="62">
                  <c:v>19.22963373174068</c:v>
                </c:pt>
                <c:pt idx="63">
                  <c:v>19.795187877139266</c:v>
                </c:pt>
                <c:pt idx="64">
                  <c:v>19.066182175767473</c:v>
                </c:pt>
                <c:pt idx="65">
                  <c:v>17.75715689497488</c:v>
                </c:pt>
                <c:pt idx="66">
                  <c:v>18.294109403733351</c:v>
                </c:pt>
                <c:pt idx="67">
                  <c:v>19.223812659599428</c:v>
                </c:pt>
                <c:pt idx="68">
                  <c:v>18.823800638314733</c:v>
                </c:pt>
                <c:pt idx="69">
                  <c:v>17.763556394888084</c:v>
                </c:pt>
                <c:pt idx="70">
                  <c:v>19.592798065846402</c:v>
                </c:pt>
                <c:pt idx="71">
                  <c:v>18.931881883010874</c:v>
                </c:pt>
                <c:pt idx="72">
                  <c:v>18.634469875045866</c:v>
                </c:pt>
                <c:pt idx="73">
                  <c:v>17.998420363282737</c:v>
                </c:pt>
                <c:pt idx="74">
                  <c:v>18.103007489128668</c:v>
                </c:pt>
                <c:pt idx="75">
                  <c:v>19.472933473434896</c:v>
                </c:pt>
                <c:pt idx="76">
                  <c:v>17.956990214897587</c:v>
                </c:pt>
                <c:pt idx="77">
                  <c:v>16.871867830094001</c:v>
                </c:pt>
                <c:pt idx="78">
                  <c:v>17.268137605007961</c:v>
                </c:pt>
                <c:pt idx="79">
                  <c:v>18.329367516737843</c:v>
                </c:pt>
                <c:pt idx="80">
                  <c:v>17.327422178764056</c:v>
                </c:pt>
                <c:pt idx="81">
                  <c:v>16.573914605543443</c:v>
                </c:pt>
                <c:pt idx="82">
                  <c:v>17.204619144633529</c:v>
                </c:pt>
                <c:pt idx="83">
                  <c:v>18.174123711280057</c:v>
                </c:pt>
                <c:pt idx="84">
                  <c:v>17.358400508332576</c:v>
                </c:pt>
                <c:pt idx="85">
                  <c:v>16.320169067628154</c:v>
                </c:pt>
                <c:pt idx="86">
                  <c:v>17.000328344765592</c:v>
                </c:pt>
                <c:pt idx="87">
                  <c:v>18.388882059568946</c:v>
                </c:pt>
                <c:pt idx="88">
                  <c:v>17.635016696651352</c:v>
                </c:pt>
                <c:pt idx="89">
                  <c:v>16.498976375208233</c:v>
                </c:pt>
                <c:pt idx="90">
                  <c:v>17.957815193710083</c:v>
                </c:pt>
                <c:pt idx="91">
                  <c:v>18.722830165817594</c:v>
                </c:pt>
                <c:pt idx="92">
                  <c:v>18.689806919773385</c:v>
                </c:pt>
                <c:pt idx="93">
                  <c:v>18.115533346102954</c:v>
                </c:pt>
                <c:pt idx="94">
                  <c:v>19.124398234737303</c:v>
                </c:pt>
                <c:pt idx="95">
                  <c:v>20.899454701222556</c:v>
                </c:pt>
                <c:pt idx="96">
                  <c:v>19.929554039552212</c:v>
                </c:pt>
                <c:pt idx="97">
                  <c:v>19.017249421471885</c:v>
                </c:pt>
                <c:pt idx="98">
                  <c:v>18.782302439819997</c:v>
                </c:pt>
                <c:pt idx="99">
                  <c:v>18.560883138915546</c:v>
                </c:pt>
                <c:pt idx="100">
                  <c:v>17.400393880591533</c:v>
                </c:pt>
                <c:pt idx="101">
                  <c:v>16.402300359386807</c:v>
                </c:pt>
                <c:pt idx="102">
                  <c:v>17.045178179972542</c:v>
                </c:pt>
                <c:pt idx="103">
                  <c:v>18.662790251030916</c:v>
                </c:pt>
                <c:pt idx="104">
                  <c:v>17.725837312067224</c:v>
                </c:pt>
                <c:pt idx="105">
                  <c:v>16.865789439530705</c:v>
                </c:pt>
                <c:pt idx="106">
                  <c:v>17.519530120129449</c:v>
                </c:pt>
                <c:pt idx="107">
                  <c:v>18.997542986851737</c:v>
                </c:pt>
                <c:pt idx="108">
                  <c:v>18.631147307124611</c:v>
                </c:pt>
                <c:pt idx="109">
                  <c:v>18.174689271507685</c:v>
                </c:pt>
                <c:pt idx="110">
                  <c:v>18.829150584357187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C-47C4-B09B-87B5287A2C70}"/>
            </c:ext>
          </c:extLst>
        </c:ser>
        <c:ser>
          <c:idx val="2"/>
          <c:order val="2"/>
          <c:tx>
            <c:strRef>
              <c:f>UScalc_nsa!$R$1</c:f>
              <c:strCache>
                <c:ptCount val="1"/>
                <c:pt idx="0">
                  <c:v>FFLOWSHR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UScalc_nsa!$R$2:$R$190</c:f>
              <c:numCache>
                <c:formatCode>General</c:formatCode>
                <c:ptCount val="189"/>
                <c:pt idx="0">
                  <c:v>0</c:v>
                </c:pt>
                <c:pt idx="1">
                  <c:v>-0.400934154224865</c:v>
                </c:pt>
                <c:pt idx="2">
                  <c:v>3.3054270995162987</c:v>
                </c:pt>
                <c:pt idx="3">
                  <c:v>1.7746875893972271</c:v>
                </c:pt>
                <c:pt idx="4">
                  <c:v>0.72549993259147671</c:v>
                </c:pt>
                <c:pt idx="5">
                  <c:v>1.768243573324179</c:v>
                </c:pt>
                <c:pt idx="6">
                  <c:v>5.1534599584605365</c:v>
                </c:pt>
                <c:pt idx="7">
                  <c:v>1.1688551393854854</c:v>
                </c:pt>
                <c:pt idx="8">
                  <c:v>-1.3829630719435044</c:v>
                </c:pt>
                <c:pt idx="9">
                  <c:v>1.5034172806289705</c:v>
                </c:pt>
                <c:pt idx="10">
                  <c:v>0.5257874196614295</c:v>
                </c:pt>
                <c:pt idx="11">
                  <c:v>4.9056229726734326</c:v>
                </c:pt>
                <c:pt idx="12">
                  <c:v>-0.47097451557686754</c:v>
                </c:pt>
                <c:pt idx="13">
                  <c:v>2.4293515116358888</c:v>
                </c:pt>
                <c:pt idx="14">
                  <c:v>4.3757179497107916</c:v>
                </c:pt>
                <c:pt idx="15">
                  <c:v>-1.2922258552349779E-2</c:v>
                </c:pt>
                <c:pt idx="16">
                  <c:v>2.2988108788092769</c:v>
                </c:pt>
                <c:pt idx="17">
                  <c:v>0.8062983220199581</c:v>
                </c:pt>
                <c:pt idx="18">
                  <c:v>3.8956188404658074</c:v>
                </c:pt>
                <c:pt idx="19">
                  <c:v>-0.97615147824096649</c:v>
                </c:pt>
                <c:pt idx="20">
                  <c:v>4.1605728305973022</c:v>
                </c:pt>
                <c:pt idx="21">
                  <c:v>-0.86102590836899728</c:v>
                </c:pt>
                <c:pt idx="22">
                  <c:v>4.2984251597732968</c:v>
                </c:pt>
                <c:pt idx="23">
                  <c:v>0.75979569185824258</c:v>
                </c:pt>
                <c:pt idx="24">
                  <c:v>1.732167342811898</c:v>
                </c:pt>
                <c:pt idx="25">
                  <c:v>-0.4961090508221031</c:v>
                </c:pt>
                <c:pt idx="26">
                  <c:v>4.5500092304673752</c:v>
                </c:pt>
                <c:pt idx="27">
                  <c:v>2.9976257734235112</c:v>
                </c:pt>
                <c:pt idx="28">
                  <c:v>-0.2383316352371915</c:v>
                </c:pt>
                <c:pt idx="29">
                  <c:v>0.31998054711834534</c:v>
                </c:pt>
                <c:pt idx="30">
                  <c:v>5.4396587917448889</c:v>
                </c:pt>
                <c:pt idx="31">
                  <c:v>4.1532838963347061</c:v>
                </c:pt>
                <c:pt idx="32">
                  <c:v>-0.20002947133623616</c:v>
                </c:pt>
                <c:pt idx="33">
                  <c:v>0.29350167768861801</c:v>
                </c:pt>
                <c:pt idx="34">
                  <c:v>4.1090803913725784</c:v>
                </c:pt>
                <c:pt idx="35">
                  <c:v>3.4695517468953243</c:v>
                </c:pt>
                <c:pt idx="36">
                  <c:v>-0.91638299202907014</c:v>
                </c:pt>
                <c:pt idx="37">
                  <c:v>1.4217729390903171</c:v>
                </c:pt>
                <c:pt idx="38">
                  <c:v>4.0063897763578273</c:v>
                </c:pt>
                <c:pt idx="39">
                  <c:v>3.0850690651805461</c:v>
                </c:pt>
                <c:pt idx="40">
                  <c:v>-3.5400656918296964</c:v>
                </c:pt>
                <c:pt idx="41">
                  <c:v>9.651363832282998</c:v>
                </c:pt>
                <c:pt idx="42">
                  <c:v>13.721622557025276</c:v>
                </c:pt>
                <c:pt idx="43">
                  <c:v>4.4662059778252683</c:v>
                </c:pt>
                <c:pt idx="44">
                  <c:v>2.6002429120541635</c:v>
                </c:pt>
                <c:pt idx="45">
                  <c:v>0.47618075051804976</c:v>
                </c:pt>
                <c:pt idx="46">
                  <c:v>2.6843382320259144</c:v>
                </c:pt>
                <c:pt idx="47">
                  <c:v>3.524438307825466</c:v>
                </c:pt>
                <c:pt idx="48">
                  <c:v>2.7353895887755399</c:v>
                </c:pt>
                <c:pt idx="49">
                  <c:v>0.26316157103029708</c:v>
                </c:pt>
                <c:pt idx="50">
                  <c:v>3.998445083345842</c:v>
                </c:pt>
                <c:pt idx="51">
                  <c:v>-1.4894145427356047</c:v>
                </c:pt>
                <c:pt idx="52">
                  <c:v>-6.4243822546357228</c:v>
                </c:pt>
                <c:pt idx="53">
                  <c:v>3.1855978600579542</c:v>
                </c:pt>
                <c:pt idx="54">
                  <c:v>3.6032043540473429</c:v>
                </c:pt>
                <c:pt idx="55">
                  <c:v>3.0688144386516134</c:v>
                </c:pt>
                <c:pt idx="56">
                  <c:v>-0.43544061089676356</c:v>
                </c:pt>
                <c:pt idx="57">
                  <c:v>-2.3119187655670861</c:v>
                </c:pt>
                <c:pt idx="58">
                  <c:v>3.0687699945267068</c:v>
                </c:pt>
                <c:pt idx="59">
                  <c:v>3.216428308633585</c:v>
                </c:pt>
                <c:pt idx="60">
                  <c:v>-3.8872972035091644</c:v>
                </c:pt>
                <c:pt idx="61">
                  <c:v>-4.632244323384211</c:v>
                </c:pt>
                <c:pt idx="62">
                  <c:v>7.2974467211160787</c:v>
                </c:pt>
                <c:pt idx="63">
                  <c:v>7.7167557054568698</c:v>
                </c:pt>
                <c:pt idx="64">
                  <c:v>-2.4010996091233197</c:v>
                </c:pt>
                <c:pt idx="65">
                  <c:v>-4.5056706059186415E-2</c:v>
                </c:pt>
                <c:pt idx="66">
                  <c:v>3.8001859833987708</c:v>
                </c:pt>
                <c:pt idx="67">
                  <c:v>-3.0415046351130641</c:v>
                </c:pt>
                <c:pt idx="68">
                  <c:v>-2.9277814491390566</c:v>
                </c:pt>
                <c:pt idx="69">
                  <c:v>-4.0861255479476633</c:v>
                </c:pt>
                <c:pt idx="70">
                  <c:v>14.551392845444742</c:v>
                </c:pt>
                <c:pt idx="71">
                  <c:v>3.9595322416494945</c:v>
                </c:pt>
                <c:pt idx="72">
                  <c:v>-0.7137951862585632</c:v>
                </c:pt>
                <c:pt idx="73">
                  <c:v>4.5042188603736398E-2</c:v>
                </c:pt>
                <c:pt idx="74">
                  <c:v>4.9508282541225741</c:v>
                </c:pt>
                <c:pt idx="75">
                  <c:v>-5.7858208776427338</c:v>
                </c:pt>
                <c:pt idx="76">
                  <c:v>-3.5278192142713691</c:v>
                </c:pt>
                <c:pt idx="77">
                  <c:v>3.4568829484105601</c:v>
                </c:pt>
                <c:pt idx="78">
                  <c:v>0.99599272619385615</c:v>
                </c:pt>
                <c:pt idx="79">
                  <c:v>8.1622268866243974</c:v>
                </c:pt>
                <c:pt idx="80">
                  <c:v>-2.1602657035951087</c:v>
                </c:pt>
                <c:pt idx="81">
                  <c:v>1.0606847252781557</c:v>
                </c:pt>
                <c:pt idx="82">
                  <c:v>4.2561203854684857</c:v>
                </c:pt>
                <c:pt idx="83">
                  <c:v>-3.464994057559696</c:v>
                </c:pt>
                <c:pt idx="84">
                  <c:v>-4.7892413850574629</c:v>
                </c:pt>
                <c:pt idx="85">
                  <c:v>7.1147825148479305</c:v>
                </c:pt>
                <c:pt idx="86">
                  <c:v>4.153597169416928</c:v>
                </c:pt>
                <c:pt idx="87">
                  <c:v>-4.033611800161256</c:v>
                </c:pt>
                <c:pt idx="88">
                  <c:v>38.061834553029094</c:v>
                </c:pt>
                <c:pt idx="89">
                  <c:v>-7.8786374365432854</c:v>
                </c:pt>
                <c:pt idx="90">
                  <c:v>5.8308263567604222</c:v>
                </c:pt>
                <c:pt idx="91">
                  <c:v>-11.952810073839377</c:v>
                </c:pt>
                <c:pt idx="92">
                  <c:v>-7.6917951103024169</c:v>
                </c:pt>
                <c:pt idx="93">
                  <c:v>-11.814041247431168</c:v>
                </c:pt>
                <c:pt idx="94">
                  <c:v>13.288115818083538</c:v>
                </c:pt>
                <c:pt idx="95">
                  <c:v>9.2968122556204751</c:v>
                </c:pt>
                <c:pt idx="96">
                  <c:v>-1.0020460804318934</c:v>
                </c:pt>
                <c:pt idx="97">
                  <c:v>1.1798803544984806</c:v>
                </c:pt>
                <c:pt idx="98">
                  <c:v>2.7604247704135667</c:v>
                </c:pt>
                <c:pt idx="99">
                  <c:v>-4.9706579868776624</c:v>
                </c:pt>
                <c:pt idx="100">
                  <c:v>6.5286185284692833</c:v>
                </c:pt>
                <c:pt idx="101">
                  <c:v>4.9723665958299774</c:v>
                </c:pt>
                <c:pt idx="102">
                  <c:v>5.4823322646189494</c:v>
                </c:pt>
                <c:pt idx="103">
                  <c:v>2.6599995959695977</c:v>
                </c:pt>
                <c:pt idx="104">
                  <c:v>-2.7155730676072478</c:v>
                </c:pt>
                <c:pt idx="105">
                  <c:v>1.1743903968990437</c:v>
                </c:pt>
                <c:pt idx="106">
                  <c:v>3.5393754994803484</c:v>
                </c:pt>
                <c:pt idx="107">
                  <c:v>-5.9180508702427641</c:v>
                </c:pt>
                <c:pt idx="108">
                  <c:v>-6.0035147952653967</c:v>
                </c:pt>
                <c:pt idx="109">
                  <c:v>12.094132854500343</c:v>
                </c:pt>
                <c:pt idx="110">
                  <c:v>6.0775531554159148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CC-47C4-B09B-87B5287A2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661216"/>
        <c:axId val="631661696"/>
      </c:lineChart>
      <c:catAx>
        <c:axId val="6316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61696"/>
        <c:crosses val="autoZero"/>
        <c:auto val="1"/>
        <c:lblAlgn val="ctr"/>
        <c:lblOffset val="100"/>
        <c:noMultiLvlLbl val="0"/>
      </c:catAx>
      <c:valAx>
        <c:axId val="6316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Ieff - Effective Govt</a:t>
            </a:r>
            <a:r>
              <a:rPr lang="en-US" baseline="0"/>
              <a:t> Debt Interest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UScalc_nsa!$Q$1:$Q$2</c:f>
              <c:strCache>
                <c:ptCount val="2"/>
                <c:pt idx="0">
                  <c:v>Ieff</c:v>
                </c:pt>
                <c:pt idx="1">
                  <c:v>NaN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UScalc_nsa!$Q$3:$Q$190</c:f>
              <c:numCache>
                <c:formatCode>General</c:formatCode>
                <c:ptCount val="188"/>
                <c:pt idx="0">
                  <c:v>6.6007262161506928</c:v>
                </c:pt>
                <c:pt idx="1">
                  <c:v>6.5160228750606439</c:v>
                </c:pt>
                <c:pt idx="2">
                  <c:v>6.2804127450007714</c:v>
                </c:pt>
                <c:pt idx="3">
                  <c:v>6.2307853595830567</c:v>
                </c:pt>
                <c:pt idx="4">
                  <c:v>6.2260276159027299</c:v>
                </c:pt>
                <c:pt idx="5">
                  <c:v>6.2395171659915158</c:v>
                </c:pt>
                <c:pt idx="6">
                  <c:v>6.1429087595745973</c:v>
                </c:pt>
                <c:pt idx="7">
                  <c:v>6.1334480665785387</c:v>
                </c:pt>
                <c:pt idx="8">
                  <c:v>6.2061176185881726</c:v>
                </c:pt>
                <c:pt idx="9">
                  <c:v>6.2229971948364691</c:v>
                </c:pt>
                <c:pt idx="10">
                  <c:v>6.101498070720015</c:v>
                </c:pt>
                <c:pt idx="11">
                  <c:v>5.7982520861694491</c:v>
                </c:pt>
                <c:pt idx="12">
                  <c:v>5.7069767401251825</c:v>
                </c:pt>
                <c:pt idx="13">
                  <c:v>5.4726124862762813</c:v>
                </c:pt>
                <c:pt idx="14">
                  <c:v>5.1305649809815499</c:v>
                </c:pt>
                <c:pt idx="15">
                  <c:v>5.0275456407824661</c:v>
                </c:pt>
                <c:pt idx="16">
                  <c:v>4.8998534065870567</c:v>
                </c:pt>
                <c:pt idx="17">
                  <c:v>4.784789786385744</c:v>
                </c:pt>
                <c:pt idx="18">
                  <c:v>4.5395769740951319</c:v>
                </c:pt>
                <c:pt idx="19">
                  <c:v>4.4935778612352442</c:v>
                </c:pt>
                <c:pt idx="20">
                  <c:v>4.3726343195273367</c:v>
                </c:pt>
                <c:pt idx="21">
                  <c:v>4.3357529941090798</c:v>
                </c:pt>
                <c:pt idx="22">
                  <c:v>4.256723812811841</c:v>
                </c:pt>
                <c:pt idx="23">
                  <c:v>4.2021756067955041</c:v>
                </c:pt>
                <c:pt idx="24">
                  <c:v>4.2362635209953909</c:v>
                </c:pt>
                <c:pt idx="25">
                  <c:v>4.3147000028323417</c:v>
                </c:pt>
                <c:pt idx="26">
                  <c:v>4.3365165716337888</c:v>
                </c:pt>
                <c:pt idx="27">
                  <c:v>4.4179335854376642</c:v>
                </c:pt>
                <c:pt idx="28">
                  <c:v>4.4564305271131381</c:v>
                </c:pt>
                <c:pt idx="29">
                  <c:v>4.4787216474571743</c:v>
                </c:pt>
                <c:pt idx="30">
                  <c:v>4.3842092192891586</c:v>
                </c:pt>
                <c:pt idx="31">
                  <c:v>4.3890712346060683</c:v>
                </c:pt>
                <c:pt idx="32">
                  <c:v>4.469098847725463</c:v>
                </c:pt>
                <c:pt idx="33">
                  <c:v>4.5483152998939458</c:v>
                </c:pt>
                <c:pt idx="34">
                  <c:v>4.5621864136225057</c:v>
                </c:pt>
                <c:pt idx="35">
                  <c:v>4.6093496194488717</c:v>
                </c:pt>
                <c:pt idx="36">
                  <c:v>4.6704903663045005</c:v>
                </c:pt>
                <c:pt idx="37">
                  <c:v>4.5941378958536703</c:v>
                </c:pt>
                <c:pt idx="38">
                  <c:v>4.3717031170293499</c:v>
                </c:pt>
                <c:pt idx="39">
                  <c:v>4.1149470935070953</c:v>
                </c:pt>
                <c:pt idx="40">
                  <c:v>4.0260404386596464</c:v>
                </c:pt>
                <c:pt idx="41">
                  <c:v>3.7867572427173806</c:v>
                </c:pt>
                <c:pt idx="42">
                  <c:v>3.3820055599144094</c:v>
                </c:pt>
                <c:pt idx="43">
                  <c:v>3.1646793130295201</c:v>
                </c:pt>
                <c:pt idx="44">
                  <c:v>3.0342802575079415</c:v>
                </c:pt>
                <c:pt idx="45">
                  <c:v>2.9707565885922116</c:v>
                </c:pt>
                <c:pt idx="46">
                  <c:v>2.9262430948874893</c:v>
                </c:pt>
                <c:pt idx="47">
                  <c:v>2.9509462955927064</c:v>
                </c:pt>
                <c:pt idx="48">
                  <c:v>2.9484482106671579</c:v>
                </c:pt>
                <c:pt idx="49">
                  <c:v>2.9459308038522232</c:v>
                </c:pt>
                <c:pt idx="50">
                  <c:v>2.929038877478884</c:v>
                </c:pt>
                <c:pt idx="51">
                  <c:v>2.9781682192587948</c:v>
                </c:pt>
                <c:pt idx="52">
                  <c:v>3.0162544506632361</c:v>
                </c:pt>
                <c:pt idx="53">
                  <c:v>2.9299394063963371</c:v>
                </c:pt>
                <c:pt idx="54">
                  <c:v>2.8138060059357781</c:v>
                </c:pt>
                <c:pt idx="55">
                  <c:v>2.7190177847486541</c:v>
                </c:pt>
                <c:pt idx="56">
                  <c:v>2.6551562131327731</c:v>
                </c:pt>
                <c:pt idx="57">
                  <c:v>2.5944838369151713</c:v>
                </c:pt>
                <c:pt idx="58">
                  <c:v>2.5014224660175155</c:v>
                </c:pt>
                <c:pt idx="59">
                  <c:v>2.4595947107754572</c:v>
                </c:pt>
                <c:pt idx="60">
                  <c:v>2.4897361264451869</c:v>
                </c:pt>
                <c:pt idx="61">
                  <c:v>2.5391052073761897</c:v>
                </c:pt>
                <c:pt idx="62">
                  <c:v>2.517772230421111</c:v>
                </c:pt>
                <c:pt idx="63">
                  <c:v>2.4999848021958924</c:v>
                </c:pt>
                <c:pt idx="64">
                  <c:v>2.5073321549860528</c:v>
                </c:pt>
                <c:pt idx="65">
                  <c:v>2.4813859864000767</c:v>
                </c:pt>
                <c:pt idx="66">
                  <c:v>2.3630313000442524</c:v>
                </c:pt>
                <c:pt idx="67">
                  <c:v>2.3461584737288161</c:v>
                </c:pt>
                <c:pt idx="68">
                  <c:v>2.3572060772593737</c:v>
                </c:pt>
                <c:pt idx="69">
                  <c:v>2.3948495858377932</c:v>
                </c:pt>
                <c:pt idx="70">
                  <c:v>2.358206208703554</c:v>
                </c:pt>
                <c:pt idx="71">
                  <c:v>2.3529376345287156</c:v>
                </c:pt>
                <c:pt idx="72">
                  <c:v>2.3605698830400454</c:v>
                </c:pt>
                <c:pt idx="73">
                  <c:v>2.3510628813680987</c:v>
                </c:pt>
                <c:pt idx="74">
                  <c:v>2.3060118606423332</c:v>
                </c:pt>
                <c:pt idx="75">
                  <c:v>2.3742921897248976</c:v>
                </c:pt>
                <c:pt idx="76">
                  <c:v>2.4261366619778908</c:v>
                </c:pt>
                <c:pt idx="77">
                  <c:v>2.4373545930086098</c:v>
                </c:pt>
                <c:pt idx="78">
                  <c:v>2.4770715219389574</c:v>
                </c:pt>
                <c:pt idx="79">
                  <c:v>2.5215030904031894</c:v>
                </c:pt>
                <c:pt idx="80">
                  <c:v>2.6038696734665177</c:v>
                </c:pt>
                <c:pt idx="81">
                  <c:v>2.6548915233450283</c:v>
                </c:pt>
                <c:pt idx="82">
                  <c:v>2.6381790632024176</c:v>
                </c:pt>
                <c:pt idx="83">
                  <c:v>2.662117280464575</c:v>
                </c:pt>
                <c:pt idx="84">
                  <c:v>2.6256575824775994</c:v>
                </c:pt>
                <c:pt idx="85">
                  <c:v>2.4835160714177249</c:v>
                </c:pt>
                <c:pt idx="86">
                  <c:v>2.3452225686575541</c:v>
                </c:pt>
                <c:pt idx="87">
                  <c:v>2.2164146774691993</c:v>
                </c:pt>
                <c:pt idx="88">
                  <c:v>1.9186742304456874</c:v>
                </c:pt>
                <c:pt idx="89">
                  <c:v>1.9176266545918743</c:v>
                </c:pt>
                <c:pt idx="90">
                  <c:v>1.9227471671806176</c:v>
                </c:pt>
                <c:pt idx="91">
                  <c:v>1.9928360615471674</c:v>
                </c:pt>
                <c:pt idx="92">
                  <c:v>2.0607487648897092</c:v>
                </c:pt>
                <c:pt idx="93">
                  <c:v>2.1537224120269927</c:v>
                </c:pt>
                <c:pt idx="94">
                  <c:v>2.150668116499137</c:v>
                </c:pt>
                <c:pt idx="95">
                  <c:v>2.2524157131880047</c:v>
                </c:pt>
                <c:pt idx="96">
                  <c:v>2.4603038505351673</c:v>
                </c:pt>
                <c:pt idx="97">
                  <c:v>2.6612769307889006</c:v>
                </c:pt>
                <c:pt idx="98">
                  <c:v>2.7411728995789866</c:v>
                </c:pt>
                <c:pt idx="99">
                  <c:v>2.8421881595011165</c:v>
                </c:pt>
                <c:pt idx="100">
                  <c:v>2.9905103488854512</c:v>
                </c:pt>
                <c:pt idx="101">
                  <c:v>3.109927376134602</c:v>
                </c:pt>
                <c:pt idx="102">
                  <c:v>3.1503792156897577</c:v>
                </c:pt>
                <c:pt idx="103">
                  <c:v>3.1907332255592085</c:v>
                </c:pt>
                <c:pt idx="104">
                  <c:v>3.2906294318549625</c:v>
                </c:pt>
                <c:pt idx="105">
                  <c:v>3.2584988656599525</c:v>
                </c:pt>
                <c:pt idx="106">
                  <c:v>3.1591829668757256</c:v>
                </c:pt>
                <c:pt idx="107">
                  <c:v>3.2056389183213398</c:v>
                </c:pt>
                <c:pt idx="108">
                  <c:v>3.3116248335575671</c:v>
                </c:pt>
                <c:pt idx="109">
                  <c:v>3.2613597732836719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E-4132-9D2E-E4CBF5A52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60048"/>
        <c:axId val="455459088"/>
      </c:lineChart>
      <c:catAx>
        <c:axId val="4554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9088"/>
        <c:crosses val="autoZero"/>
        <c:auto val="1"/>
        <c:lblAlgn val="ctr"/>
        <c:lblOffset val="100"/>
        <c:noMultiLvlLbl val="0"/>
      </c:catAx>
      <c:valAx>
        <c:axId val="4554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Check of Debt</a:t>
            </a:r>
            <a:r>
              <a:rPr lang="en-US" baseline="0"/>
              <a:t> Accumulation Equation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UScalc!$S$1:$S$2</c:f>
              <c:strCache>
                <c:ptCount val="2"/>
                <c:pt idx="0">
                  <c:v>DEBTcheck Static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UScalc!$S$3:$S$190</c:f>
              <c:numCache>
                <c:formatCode>0.000</c:formatCode>
                <c:ptCount val="188"/>
                <c:pt idx="0">
                  <c:v>60.586930000000009</c:v>
                </c:pt>
                <c:pt idx="1">
                  <c:v>60.406959999999998</c:v>
                </c:pt>
                <c:pt idx="2">
                  <c:v>60.048940000000002</c:v>
                </c:pt>
                <c:pt idx="3">
                  <c:v>59.192270000000008</c:v>
                </c:pt>
                <c:pt idx="4">
                  <c:v>58.392579999999995</c:v>
                </c:pt>
                <c:pt idx="5">
                  <c:v>58.34335999999999</c:v>
                </c:pt>
                <c:pt idx="6">
                  <c:v>57.721339999999991</c:v>
                </c:pt>
                <c:pt idx="7">
                  <c:v>55.484909999999999</c:v>
                </c:pt>
                <c:pt idx="8">
                  <c:v>54.99213000000001</c:v>
                </c:pt>
                <c:pt idx="9">
                  <c:v>54.257899999999999</c:v>
                </c:pt>
                <c:pt idx="10">
                  <c:v>55.14434</c:v>
                </c:pt>
                <c:pt idx="11">
                  <c:v>54.031649999999985</c:v>
                </c:pt>
                <c:pt idx="12">
                  <c:v>54.797629999999998</c:v>
                </c:pt>
                <c:pt idx="13">
                  <c:v>55.752160000000025</c:v>
                </c:pt>
                <c:pt idx="14">
                  <c:v>55.6965</c:v>
                </c:pt>
                <c:pt idx="15">
                  <c:v>56.270870000000002</c:v>
                </c:pt>
                <c:pt idx="16">
                  <c:v>56.70259999999999</c:v>
                </c:pt>
                <c:pt idx="17">
                  <c:v>57.91028</c:v>
                </c:pt>
                <c:pt idx="18">
                  <c:v>57.81906</c:v>
                </c:pt>
                <c:pt idx="19">
                  <c:v>58.961009999999995</c:v>
                </c:pt>
                <c:pt idx="20">
                  <c:v>58.645409999999991</c:v>
                </c:pt>
                <c:pt idx="21">
                  <c:v>59.444659999999999</c:v>
                </c:pt>
                <c:pt idx="22">
                  <c:v>59.807100000000005</c:v>
                </c:pt>
                <c:pt idx="23">
                  <c:v>60.054870000000001</c:v>
                </c:pt>
                <c:pt idx="24">
                  <c:v>59.966430000000003</c:v>
                </c:pt>
                <c:pt idx="25">
                  <c:v>60.637129999999992</c:v>
                </c:pt>
                <c:pt idx="26">
                  <c:v>60.913019999999996</c:v>
                </c:pt>
                <c:pt idx="27">
                  <c:v>60.64153000000001</c:v>
                </c:pt>
                <c:pt idx="28">
                  <c:v>60.358559999999997</c:v>
                </c:pt>
                <c:pt idx="29">
                  <c:v>61.32007999999999</c:v>
                </c:pt>
                <c:pt idx="30">
                  <c:v>61.55642000000001</c:v>
                </c:pt>
                <c:pt idx="31">
                  <c:v>61.221420000000009</c:v>
                </c:pt>
                <c:pt idx="32">
                  <c:v>61.332799999999992</c:v>
                </c:pt>
                <c:pt idx="33">
                  <c:v>61.826890000000013</c:v>
                </c:pt>
                <c:pt idx="34">
                  <c:v>62.252969999999983</c:v>
                </c:pt>
                <c:pt idx="35">
                  <c:v>61.572190000000006</c:v>
                </c:pt>
                <c:pt idx="36">
                  <c:v>61.848259999999996</c:v>
                </c:pt>
                <c:pt idx="37">
                  <c:v>62.719239999999999</c:v>
                </c:pt>
                <c:pt idx="38">
                  <c:v>64.172780000000003</c:v>
                </c:pt>
                <c:pt idx="39">
                  <c:v>63.851719999999993</c:v>
                </c:pt>
                <c:pt idx="40">
                  <c:v>67.28455000000001</c:v>
                </c:pt>
                <c:pt idx="41">
                  <c:v>73.245149999999981</c:v>
                </c:pt>
                <c:pt idx="42">
                  <c:v>77.104959999999991</c:v>
                </c:pt>
                <c:pt idx="43">
                  <c:v>80.280130000000014</c:v>
                </c:pt>
                <c:pt idx="44">
                  <c:v>82.427329999999998</c:v>
                </c:pt>
                <c:pt idx="45">
                  <c:v>84.029349999999994</c:v>
                </c:pt>
                <c:pt idx="46">
                  <c:v>86.511750000000021</c:v>
                </c:pt>
                <c:pt idx="47">
                  <c:v>88.128320000000002</c:v>
                </c:pt>
                <c:pt idx="48">
                  <c:v>89.565279999999987</c:v>
                </c:pt>
                <c:pt idx="49">
                  <c:v>91.611340000000013</c:v>
                </c:pt>
                <c:pt idx="50">
                  <c:v>92.956139999999976</c:v>
                </c:pt>
                <c:pt idx="51">
                  <c:v>92.193799999999996</c:v>
                </c:pt>
                <c:pt idx="52">
                  <c:v>94.520980000000009</c:v>
                </c:pt>
                <c:pt idx="53">
                  <c:v>96.090720000000019</c:v>
                </c:pt>
                <c:pt idx="54">
                  <c:v>97.123080000000002</c:v>
                </c:pt>
                <c:pt idx="55">
                  <c:v>97.827629999999999</c:v>
                </c:pt>
                <c:pt idx="56">
                  <c:v>98.447869999999995</c:v>
                </c:pt>
                <c:pt idx="57">
                  <c:v>100.07496999999998</c:v>
                </c:pt>
                <c:pt idx="58">
                  <c:v>100.73997</c:v>
                </c:pt>
                <c:pt idx="59">
                  <c:v>100.05758000000002</c:v>
                </c:pt>
                <c:pt idx="60">
                  <c:v>98.727969999999999</c:v>
                </c:pt>
                <c:pt idx="61">
                  <c:v>99.791179999999997</c:v>
                </c:pt>
                <c:pt idx="62">
                  <c:v>102.34616999999999</c:v>
                </c:pt>
                <c:pt idx="63">
                  <c:v>100.65130000000001</c:v>
                </c:pt>
                <c:pt idx="64">
                  <c:v>100.11145000000003</c:v>
                </c:pt>
                <c:pt idx="65">
                  <c:v>101.28050000000002</c:v>
                </c:pt>
                <c:pt idx="66">
                  <c:v>100.49008999999998</c:v>
                </c:pt>
                <c:pt idx="67">
                  <c:v>99.300939999999983</c:v>
                </c:pt>
                <c:pt idx="68">
                  <c:v>98.635949999999994</c:v>
                </c:pt>
                <c:pt idx="69">
                  <c:v>102.64191999999998</c:v>
                </c:pt>
                <c:pt idx="70">
                  <c:v>103.98904</c:v>
                </c:pt>
                <c:pt idx="71">
                  <c:v>103.58005</c:v>
                </c:pt>
                <c:pt idx="72">
                  <c:v>103.60355</c:v>
                </c:pt>
                <c:pt idx="73">
                  <c:v>104.64891</c:v>
                </c:pt>
                <c:pt idx="74">
                  <c:v>102.93741000000001</c:v>
                </c:pt>
                <c:pt idx="75">
                  <c:v>102.08817000000001</c:v>
                </c:pt>
                <c:pt idx="76">
                  <c:v>102.80463</c:v>
                </c:pt>
                <c:pt idx="77">
                  <c:v>102.27407999999998</c:v>
                </c:pt>
                <c:pt idx="78">
                  <c:v>103.74395</c:v>
                </c:pt>
                <c:pt idx="79">
                  <c:v>102.98411000000002</c:v>
                </c:pt>
                <c:pt idx="80">
                  <c:v>103.44889999999999</c:v>
                </c:pt>
                <c:pt idx="81">
                  <c:v>105.04940999999998</c:v>
                </c:pt>
                <c:pt idx="82">
                  <c:v>104.34017</c:v>
                </c:pt>
                <c:pt idx="83">
                  <c:v>102.92245000000001</c:v>
                </c:pt>
                <c:pt idx="84">
                  <c:v>104.61492000000001</c:v>
                </c:pt>
                <c:pt idx="85">
                  <c:v>105.78193</c:v>
                </c:pt>
                <c:pt idx="86">
                  <c:v>106.77006999999999</c:v>
                </c:pt>
                <c:pt idx="87">
                  <c:v>132.66287</c:v>
                </c:pt>
                <c:pt idx="88">
                  <c:v>124.14691999999999</c:v>
                </c:pt>
                <c:pt idx="89">
                  <c:v>125.62863999999999</c:v>
                </c:pt>
                <c:pt idx="90">
                  <c:v>124.03752000000001</c:v>
                </c:pt>
                <c:pt idx="91">
                  <c:v>121.78581999999999</c:v>
                </c:pt>
                <c:pt idx="92">
                  <c:v>118.54086000000001</c:v>
                </c:pt>
                <c:pt idx="93">
                  <c:v>119.35879999999999</c:v>
                </c:pt>
                <c:pt idx="94">
                  <c:v>120.39819000000001</c:v>
                </c:pt>
                <c:pt idx="95">
                  <c:v>118.20207000000002</c:v>
                </c:pt>
                <c:pt idx="96">
                  <c:v>117.43832</c:v>
                </c:pt>
                <c:pt idx="97">
                  <c:v>117.36677999999999</c:v>
                </c:pt>
                <c:pt idx="98">
                  <c:v>115.58614</c:v>
                </c:pt>
                <c:pt idx="99">
                  <c:v>117.44354999999999</c:v>
                </c:pt>
                <c:pt idx="100">
                  <c:v>118.13897000000001</c:v>
                </c:pt>
                <c:pt idx="101">
                  <c:v>119.61944</c:v>
                </c:pt>
                <c:pt idx="102">
                  <c:v>120.47631000000001</c:v>
                </c:pt>
                <c:pt idx="103">
                  <c:v>119.50313999999999</c:v>
                </c:pt>
                <c:pt idx="104">
                  <c:v>120.17171999999999</c:v>
                </c:pt>
                <c:pt idx="105">
                  <c:v>121.43632999999998</c:v>
                </c:pt>
                <c:pt idx="106">
                  <c:v>120.54514999999999</c:v>
                </c:pt>
                <c:pt idx="107">
                  <c:v>118.78171000000003</c:v>
                </c:pt>
                <c:pt idx="108">
                  <c:v>121.02875</c:v>
                </c:pt>
                <c:pt idx="109">
                  <c:v>122.56814999999997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8-462C-A679-3C6446E92588}"/>
            </c:ext>
          </c:extLst>
        </c:ser>
        <c:ser>
          <c:idx val="1"/>
          <c:order val="1"/>
          <c:tx>
            <c:strRef>
              <c:f>UScalc!$U$1:$U$2</c:f>
              <c:strCache>
                <c:ptCount val="2"/>
                <c:pt idx="0">
                  <c:v>DEBTcheck Dynamic</c:v>
                </c:pt>
                <c:pt idx="1">
                  <c:v>GDP(t)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UScalc!$U$3:$U$190</c:f>
              <c:numCache>
                <c:formatCode>General</c:formatCode>
                <c:ptCount val="188"/>
                <c:pt idx="1">
                  <c:v>60.407359763609186</c:v>
                </c:pt>
                <c:pt idx="2">
                  <c:v>60.056083985832117</c:v>
                </c:pt>
                <c:pt idx="3">
                  <c:v>59.212168261868051</c:v>
                </c:pt>
                <c:pt idx="4">
                  <c:v>58.424468166411948</c:v>
                </c:pt>
                <c:pt idx="5">
                  <c:v>58.368164668009911</c:v>
                </c:pt>
                <c:pt idx="6">
                  <c:v>57.755588900908521</c:v>
                </c:pt>
                <c:pt idx="7">
                  <c:v>55.559997532223242</c:v>
                </c:pt>
                <c:pt idx="8">
                  <c:v>55.074477295474665</c:v>
                </c:pt>
                <c:pt idx="9">
                  <c:v>54.351408526606335</c:v>
                </c:pt>
                <c:pt idx="10">
                  <c:v>55.238170848599886</c:v>
                </c:pt>
                <c:pt idx="11">
                  <c:v>54.140656796003562</c:v>
                </c:pt>
                <c:pt idx="12">
                  <c:v>54.908201335890453</c:v>
                </c:pt>
                <c:pt idx="13">
                  <c:v>55.860481939180787</c:v>
                </c:pt>
                <c:pt idx="14">
                  <c:v>55.806402767215076</c:v>
                </c:pt>
                <c:pt idx="15">
                  <c:v>56.377149556981763</c:v>
                </c:pt>
                <c:pt idx="16">
                  <c:v>56.80709654545165</c:v>
                </c:pt>
                <c:pt idx="17">
                  <c:v>58.008773582085027</c:v>
                </c:pt>
                <c:pt idx="18">
                  <c:v>57.919257902155671</c:v>
                </c:pt>
                <c:pt idx="19">
                  <c:v>59.04627639149669</c:v>
                </c:pt>
                <c:pt idx="20">
                  <c:v>58.72207109145981</c:v>
                </c:pt>
                <c:pt idx="21">
                  <c:v>59.499866892606406</c:v>
                </c:pt>
                <c:pt idx="22">
                  <c:v>59.855950508746623</c:v>
                </c:pt>
                <c:pt idx="23">
                  <c:v>60.094639934130626</c:v>
                </c:pt>
                <c:pt idx="24">
                  <c:v>60.002473839971962</c:v>
                </c:pt>
                <c:pt idx="25">
                  <c:v>60.653475163948144</c:v>
                </c:pt>
                <c:pt idx="26">
                  <c:v>60.91473273267178</c:v>
                </c:pt>
                <c:pt idx="27">
                  <c:v>60.645691344335418</c:v>
                </c:pt>
                <c:pt idx="28">
                  <c:v>60.361562998699377</c:v>
                </c:pt>
                <c:pt idx="29">
                  <c:v>61.307849225939073</c:v>
                </c:pt>
                <c:pt idx="30">
                  <c:v>61.527773769886075</c:v>
                </c:pt>
                <c:pt idx="31">
                  <c:v>61.196288498100245</c:v>
                </c:pt>
                <c:pt idx="32">
                  <c:v>61.308035088375796</c:v>
                </c:pt>
                <c:pt idx="33">
                  <c:v>61.795570663876951</c:v>
                </c:pt>
                <c:pt idx="34">
                  <c:v>62.21554794108269</c:v>
                </c:pt>
                <c:pt idx="35">
                  <c:v>61.54237366774629</c:v>
                </c:pt>
                <c:pt idx="36">
                  <c:v>61.81564785532678</c:v>
                </c:pt>
                <c:pt idx="37">
                  <c:v>62.678361684936256</c:v>
                </c:pt>
                <c:pt idx="38">
                  <c:v>64.131854658262455</c:v>
                </c:pt>
                <c:pt idx="39">
                  <c:v>63.813890001705573</c:v>
                </c:pt>
                <c:pt idx="40">
                  <c:v>67.239866735067139</c:v>
                </c:pt>
                <c:pt idx="41">
                  <c:v>73.27820382994787</c:v>
                </c:pt>
                <c:pt idx="42">
                  <c:v>77.16736723365868</c:v>
                </c:pt>
                <c:pt idx="43">
                  <c:v>80.351180085082987</c:v>
                </c:pt>
                <c:pt idx="44">
                  <c:v>82.489609358581149</c:v>
                </c:pt>
                <c:pt idx="45">
                  <c:v>84.061711138054719</c:v>
                </c:pt>
                <c:pt idx="46">
                  <c:v>86.524768015066599</c:v>
                </c:pt>
                <c:pt idx="47">
                  <c:v>88.109116522142529</c:v>
                </c:pt>
                <c:pt idx="48">
                  <c:v>89.527658843477496</c:v>
                </c:pt>
                <c:pt idx="49">
                  <c:v>91.547807563782484</c:v>
                </c:pt>
                <c:pt idx="50">
                  <c:v>92.889784673607437</c:v>
                </c:pt>
                <c:pt idx="51">
                  <c:v>92.130669406507138</c:v>
                </c:pt>
                <c:pt idx="52">
                  <c:v>94.445255957257743</c:v>
                </c:pt>
                <c:pt idx="53">
                  <c:v>95.990238537589335</c:v>
                </c:pt>
                <c:pt idx="54">
                  <c:v>96.999059377923956</c:v>
                </c:pt>
                <c:pt idx="55">
                  <c:v>97.696332118965159</c:v>
                </c:pt>
                <c:pt idx="56">
                  <c:v>98.312138143634627</c:v>
                </c:pt>
                <c:pt idx="57">
                  <c:v>99.929384213662217</c:v>
                </c:pt>
                <c:pt idx="58">
                  <c:v>100.57609292092451</c:v>
                </c:pt>
                <c:pt idx="59">
                  <c:v>99.897406091279478</c:v>
                </c:pt>
                <c:pt idx="60">
                  <c:v>98.577111440017106</c:v>
                </c:pt>
                <c:pt idx="61">
                  <c:v>99.616349758769289</c:v>
                </c:pt>
                <c:pt idx="62">
                  <c:v>102.16964593601665</c:v>
                </c:pt>
                <c:pt idx="63">
                  <c:v>100.4851431715296</c:v>
                </c:pt>
                <c:pt idx="64">
                  <c:v>99.939639462768369</c:v>
                </c:pt>
                <c:pt idx="65">
                  <c:v>101.10171293475581</c:v>
                </c:pt>
                <c:pt idx="66">
                  <c:v>100.31623643220755</c:v>
                </c:pt>
                <c:pt idx="67">
                  <c:v>99.135029802171601</c:v>
                </c:pt>
                <c:pt idx="68">
                  <c:v>98.474065703829368</c:v>
                </c:pt>
                <c:pt idx="69">
                  <c:v>102.47282615283598</c:v>
                </c:pt>
                <c:pt idx="70">
                  <c:v>103.813666361141</c:v>
                </c:pt>
                <c:pt idx="71">
                  <c:v>103.40521954206106</c:v>
                </c:pt>
                <c:pt idx="72">
                  <c:v>103.4254446174385</c:v>
                </c:pt>
                <c:pt idx="73">
                  <c:v>104.45603703633728</c:v>
                </c:pt>
                <c:pt idx="74">
                  <c:v>102.75794266373933</c:v>
                </c:pt>
                <c:pt idx="75">
                  <c:v>101.91413150418654</c:v>
                </c:pt>
                <c:pt idx="76">
                  <c:v>102.6134592070453</c:v>
                </c:pt>
                <c:pt idx="77">
                  <c:v>102.07436947425126</c:v>
                </c:pt>
                <c:pt idx="78">
                  <c:v>103.51273537463705</c:v>
                </c:pt>
                <c:pt idx="79">
                  <c:v>102.75593038635735</c:v>
                </c:pt>
                <c:pt idx="80">
                  <c:v>103.21242494348806</c:v>
                </c:pt>
                <c:pt idx="81">
                  <c:v>104.80413813753474</c:v>
                </c:pt>
                <c:pt idx="82">
                  <c:v>104.09950789162133</c:v>
                </c:pt>
                <c:pt idx="83">
                  <c:v>102.6928836059007</c:v>
                </c:pt>
                <c:pt idx="84">
                  <c:v>104.34991061397137</c:v>
                </c:pt>
                <c:pt idx="85">
                  <c:v>105.50259120254867</c:v>
                </c:pt>
                <c:pt idx="86">
                  <c:v>106.48237322469278</c:v>
                </c:pt>
                <c:pt idx="87">
                  <c:v>133.75407661925831</c:v>
                </c:pt>
                <c:pt idx="88">
                  <c:v>125.02869959749704</c:v>
                </c:pt>
                <c:pt idx="89">
                  <c:v>126.446477895713</c:v>
                </c:pt>
                <c:pt idx="90">
                  <c:v>124.80877857853764</c:v>
                </c:pt>
                <c:pt idx="91">
                  <c:v>122.50140351775333</c:v>
                </c:pt>
                <c:pt idx="92">
                  <c:v>119.26738647187658</c:v>
                </c:pt>
                <c:pt idx="93">
                  <c:v>119.92501307402978</c:v>
                </c:pt>
                <c:pt idx="94">
                  <c:v>120.91482220292423</c:v>
                </c:pt>
                <c:pt idx="95">
                  <c:v>118.70966369718447</c:v>
                </c:pt>
                <c:pt idx="96">
                  <c:v>117.92802366340223</c:v>
                </c:pt>
                <c:pt idx="97">
                  <c:v>117.83447844640673</c:v>
                </c:pt>
                <c:pt idx="98">
                  <c:v>116.05995762137867</c:v>
                </c:pt>
                <c:pt idx="99">
                  <c:v>117.88838956115282</c:v>
                </c:pt>
                <c:pt idx="100">
                  <c:v>118.53742815337823</c:v>
                </c:pt>
                <c:pt idx="101">
                  <c:v>119.99109809404868</c:v>
                </c:pt>
                <c:pt idx="102">
                  <c:v>120.83628640675407</c:v>
                </c:pt>
                <c:pt idx="103">
                  <c:v>119.86211498995065</c:v>
                </c:pt>
                <c:pt idx="104">
                  <c:v>120.51467034687695</c:v>
                </c:pt>
                <c:pt idx="105">
                  <c:v>121.76204982074663</c:v>
                </c:pt>
                <c:pt idx="106">
                  <c:v>120.87805058697725</c:v>
                </c:pt>
                <c:pt idx="107">
                  <c:v>119.12638414646739</c:v>
                </c:pt>
                <c:pt idx="108">
                  <c:v>121.29812591334522</c:v>
                </c:pt>
                <c:pt idx="109">
                  <c:v>122.81819853032869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8-462C-A679-3C6446E92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019680"/>
        <c:axId val="784033120"/>
      </c:lineChart>
      <c:catAx>
        <c:axId val="7840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33120"/>
        <c:crosses val="autoZero"/>
        <c:auto val="1"/>
        <c:lblAlgn val="ctr"/>
        <c:lblOffset val="100"/>
        <c:noMultiLvlLbl val="0"/>
      </c:catAx>
      <c:valAx>
        <c:axId val="7840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Static </a:t>
            </a:r>
            <a:r>
              <a:rPr lang="en-US" baseline="0"/>
              <a:t>Check of Debt Accumulation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UScalc!$O$1</c:f>
              <c:strCache>
                <c:ptCount val="1"/>
                <c:pt idx="0">
                  <c:v>DEBTG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UScalc!$O$2:$O$190</c:f>
              <c:numCache>
                <c:formatCode>0.000</c:formatCode>
                <c:ptCount val="189"/>
                <c:pt idx="0">
                  <c:v>61.851959999999998</c:v>
                </c:pt>
                <c:pt idx="1">
                  <c:v>60.586930000000009</c:v>
                </c:pt>
                <c:pt idx="2">
                  <c:v>60.406959999999998</c:v>
                </c:pt>
                <c:pt idx="3">
                  <c:v>60.048939999999995</c:v>
                </c:pt>
                <c:pt idx="4">
                  <c:v>59.192270000000001</c:v>
                </c:pt>
                <c:pt idx="5">
                  <c:v>58.392580000000002</c:v>
                </c:pt>
                <c:pt idx="6">
                  <c:v>58.343359999999997</c:v>
                </c:pt>
                <c:pt idx="7">
                  <c:v>57.721339999999998</c:v>
                </c:pt>
                <c:pt idx="8">
                  <c:v>55.484910000000006</c:v>
                </c:pt>
                <c:pt idx="9">
                  <c:v>54.992130000000003</c:v>
                </c:pt>
                <c:pt idx="10">
                  <c:v>54.257899999999992</c:v>
                </c:pt>
                <c:pt idx="11">
                  <c:v>55.14434</c:v>
                </c:pt>
                <c:pt idx="12">
                  <c:v>54.031649999999999</c:v>
                </c:pt>
                <c:pt idx="13">
                  <c:v>54.797630000000005</c:v>
                </c:pt>
                <c:pt idx="14">
                  <c:v>55.752160000000011</c:v>
                </c:pt>
                <c:pt idx="15">
                  <c:v>55.696500000000007</c:v>
                </c:pt>
                <c:pt idx="16">
                  <c:v>56.270869999999995</c:v>
                </c:pt>
                <c:pt idx="17">
                  <c:v>56.702599999999997</c:v>
                </c:pt>
                <c:pt idx="18">
                  <c:v>57.91028</c:v>
                </c:pt>
                <c:pt idx="19">
                  <c:v>57.819059999999993</c:v>
                </c:pt>
                <c:pt idx="20">
                  <c:v>58.961010000000002</c:v>
                </c:pt>
                <c:pt idx="21">
                  <c:v>58.645410000000005</c:v>
                </c:pt>
                <c:pt idx="22">
                  <c:v>59.444659999999999</c:v>
                </c:pt>
                <c:pt idx="23">
                  <c:v>59.807099999999998</c:v>
                </c:pt>
                <c:pt idx="24">
                  <c:v>60.054870000000001</c:v>
                </c:pt>
                <c:pt idx="25">
                  <c:v>59.966429999999995</c:v>
                </c:pt>
                <c:pt idx="26">
                  <c:v>60.637129999999999</c:v>
                </c:pt>
                <c:pt idx="27">
                  <c:v>60.913019999999996</c:v>
                </c:pt>
                <c:pt idx="28">
                  <c:v>60.64153000000001</c:v>
                </c:pt>
                <c:pt idx="29">
                  <c:v>60.358559999999997</c:v>
                </c:pt>
                <c:pt idx="30">
                  <c:v>61.320079999999997</c:v>
                </c:pt>
                <c:pt idx="31">
                  <c:v>61.55642000000001</c:v>
                </c:pt>
                <c:pt idx="32">
                  <c:v>61.221420000000002</c:v>
                </c:pt>
                <c:pt idx="33">
                  <c:v>61.332799999999999</c:v>
                </c:pt>
                <c:pt idx="34">
                  <c:v>61.826890000000006</c:v>
                </c:pt>
                <c:pt idx="35">
                  <c:v>62.252969999999991</c:v>
                </c:pt>
                <c:pt idx="36">
                  <c:v>61.572190000000006</c:v>
                </c:pt>
                <c:pt idx="37">
                  <c:v>61.848259999999989</c:v>
                </c:pt>
                <c:pt idx="38">
                  <c:v>62.719239999999999</c:v>
                </c:pt>
                <c:pt idx="39">
                  <c:v>64.172780000000003</c:v>
                </c:pt>
                <c:pt idx="40">
                  <c:v>63.85172</c:v>
                </c:pt>
                <c:pt idx="41">
                  <c:v>67.284549999999996</c:v>
                </c:pt>
                <c:pt idx="42">
                  <c:v>73.245149999999981</c:v>
                </c:pt>
                <c:pt idx="43">
                  <c:v>77.104960000000005</c:v>
                </c:pt>
                <c:pt idx="44">
                  <c:v>80.280130000000014</c:v>
                </c:pt>
                <c:pt idx="45">
                  <c:v>82.427330000000012</c:v>
                </c:pt>
                <c:pt idx="46">
                  <c:v>84.029349999999994</c:v>
                </c:pt>
                <c:pt idx="47">
                  <c:v>86.511750000000021</c:v>
                </c:pt>
                <c:pt idx="48">
                  <c:v>88.128320000000002</c:v>
                </c:pt>
                <c:pt idx="49">
                  <c:v>89.565280000000001</c:v>
                </c:pt>
                <c:pt idx="50">
                  <c:v>91.611339999999998</c:v>
                </c:pt>
                <c:pt idx="51">
                  <c:v>92.956140000000005</c:v>
                </c:pt>
                <c:pt idx="52">
                  <c:v>92.193799999999996</c:v>
                </c:pt>
                <c:pt idx="53">
                  <c:v>94.520979999999994</c:v>
                </c:pt>
                <c:pt idx="54">
                  <c:v>96.090720000000019</c:v>
                </c:pt>
                <c:pt idx="55">
                  <c:v>97.123080000000002</c:v>
                </c:pt>
                <c:pt idx="56">
                  <c:v>97.827629999999999</c:v>
                </c:pt>
                <c:pt idx="57">
                  <c:v>98.447869999999995</c:v>
                </c:pt>
                <c:pt idx="58">
                  <c:v>100.07496999999998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98.727969999999999</c:v>
                </c:pt>
                <c:pt idx="62">
                  <c:v>99.791179999999983</c:v>
                </c:pt>
                <c:pt idx="63">
                  <c:v>102.34616999999999</c:v>
                </c:pt>
                <c:pt idx="64">
                  <c:v>100.65130000000001</c:v>
                </c:pt>
                <c:pt idx="65">
                  <c:v>100.11145000000002</c:v>
                </c:pt>
                <c:pt idx="66">
                  <c:v>101.28050000000002</c:v>
                </c:pt>
                <c:pt idx="67">
                  <c:v>100.49009</c:v>
                </c:pt>
                <c:pt idx="68">
                  <c:v>99.300939999999997</c:v>
                </c:pt>
                <c:pt idx="69">
                  <c:v>98.63594999999998</c:v>
                </c:pt>
                <c:pt idx="70">
                  <c:v>102.64192</c:v>
                </c:pt>
                <c:pt idx="71">
                  <c:v>103.98903999999999</c:v>
                </c:pt>
                <c:pt idx="72">
                  <c:v>103.58005000000001</c:v>
                </c:pt>
                <c:pt idx="73">
                  <c:v>103.60355000000001</c:v>
                </c:pt>
                <c:pt idx="74">
                  <c:v>104.64891</c:v>
                </c:pt>
                <c:pt idx="75">
                  <c:v>102.93741000000001</c:v>
                </c:pt>
                <c:pt idx="76">
                  <c:v>102.08817000000001</c:v>
                </c:pt>
                <c:pt idx="77">
                  <c:v>102.80462999999999</c:v>
                </c:pt>
                <c:pt idx="78">
                  <c:v>102.27408</c:v>
                </c:pt>
                <c:pt idx="79">
                  <c:v>103.74395000000001</c:v>
                </c:pt>
                <c:pt idx="80">
                  <c:v>102.98411</c:v>
                </c:pt>
                <c:pt idx="81">
                  <c:v>103.44889999999998</c:v>
                </c:pt>
                <c:pt idx="82">
                  <c:v>105.04940999999999</c:v>
                </c:pt>
                <c:pt idx="83">
                  <c:v>104.34017</c:v>
                </c:pt>
                <c:pt idx="84">
                  <c:v>102.92245</c:v>
                </c:pt>
                <c:pt idx="85">
                  <c:v>104.61492</c:v>
                </c:pt>
                <c:pt idx="86">
                  <c:v>105.78193</c:v>
                </c:pt>
                <c:pt idx="87">
                  <c:v>106.77006999999999</c:v>
                </c:pt>
                <c:pt idx="88">
                  <c:v>132.66287</c:v>
                </c:pt>
                <c:pt idx="89">
                  <c:v>124.14691999999998</c:v>
                </c:pt>
                <c:pt idx="90">
                  <c:v>125.62864</c:v>
                </c:pt>
                <c:pt idx="91">
                  <c:v>124.03752</c:v>
                </c:pt>
                <c:pt idx="92">
                  <c:v>121.78582</c:v>
                </c:pt>
                <c:pt idx="93">
                  <c:v>118.54086</c:v>
                </c:pt>
                <c:pt idx="94">
                  <c:v>119.3588</c:v>
                </c:pt>
                <c:pt idx="95">
                  <c:v>120.39819</c:v>
                </c:pt>
                <c:pt idx="96">
                  <c:v>118.20207000000002</c:v>
                </c:pt>
                <c:pt idx="97">
                  <c:v>117.43832000000002</c:v>
                </c:pt>
                <c:pt idx="98">
                  <c:v>117.36678000000001</c:v>
                </c:pt>
                <c:pt idx="99">
                  <c:v>115.58613999999999</c:v>
                </c:pt>
                <c:pt idx="100">
                  <c:v>117.44354999999999</c:v>
                </c:pt>
                <c:pt idx="101">
                  <c:v>118.13897000000001</c:v>
                </c:pt>
                <c:pt idx="102">
                  <c:v>119.61944000000001</c:v>
                </c:pt>
                <c:pt idx="103">
                  <c:v>120.47631</c:v>
                </c:pt>
                <c:pt idx="104">
                  <c:v>119.50313999999999</c:v>
                </c:pt>
                <c:pt idx="105">
                  <c:v>120.17171999999999</c:v>
                </c:pt>
                <c:pt idx="106">
                  <c:v>121.43632999999998</c:v>
                </c:pt>
                <c:pt idx="107">
                  <c:v>120.54514999999999</c:v>
                </c:pt>
                <c:pt idx="108">
                  <c:v>118.78171</c:v>
                </c:pt>
                <c:pt idx="109">
                  <c:v>121.02874999999999</c:v>
                </c:pt>
                <c:pt idx="110">
                  <c:v>122.56814999999999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B-40CA-95D2-7099FA8BFCD6}"/>
            </c:ext>
          </c:extLst>
        </c:ser>
        <c:ser>
          <c:idx val="1"/>
          <c:order val="1"/>
          <c:tx>
            <c:strRef>
              <c:f>UScalc!$S$1</c:f>
              <c:strCache>
                <c:ptCount val="1"/>
                <c:pt idx="0">
                  <c:v>DEBTcheck Static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UScalc!$S$2:$S$190</c:f>
              <c:numCache>
                <c:formatCode>0.000</c:formatCode>
                <c:ptCount val="189"/>
                <c:pt idx="1">
                  <c:v>60.586930000000009</c:v>
                </c:pt>
                <c:pt idx="2">
                  <c:v>60.406959999999998</c:v>
                </c:pt>
                <c:pt idx="3">
                  <c:v>60.048940000000002</c:v>
                </c:pt>
                <c:pt idx="4">
                  <c:v>59.192270000000008</c:v>
                </c:pt>
                <c:pt idx="5">
                  <c:v>58.392579999999995</c:v>
                </c:pt>
                <c:pt idx="6">
                  <c:v>58.34335999999999</c:v>
                </c:pt>
                <c:pt idx="7">
                  <c:v>57.721339999999991</c:v>
                </c:pt>
                <c:pt idx="8">
                  <c:v>55.484909999999999</c:v>
                </c:pt>
                <c:pt idx="9">
                  <c:v>54.99213000000001</c:v>
                </c:pt>
                <c:pt idx="10">
                  <c:v>54.257899999999999</c:v>
                </c:pt>
                <c:pt idx="11">
                  <c:v>55.14434</c:v>
                </c:pt>
                <c:pt idx="12">
                  <c:v>54.031649999999985</c:v>
                </c:pt>
                <c:pt idx="13">
                  <c:v>54.797629999999998</c:v>
                </c:pt>
                <c:pt idx="14">
                  <c:v>55.752160000000025</c:v>
                </c:pt>
                <c:pt idx="15">
                  <c:v>55.6965</c:v>
                </c:pt>
                <c:pt idx="16">
                  <c:v>56.270870000000002</c:v>
                </c:pt>
                <c:pt idx="17">
                  <c:v>56.70259999999999</c:v>
                </c:pt>
                <c:pt idx="18">
                  <c:v>57.91028</c:v>
                </c:pt>
                <c:pt idx="19">
                  <c:v>57.81906</c:v>
                </c:pt>
                <c:pt idx="20">
                  <c:v>58.961009999999995</c:v>
                </c:pt>
                <c:pt idx="21">
                  <c:v>58.645409999999991</c:v>
                </c:pt>
                <c:pt idx="22">
                  <c:v>59.444659999999999</c:v>
                </c:pt>
                <c:pt idx="23">
                  <c:v>59.807100000000005</c:v>
                </c:pt>
                <c:pt idx="24">
                  <c:v>60.054870000000001</c:v>
                </c:pt>
                <c:pt idx="25">
                  <c:v>59.966430000000003</c:v>
                </c:pt>
                <c:pt idx="26">
                  <c:v>60.637129999999992</c:v>
                </c:pt>
                <c:pt idx="27">
                  <c:v>60.913019999999996</c:v>
                </c:pt>
                <c:pt idx="28">
                  <c:v>60.64153000000001</c:v>
                </c:pt>
                <c:pt idx="29">
                  <c:v>60.358559999999997</c:v>
                </c:pt>
                <c:pt idx="30">
                  <c:v>61.32007999999999</c:v>
                </c:pt>
                <c:pt idx="31">
                  <c:v>61.55642000000001</c:v>
                </c:pt>
                <c:pt idx="32">
                  <c:v>61.221420000000009</c:v>
                </c:pt>
                <c:pt idx="33">
                  <c:v>61.332799999999992</c:v>
                </c:pt>
                <c:pt idx="34">
                  <c:v>61.826890000000013</c:v>
                </c:pt>
                <c:pt idx="35">
                  <c:v>62.252969999999983</c:v>
                </c:pt>
                <c:pt idx="36">
                  <c:v>61.572190000000006</c:v>
                </c:pt>
                <c:pt idx="37">
                  <c:v>61.848259999999996</c:v>
                </c:pt>
                <c:pt idx="38">
                  <c:v>62.719239999999999</c:v>
                </c:pt>
                <c:pt idx="39">
                  <c:v>64.172780000000003</c:v>
                </c:pt>
                <c:pt idx="40">
                  <c:v>63.851719999999993</c:v>
                </c:pt>
                <c:pt idx="41">
                  <c:v>67.28455000000001</c:v>
                </c:pt>
                <c:pt idx="42">
                  <c:v>73.245149999999981</c:v>
                </c:pt>
                <c:pt idx="43">
                  <c:v>77.104959999999991</c:v>
                </c:pt>
                <c:pt idx="44">
                  <c:v>80.280130000000014</c:v>
                </c:pt>
                <c:pt idx="45">
                  <c:v>82.427329999999998</c:v>
                </c:pt>
                <c:pt idx="46">
                  <c:v>84.029349999999994</c:v>
                </c:pt>
                <c:pt idx="47">
                  <c:v>86.511750000000021</c:v>
                </c:pt>
                <c:pt idx="48">
                  <c:v>88.128320000000002</c:v>
                </c:pt>
                <c:pt idx="49">
                  <c:v>89.565279999999987</c:v>
                </c:pt>
                <c:pt idx="50">
                  <c:v>91.611340000000013</c:v>
                </c:pt>
                <c:pt idx="51">
                  <c:v>92.956139999999976</c:v>
                </c:pt>
                <c:pt idx="52">
                  <c:v>92.193799999999996</c:v>
                </c:pt>
                <c:pt idx="53">
                  <c:v>94.520980000000009</c:v>
                </c:pt>
                <c:pt idx="54">
                  <c:v>96.090720000000019</c:v>
                </c:pt>
                <c:pt idx="55">
                  <c:v>97.123080000000002</c:v>
                </c:pt>
                <c:pt idx="56">
                  <c:v>97.827629999999999</c:v>
                </c:pt>
                <c:pt idx="57">
                  <c:v>98.447869999999995</c:v>
                </c:pt>
                <c:pt idx="58">
                  <c:v>100.07496999999998</c:v>
                </c:pt>
                <c:pt idx="59">
                  <c:v>100.73997</c:v>
                </c:pt>
                <c:pt idx="60">
                  <c:v>100.05758000000002</c:v>
                </c:pt>
                <c:pt idx="61">
                  <c:v>98.727969999999999</c:v>
                </c:pt>
                <c:pt idx="62">
                  <c:v>99.791179999999997</c:v>
                </c:pt>
                <c:pt idx="63">
                  <c:v>102.34616999999999</c:v>
                </c:pt>
                <c:pt idx="64">
                  <c:v>100.65130000000001</c:v>
                </c:pt>
                <c:pt idx="65">
                  <c:v>100.11145000000003</c:v>
                </c:pt>
                <c:pt idx="66">
                  <c:v>101.28050000000002</c:v>
                </c:pt>
                <c:pt idx="67">
                  <c:v>100.49008999999998</c:v>
                </c:pt>
                <c:pt idx="68">
                  <c:v>99.300939999999983</c:v>
                </c:pt>
                <c:pt idx="69">
                  <c:v>98.635949999999994</c:v>
                </c:pt>
                <c:pt idx="70">
                  <c:v>102.64191999999998</c:v>
                </c:pt>
                <c:pt idx="71">
                  <c:v>103.98904</c:v>
                </c:pt>
                <c:pt idx="72">
                  <c:v>103.58005</c:v>
                </c:pt>
                <c:pt idx="73">
                  <c:v>103.60355</c:v>
                </c:pt>
                <c:pt idx="74">
                  <c:v>104.64891</c:v>
                </c:pt>
                <c:pt idx="75">
                  <c:v>102.93741000000001</c:v>
                </c:pt>
                <c:pt idx="76">
                  <c:v>102.08817000000001</c:v>
                </c:pt>
                <c:pt idx="77">
                  <c:v>102.80463</c:v>
                </c:pt>
                <c:pt idx="78">
                  <c:v>102.27407999999998</c:v>
                </c:pt>
                <c:pt idx="79">
                  <c:v>103.74395</c:v>
                </c:pt>
                <c:pt idx="80">
                  <c:v>102.98411000000002</c:v>
                </c:pt>
                <c:pt idx="81">
                  <c:v>103.44889999999999</c:v>
                </c:pt>
                <c:pt idx="82">
                  <c:v>105.04940999999998</c:v>
                </c:pt>
                <c:pt idx="83">
                  <c:v>104.34017</c:v>
                </c:pt>
                <c:pt idx="84">
                  <c:v>102.92245000000001</c:v>
                </c:pt>
                <c:pt idx="85">
                  <c:v>104.61492000000001</c:v>
                </c:pt>
                <c:pt idx="86">
                  <c:v>105.78193</c:v>
                </c:pt>
                <c:pt idx="87">
                  <c:v>106.77006999999999</c:v>
                </c:pt>
                <c:pt idx="88">
                  <c:v>132.66287</c:v>
                </c:pt>
                <c:pt idx="89">
                  <c:v>124.14691999999999</c:v>
                </c:pt>
                <c:pt idx="90">
                  <c:v>125.62863999999999</c:v>
                </c:pt>
                <c:pt idx="91">
                  <c:v>124.03752000000001</c:v>
                </c:pt>
                <c:pt idx="92">
                  <c:v>121.78581999999999</c:v>
                </c:pt>
                <c:pt idx="93">
                  <c:v>118.54086000000001</c:v>
                </c:pt>
                <c:pt idx="94">
                  <c:v>119.35879999999999</c:v>
                </c:pt>
                <c:pt idx="95">
                  <c:v>120.39819000000001</c:v>
                </c:pt>
                <c:pt idx="96">
                  <c:v>118.20207000000002</c:v>
                </c:pt>
                <c:pt idx="97">
                  <c:v>117.43832</c:v>
                </c:pt>
                <c:pt idx="98">
                  <c:v>117.36677999999999</c:v>
                </c:pt>
                <c:pt idx="99">
                  <c:v>115.58614</c:v>
                </c:pt>
                <c:pt idx="100">
                  <c:v>117.44354999999999</c:v>
                </c:pt>
                <c:pt idx="101">
                  <c:v>118.13897000000001</c:v>
                </c:pt>
                <c:pt idx="102">
                  <c:v>119.61944</c:v>
                </c:pt>
                <c:pt idx="103">
                  <c:v>120.47631000000001</c:v>
                </c:pt>
                <c:pt idx="104">
                  <c:v>119.50313999999999</c:v>
                </c:pt>
                <c:pt idx="105">
                  <c:v>120.17171999999999</c:v>
                </c:pt>
                <c:pt idx="106">
                  <c:v>121.43632999999998</c:v>
                </c:pt>
                <c:pt idx="107">
                  <c:v>120.54514999999999</c:v>
                </c:pt>
                <c:pt idx="108">
                  <c:v>118.78171000000003</c:v>
                </c:pt>
                <c:pt idx="109">
                  <c:v>121.02875</c:v>
                </c:pt>
                <c:pt idx="110">
                  <c:v>122.56814999999997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B-40CA-95D2-7099FA8BF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040448"/>
        <c:axId val="1146053888"/>
      </c:lineChart>
      <c:catAx>
        <c:axId val="1146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53888"/>
        <c:crosses val="autoZero"/>
        <c:auto val="1"/>
        <c:lblAlgn val="ctr"/>
        <c:lblOffset val="100"/>
        <c:noMultiLvlLbl val="0"/>
      </c:catAx>
      <c:valAx>
        <c:axId val="11460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Components driving</a:t>
            </a:r>
            <a:r>
              <a:rPr lang="en-US" baseline="0"/>
              <a:t> Government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UScalc!$M$1</c:f>
              <c:strCache>
                <c:ptCount val="1"/>
                <c:pt idx="0">
                  <c:v>GEXPSHR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UScalc!$M$2:$M$190</c:f>
              <c:numCache>
                <c:formatCode>General</c:formatCode>
                <c:ptCount val="189"/>
                <c:pt idx="0">
                  <c:v>15.767117714875379</c:v>
                </c:pt>
                <c:pt idx="1">
                  <c:v>15.593891831212845</c:v>
                </c:pt>
                <c:pt idx="2">
                  <c:v>15.649143624090017</c:v>
                </c:pt>
                <c:pt idx="3">
                  <c:v>15.506176260523889</c:v>
                </c:pt>
                <c:pt idx="4">
                  <c:v>15.376734294121167</c:v>
                </c:pt>
                <c:pt idx="5">
                  <c:v>15.404042646015238</c:v>
                </c:pt>
                <c:pt idx="6">
                  <c:v>15.375788029477071</c:v>
                </c:pt>
                <c:pt idx="7">
                  <c:v>15.111567189509403</c:v>
                </c:pt>
                <c:pt idx="8">
                  <c:v>15.169579184442981</c:v>
                </c:pt>
                <c:pt idx="9">
                  <c:v>15.174597421149981</c:v>
                </c:pt>
                <c:pt idx="10">
                  <c:v>15.194805468589493</c:v>
                </c:pt>
                <c:pt idx="11">
                  <c:v>15.6362070712671</c:v>
                </c:pt>
                <c:pt idx="12">
                  <c:v>15.744928766864795</c:v>
                </c:pt>
                <c:pt idx="13">
                  <c:v>16.143364515258508</c:v>
                </c:pt>
                <c:pt idx="14">
                  <c:v>16.205512611316674</c:v>
                </c:pt>
                <c:pt idx="15">
                  <c:v>16.567329716696804</c:v>
                </c:pt>
                <c:pt idx="16">
                  <c:v>16.792052508114843</c:v>
                </c:pt>
                <c:pt idx="17">
                  <c:v>16.826750448833035</c:v>
                </c:pt>
                <c:pt idx="18">
                  <c:v>17.056479029434975</c:v>
                </c:pt>
                <c:pt idx="19">
                  <c:v>17.267278729286193</c:v>
                </c:pt>
                <c:pt idx="20">
                  <c:v>17.763975671378688</c:v>
                </c:pt>
                <c:pt idx="21">
                  <c:v>17.446362474797194</c:v>
                </c:pt>
                <c:pt idx="22">
                  <c:v>17.41446865565193</c:v>
                </c:pt>
                <c:pt idx="23">
                  <c:v>17.471105461365322</c:v>
                </c:pt>
                <c:pt idx="24">
                  <c:v>17.343111407216242</c:v>
                </c:pt>
                <c:pt idx="25">
                  <c:v>17.233507461455453</c:v>
                </c:pt>
                <c:pt idx="26">
                  <c:v>17.223813690737622</c:v>
                </c:pt>
                <c:pt idx="27">
                  <c:v>17.377318875757929</c:v>
                </c:pt>
                <c:pt idx="28">
                  <c:v>17.296010974833656</c:v>
                </c:pt>
                <c:pt idx="29">
                  <c:v>17.257580325173581</c:v>
                </c:pt>
                <c:pt idx="30">
                  <c:v>17.220818594491647</c:v>
                </c:pt>
                <c:pt idx="31">
                  <c:v>17.427363160665809</c:v>
                </c:pt>
                <c:pt idx="32">
                  <c:v>17.316924134673663</c:v>
                </c:pt>
                <c:pt idx="33">
                  <c:v>17.299066169831296</c:v>
                </c:pt>
                <c:pt idx="34">
                  <c:v>17.115785679893101</c:v>
                </c:pt>
                <c:pt idx="35">
                  <c:v>17.398548965502883</c:v>
                </c:pt>
                <c:pt idx="36">
                  <c:v>17.339770735925544</c:v>
                </c:pt>
                <c:pt idx="37">
                  <c:v>17.38215231311311</c:v>
                </c:pt>
                <c:pt idx="38">
                  <c:v>17.519061086949165</c:v>
                </c:pt>
                <c:pt idx="39">
                  <c:v>17.951532848859468</c:v>
                </c:pt>
                <c:pt idx="40">
                  <c:v>20.241904502182578</c:v>
                </c:pt>
                <c:pt idx="41">
                  <c:v>18.873469284748591</c:v>
                </c:pt>
                <c:pt idx="42">
                  <c:v>19.258021294739144</c:v>
                </c:pt>
                <c:pt idx="43">
                  <c:v>20.517761121238298</c:v>
                </c:pt>
                <c:pt idx="44">
                  <c:v>22.060252679255104</c:v>
                </c:pt>
                <c:pt idx="45">
                  <c:v>22.026520806246463</c:v>
                </c:pt>
                <c:pt idx="46">
                  <c:v>21.887608353390213</c:v>
                </c:pt>
                <c:pt idx="47">
                  <c:v>22.691354529513479</c:v>
                </c:pt>
                <c:pt idx="48">
                  <c:v>22.488234964663004</c:v>
                </c:pt>
                <c:pt idx="49">
                  <c:v>22.475758352465498</c:v>
                </c:pt>
                <c:pt idx="50">
                  <c:v>22.275683671431167</c:v>
                </c:pt>
                <c:pt idx="51">
                  <c:v>22.150731318635216</c:v>
                </c:pt>
                <c:pt idx="52">
                  <c:v>22.011129138098255</c:v>
                </c:pt>
                <c:pt idx="53">
                  <c:v>21.416644512157713</c:v>
                </c:pt>
                <c:pt idx="54">
                  <c:v>21.166034465160553</c:v>
                </c:pt>
                <c:pt idx="55">
                  <c:v>20.822961010479624</c:v>
                </c:pt>
                <c:pt idx="56">
                  <c:v>20.66081471008258</c:v>
                </c:pt>
                <c:pt idx="57">
                  <c:v>20.56629533882111</c:v>
                </c:pt>
                <c:pt idx="58">
                  <c:v>20.417682398969234</c:v>
                </c:pt>
                <c:pt idx="59">
                  <c:v>20.108769788713957</c:v>
                </c:pt>
                <c:pt idx="60">
                  <c:v>20.106341878474979</c:v>
                </c:pt>
                <c:pt idx="61">
                  <c:v>19.800720049348119</c:v>
                </c:pt>
                <c:pt idx="62">
                  <c:v>19.47102315324338</c:v>
                </c:pt>
                <c:pt idx="63">
                  <c:v>19.697067137550299</c:v>
                </c:pt>
                <c:pt idx="64">
                  <c:v>19.613799303000004</c:v>
                </c:pt>
                <c:pt idx="65">
                  <c:v>19.599367071686572</c:v>
                </c:pt>
                <c:pt idx="66">
                  <c:v>19.452616304338541</c:v>
                </c:pt>
                <c:pt idx="67">
                  <c:v>19.605919751339844</c:v>
                </c:pt>
                <c:pt idx="68">
                  <c:v>19.501877046249561</c:v>
                </c:pt>
                <c:pt idx="69">
                  <c:v>19.476697330985861</c:v>
                </c:pt>
                <c:pt idx="70">
                  <c:v>19.613203850885405</c:v>
                </c:pt>
                <c:pt idx="71">
                  <c:v>19.637699218711415</c:v>
                </c:pt>
                <c:pt idx="72">
                  <c:v>19.497723937672799</c:v>
                </c:pt>
                <c:pt idx="73">
                  <c:v>19.547221539563637</c:v>
                </c:pt>
                <c:pt idx="74">
                  <c:v>19.462529399201511</c:v>
                </c:pt>
                <c:pt idx="75">
                  <c:v>19.354651151934817</c:v>
                </c:pt>
                <c:pt idx="76">
                  <c:v>19.159439267442693</c:v>
                </c:pt>
                <c:pt idx="77">
                  <c:v>19.157089251061119</c:v>
                </c:pt>
                <c:pt idx="78">
                  <c:v>19.099292272410043</c:v>
                </c:pt>
                <c:pt idx="79">
                  <c:v>19.139985025003995</c:v>
                </c:pt>
                <c:pt idx="80">
                  <c:v>19.05651702898297</c:v>
                </c:pt>
                <c:pt idx="81">
                  <c:v>19.04122992125</c:v>
                </c:pt>
                <c:pt idx="82">
                  <c:v>19.228432803401994</c:v>
                </c:pt>
                <c:pt idx="83">
                  <c:v>19.459837245874308</c:v>
                </c:pt>
                <c:pt idx="84">
                  <c:v>19.387573699858372</c:v>
                </c:pt>
                <c:pt idx="85">
                  <c:v>19.316567521616879</c:v>
                </c:pt>
                <c:pt idx="86">
                  <c:v>19.295085622870555</c:v>
                </c:pt>
                <c:pt idx="87">
                  <c:v>19.872436686132527</c:v>
                </c:pt>
                <c:pt idx="88">
                  <c:v>41.970707812607806</c:v>
                </c:pt>
                <c:pt idx="89">
                  <c:v>30.713074934862394</c:v>
                </c:pt>
                <c:pt idx="90">
                  <c:v>24.501257744318416</c:v>
                </c:pt>
                <c:pt idx="91">
                  <c:v>34.446800192569071</c:v>
                </c:pt>
                <c:pt idx="92">
                  <c:v>30.70826704277443</c:v>
                </c:pt>
                <c:pt idx="93">
                  <c:v>25.884379527151996</c:v>
                </c:pt>
                <c:pt idx="94">
                  <c:v>22.679998065576942</c:v>
                </c:pt>
                <c:pt idx="95">
                  <c:v>21.250587170148588</c:v>
                </c:pt>
                <c:pt idx="96">
                  <c:v>20.860972452575069</c:v>
                </c:pt>
                <c:pt idx="97">
                  <c:v>20.605229951780629</c:v>
                </c:pt>
                <c:pt idx="98">
                  <c:v>20.527188981130511</c:v>
                </c:pt>
                <c:pt idx="99">
                  <c:v>20.474139807752262</c:v>
                </c:pt>
                <c:pt idx="100">
                  <c:v>20.332654620559243</c:v>
                </c:pt>
                <c:pt idx="101">
                  <c:v>19.91724549441874</c:v>
                </c:pt>
                <c:pt idx="102">
                  <c:v>19.830097194969927</c:v>
                </c:pt>
                <c:pt idx="103">
                  <c:v>20.116053410735709</c:v>
                </c:pt>
                <c:pt idx="104">
                  <c:v>20.072210410084807</c:v>
                </c:pt>
                <c:pt idx="105">
                  <c:v>20.396955590169362</c:v>
                </c:pt>
                <c:pt idx="106">
                  <c:v>20.425846856525467</c:v>
                </c:pt>
                <c:pt idx="107">
                  <c:v>20.535789210299555</c:v>
                </c:pt>
                <c:pt idx="108">
                  <c:v>20.781654917945378</c:v>
                </c:pt>
                <c:pt idx="109">
                  <c:v>20.519115248050948</c:v>
                </c:pt>
                <c:pt idx="110">
                  <c:v>20.228061868737093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0-47EA-B13A-DF3629E3F8D8}"/>
            </c:ext>
          </c:extLst>
        </c:ser>
        <c:ser>
          <c:idx val="1"/>
          <c:order val="1"/>
          <c:tx>
            <c:strRef>
              <c:f>UScalc!$N$1</c:f>
              <c:strCache>
                <c:ptCount val="1"/>
                <c:pt idx="0">
                  <c:v>TAXSHR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UScalc!$N$2:$N$190</c:f>
              <c:numCache>
                <c:formatCode>General</c:formatCode>
                <c:ptCount val="189"/>
                <c:pt idx="0">
                  <c:v>19.750361745695145</c:v>
                </c:pt>
                <c:pt idx="1">
                  <c:v>19.827077817503749</c:v>
                </c:pt>
                <c:pt idx="2">
                  <c:v>19.744854497922368</c:v>
                </c:pt>
                <c:pt idx="3">
                  <c:v>19.76269491468156</c:v>
                </c:pt>
                <c:pt idx="4">
                  <c:v>19.789444070622</c:v>
                </c:pt>
                <c:pt idx="5">
                  <c:v>19.768100884663042</c:v>
                </c:pt>
                <c:pt idx="6">
                  <c:v>19.835580584533457</c:v>
                </c:pt>
                <c:pt idx="7">
                  <c:v>20.413191965470723</c:v>
                </c:pt>
                <c:pt idx="8">
                  <c:v>20.065721936196539</c:v>
                </c:pt>
                <c:pt idx="9">
                  <c:v>20.122453944087923</c:v>
                </c:pt>
                <c:pt idx="10">
                  <c:v>20.092443816176399</c:v>
                </c:pt>
                <c:pt idx="11">
                  <c:v>20.162477790604619</c:v>
                </c:pt>
                <c:pt idx="12">
                  <c:v>19.797707330880272</c:v>
                </c:pt>
                <c:pt idx="13">
                  <c:v>18.000334024657437</c:v>
                </c:pt>
                <c:pt idx="14">
                  <c:v>18.876990825447109</c:v>
                </c:pt>
                <c:pt idx="15">
                  <c:v>17.300848518570035</c:v>
                </c:pt>
                <c:pt idx="16">
                  <c:v>17.157647421896382</c:v>
                </c:pt>
                <c:pt idx="17">
                  <c:v>17.022680179606045</c:v>
                </c:pt>
                <c:pt idx="18">
                  <c:v>16.996875540447604</c:v>
                </c:pt>
                <c:pt idx="19">
                  <c:v>16.912423330713292</c:v>
                </c:pt>
                <c:pt idx="20">
                  <c:v>16.907129520755579</c:v>
                </c:pt>
                <c:pt idx="21">
                  <c:v>15.909385839605163</c:v>
                </c:pt>
                <c:pt idx="22">
                  <c:v>16.494711199250712</c:v>
                </c:pt>
                <c:pt idx="23">
                  <c:v>16.371658296464101</c:v>
                </c:pt>
                <c:pt idx="24">
                  <c:v>16.540193175574792</c:v>
                </c:pt>
                <c:pt idx="25">
                  <c:v>16.763604516327792</c:v>
                </c:pt>
                <c:pt idx="26">
                  <c:v>16.715288810425047</c:v>
                </c:pt>
                <c:pt idx="27">
                  <c:v>17.566693500874031</c:v>
                </c:pt>
                <c:pt idx="28">
                  <c:v>17.581586943117575</c:v>
                </c:pt>
                <c:pt idx="29">
                  <c:v>17.627650513496448</c:v>
                </c:pt>
                <c:pt idx="30">
                  <c:v>17.916912710132628</c:v>
                </c:pt>
                <c:pt idx="31">
                  <c:v>18.257708564352505</c:v>
                </c:pt>
                <c:pt idx="32">
                  <c:v>18.311840018892749</c:v>
                </c:pt>
                <c:pt idx="33">
                  <c:v>18.477478459556565</c:v>
                </c:pt>
                <c:pt idx="34">
                  <c:v>18.453925906509891</c:v>
                </c:pt>
                <c:pt idx="35">
                  <c:v>18.708154835821446</c:v>
                </c:pt>
                <c:pt idx="36">
                  <c:v>18.568190349145354</c:v>
                </c:pt>
                <c:pt idx="37">
                  <c:v>18.310289597371405</c:v>
                </c:pt>
                <c:pt idx="38">
                  <c:v>18.164277707909818</c:v>
                </c:pt>
                <c:pt idx="39">
                  <c:v>17.944053182332919</c:v>
                </c:pt>
                <c:pt idx="40">
                  <c:v>17.63123044113426</c:v>
                </c:pt>
                <c:pt idx="41">
                  <c:v>17.280154190224458</c:v>
                </c:pt>
                <c:pt idx="42">
                  <c:v>17.070381454701256</c:v>
                </c:pt>
                <c:pt idx="43">
                  <c:v>15.400589651291375</c:v>
                </c:pt>
                <c:pt idx="44">
                  <c:v>15.463371854825272</c:v>
                </c:pt>
                <c:pt idx="45">
                  <c:v>15.402582705014828</c:v>
                </c:pt>
                <c:pt idx="46">
                  <c:v>15.674376976324682</c:v>
                </c:pt>
                <c:pt idx="47">
                  <c:v>16.025699290397782</c:v>
                </c:pt>
                <c:pt idx="48">
                  <c:v>16.159157629010522</c:v>
                </c:pt>
                <c:pt idx="49">
                  <c:v>16.400438870193899</c:v>
                </c:pt>
                <c:pt idx="50">
                  <c:v>16.427487972480311</c:v>
                </c:pt>
                <c:pt idx="51">
                  <c:v>16.720605118162144</c:v>
                </c:pt>
                <c:pt idx="52">
                  <c:v>16.551281022017687</c:v>
                </c:pt>
                <c:pt idx="53">
                  <c:v>16.394590124542425</c:v>
                </c:pt>
                <c:pt idx="54">
                  <c:v>16.331250486436311</c:v>
                </c:pt>
                <c:pt idx="55">
                  <c:v>16.578388996568197</c:v>
                </c:pt>
                <c:pt idx="56">
                  <c:v>16.534386286516757</c:v>
                </c:pt>
                <c:pt idx="57">
                  <c:v>16.486707561199179</c:v>
                </c:pt>
                <c:pt idx="58">
                  <c:v>16.863260310227162</c:v>
                </c:pt>
                <c:pt idx="59">
                  <c:v>17.927103062080807</c:v>
                </c:pt>
                <c:pt idx="60">
                  <c:v>19.396298107556198</c:v>
                </c:pt>
                <c:pt idx="61">
                  <c:v>18.109934753416898</c:v>
                </c:pt>
                <c:pt idx="62">
                  <c:v>18.878905380455898</c:v>
                </c:pt>
                <c:pt idx="63">
                  <c:v>18.972483474280164</c:v>
                </c:pt>
                <c:pt idx="64">
                  <c:v>18.813422923915667</c:v>
                </c:pt>
                <c:pt idx="65">
                  <c:v>18.555693625132189</c:v>
                </c:pt>
                <c:pt idx="66">
                  <c:v>18.508728104649379</c:v>
                </c:pt>
                <c:pt idx="67">
                  <c:v>18.775561519567969</c:v>
                </c:pt>
                <c:pt idx="68">
                  <c:v>18.848149409205273</c:v>
                </c:pt>
                <c:pt idx="69">
                  <c:v>18.730208950013438</c:v>
                </c:pt>
                <c:pt idx="70">
                  <c:v>19.039457097606601</c:v>
                </c:pt>
                <c:pt idx="71">
                  <c:v>18.598420927032389</c:v>
                </c:pt>
                <c:pt idx="72">
                  <c:v>18.42208154020409</c:v>
                </c:pt>
                <c:pt idx="73">
                  <c:v>18.360224847359866</c:v>
                </c:pt>
                <c:pt idx="74">
                  <c:v>18.237067848042621</c:v>
                </c:pt>
                <c:pt idx="75">
                  <c:v>18.061041642764629</c:v>
                </c:pt>
                <c:pt idx="76">
                  <c:v>17.839460295659524</c:v>
                </c:pt>
                <c:pt idx="77">
                  <c:v>17.835023774164856</c:v>
                </c:pt>
                <c:pt idx="78">
                  <c:v>17.731508690284734</c:v>
                </c:pt>
                <c:pt idx="79">
                  <c:v>17.287137948283874</c:v>
                </c:pt>
                <c:pt idx="80">
                  <c:v>17.262218506157552</c:v>
                </c:pt>
                <c:pt idx="81">
                  <c:v>17.464600002019356</c:v>
                </c:pt>
                <c:pt idx="82">
                  <c:v>17.368004108640715</c:v>
                </c:pt>
                <c:pt idx="83">
                  <c:v>17.300195153375395</c:v>
                </c:pt>
                <c:pt idx="84">
                  <c:v>17.195666236625232</c:v>
                </c:pt>
                <c:pt idx="85">
                  <c:v>17.076782238349555</c:v>
                </c:pt>
                <c:pt idx="86">
                  <c:v>17.219817776845048</c:v>
                </c:pt>
                <c:pt idx="87">
                  <c:v>17.429895254697684</c:v>
                </c:pt>
                <c:pt idx="88">
                  <c:v>17.709487250185898</c:v>
                </c:pt>
                <c:pt idx="89">
                  <c:v>17.496768057148866</c:v>
                </c:pt>
                <c:pt idx="90">
                  <c:v>17.853617214707551</c:v>
                </c:pt>
                <c:pt idx="91">
                  <c:v>18.232873219526404</c:v>
                </c:pt>
                <c:pt idx="92">
                  <c:v>18.649580742007458</c:v>
                </c:pt>
                <c:pt idx="93">
                  <c:v>18.860264029686132</c:v>
                </c:pt>
                <c:pt idx="94">
                  <c:v>18.89706048296096</c:v>
                </c:pt>
                <c:pt idx="95">
                  <c:v>20.09917725091065</c:v>
                </c:pt>
                <c:pt idx="96">
                  <c:v>19.855110100454375</c:v>
                </c:pt>
                <c:pt idx="97">
                  <c:v>19.552546173525336</c:v>
                </c:pt>
                <c:pt idx="98">
                  <c:v>19.061135695788284</c:v>
                </c:pt>
                <c:pt idx="99">
                  <c:v>17.460013605744614</c:v>
                </c:pt>
                <c:pt idx="100">
                  <c:v>17.324400550598245</c:v>
                </c:pt>
                <c:pt idx="101">
                  <c:v>17.22377034588186</c:v>
                </c:pt>
                <c:pt idx="102">
                  <c:v>17.331905655928669</c:v>
                </c:pt>
                <c:pt idx="103">
                  <c:v>17.576326118555627</c:v>
                </c:pt>
                <c:pt idx="104">
                  <c:v>17.657015236262033</c:v>
                </c:pt>
                <c:pt idx="105">
                  <c:v>17.654426398999391</c:v>
                </c:pt>
                <c:pt idx="106">
                  <c:v>17.814452900907696</c:v>
                </c:pt>
                <c:pt idx="107">
                  <c:v>17.950524984710626</c:v>
                </c:pt>
                <c:pt idx="108">
                  <c:v>18.381518775555605</c:v>
                </c:pt>
                <c:pt idx="109">
                  <c:v>18.630107948648963</c:v>
                </c:pt>
                <c:pt idx="110">
                  <c:v>18.771498510336183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0-47EA-B13A-DF3629E3F8D8}"/>
            </c:ext>
          </c:extLst>
        </c:ser>
        <c:ser>
          <c:idx val="2"/>
          <c:order val="2"/>
          <c:tx>
            <c:strRef>
              <c:f>UScalc!$R$1</c:f>
              <c:strCache>
                <c:ptCount val="1"/>
                <c:pt idx="0">
                  <c:v>FFLOWSHR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UScalc!$R$2:$R$190</c:f>
              <c:numCache>
                <c:formatCode>General</c:formatCode>
                <c:ptCount val="189"/>
                <c:pt idx="0">
                  <c:v>0</c:v>
                </c:pt>
                <c:pt idx="1">
                  <c:v>-0.73520687164271736</c:v>
                </c:pt>
                <c:pt idx="2">
                  <c:v>4.0097530179015317</c:v>
                </c:pt>
                <c:pt idx="3">
                  <c:v>2.0995758844041017</c:v>
                </c:pt>
                <c:pt idx="4">
                  <c:v>0.17721283894434284</c:v>
                </c:pt>
                <c:pt idx="5">
                  <c:v>1.4620216526910406</c:v>
                </c:pt>
                <c:pt idx="6">
                  <c:v>5.7361002192022967</c:v>
                </c:pt>
                <c:pt idx="7">
                  <c:v>1.6462215971219571</c:v>
                </c:pt>
                <c:pt idx="8">
                  <c:v>-1.9729277906343974</c:v>
                </c:pt>
                <c:pt idx="9">
                  <c:v>1.0720216768195088</c:v>
                </c:pt>
                <c:pt idx="10">
                  <c:v>1.0554813671741929</c:v>
                </c:pt>
                <c:pt idx="11">
                  <c:v>5.4872614615436826</c:v>
                </c:pt>
                <c:pt idx="12">
                  <c:v>-0.87671281914900723</c:v>
                </c:pt>
                <c:pt idx="13">
                  <c:v>1.8170640714397814</c:v>
                </c:pt>
                <c:pt idx="14">
                  <c:v>4.792228729910037</c:v>
                </c:pt>
                <c:pt idx="15">
                  <c:v>0.22755409490422435</c:v>
                </c:pt>
                <c:pt idx="16">
                  <c:v>2.0169216842863151</c:v>
                </c:pt>
                <c:pt idx="17">
                  <c:v>1.1689889016427557</c:v>
                </c:pt>
                <c:pt idx="18">
                  <c:v>3.6639306054613385</c:v>
                </c:pt>
                <c:pt idx="19">
                  <c:v>-0.98591921840173147</c:v>
                </c:pt>
                <c:pt idx="20">
                  <c:v>3.9789028270963591</c:v>
                </c:pt>
                <c:pt idx="21">
                  <c:v>-0.14384899036013929</c:v>
                </c:pt>
                <c:pt idx="22">
                  <c:v>3.8751529169909529</c:v>
                </c:pt>
                <c:pt idx="23">
                  <c:v>0.86753084179769269</c:v>
                </c:pt>
                <c:pt idx="24">
                  <c:v>1.454267430106059</c:v>
                </c:pt>
                <c:pt idx="25">
                  <c:v>0.42981477340142732</c:v>
                </c:pt>
                <c:pt idx="26">
                  <c:v>3.8817004361256817</c:v>
                </c:pt>
                <c:pt idx="27">
                  <c:v>3.2736538079902124</c:v>
                </c:pt>
                <c:pt idx="28">
                  <c:v>-0.52969481197669355</c:v>
                </c:pt>
                <c:pt idx="29">
                  <c:v>0.64113112472814671</c:v>
                </c:pt>
                <c:pt idx="30">
                  <c:v>5.1656322586474932</c:v>
                </c:pt>
                <c:pt idx="31">
                  <c:v>4.100878110377475</c:v>
                </c:pt>
                <c:pt idx="32">
                  <c:v>-0.2547605498441618</c:v>
                </c:pt>
                <c:pt idx="33">
                  <c:v>0.9724581741270576</c:v>
                </c:pt>
                <c:pt idx="34">
                  <c:v>3.5181915108450919</c:v>
                </c:pt>
                <c:pt idx="35">
                  <c:v>3.2916293358833233</c:v>
                </c:pt>
                <c:pt idx="36">
                  <c:v>-1.103636525299547</c:v>
                </c:pt>
                <c:pt idx="37">
                  <c:v>1.9288064183609102</c:v>
                </c:pt>
                <c:pt idx="38">
                  <c:v>3.8545371494968212</c:v>
                </c:pt>
                <c:pt idx="39">
                  <c:v>2.9178446537778049</c:v>
                </c:pt>
                <c:pt idx="40">
                  <c:v>-3.7589885010925976</c:v>
                </c:pt>
                <c:pt idx="41">
                  <c:v>10.143866795273993</c:v>
                </c:pt>
                <c:pt idx="42">
                  <c:v>13.698678947131684</c:v>
                </c:pt>
                <c:pt idx="43">
                  <c:v>4.2147294847045131</c:v>
                </c:pt>
                <c:pt idx="44">
                  <c:v>2.5900970310924598</c:v>
                </c:pt>
                <c:pt idx="45">
                  <c:v>1.0437400220667021</c:v>
                </c:pt>
                <c:pt idx="46">
                  <c:v>2.3339963475031551</c:v>
                </c:pt>
                <c:pt idx="47">
                  <c:v>3.4046057455904535</c:v>
                </c:pt>
                <c:pt idx="48">
                  <c:v>2.601046114228208</c:v>
                </c:pt>
                <c:pt idx="49">
                  <c:v>0.85970484881817943</c:v>
                </c:pt>
                <c:pt idx="50">
                  <c:v>3.6547584143518317</c:v>
                </c:pt>
                <c:pt idx="51">
                  <c:v>-1.7249912436768116</c:v>
                </c:pt>
                <c:pt idx="52">
                  <c:v>-6.3153524301035304</c:v>
                </c:pt>
                <c:pt idx="53">
                  <c:v>3.6462681415264222</c:v>
                </c:pt>
                <c:pt idx="54">
                  <c:v>3.352501789064414</c:v>
                </c:pt>
                <c:pt idx="55">
                  <c:v>2.6381264276764669</c:v>
                </c:pt>
                <c:pt idx="56">
                  <c:v>-0.61113503099108124</c:v>
                </c:pt>
                <c:pt idx="57">
                  <c:v>-1.4824433505280812</c:v>
                </c:pt>
                <c:pt idx="58">
                  <c:v>2.8347054931448521</c:v>
                </c:pt>
                <c:pt idx="59">
                  <c:v>3.4859338999335212</c:v>
                </c:pt>
                <c:pt idx="60">
                  <c:v>-3.9664434194673079</c:v>
                </c:pt>
                <c:pt idx="61">
                  <c:v>-4.1521697561580169</c:v>
                </c:pt>
                <c:pt idx="62">
                  <c:v>6.6598118914503672</c:v>
                </c:pt>
                <c:pt idx="63">
                  <c:v>7.1164369107239871</c:v>
                </c:pt>
                <c:pt idx="64">
                  <c:v>-2.595663444183625</c:v>
                </c:pt>
                <c:pt idx="65">
                  <c:v>0.77472653129354829</c:v>
                </c:pt>
                <c:pt idx="66">
                  <c:v>3.6742604694631531</c:v>
                </c:pt>
                <c:pt idx="67">
                  <c:v>-2.968564388916612</c:v>
                </c:pt>
                <c:pt idx="68">
                  <c:v>-2.9847936344651869</c:v>
                </c:pt>
                <c:pt idx="69">
                  <c:v>-3.1016926748234939</c:v>
                </c:pt>
                <c:pt idx="70">
                  <c:v>13.809427093129898</c:v>
                </c:pt>
                <c:pt idx="71">
                  <c:v>3.9527522055229576</c:v>
                </c:pt>
                <c:pt idx="72">
                  <c:v>-1.0045070254367698</c:v>
                </c:pt>
                <c:pt idx="73">
                  <c:v>0.45334387077418242</c:v>
                </c:pt>
                <c:pt idx="74">
                  <c:v>4.8163558717001731</c:v>
                </c:pt>
                <c:pt idx="75">
                  <c:v>-6.3885081381284303</c:v>
                </c:pt>
                <c:pt idx="76">
                  <c:v>-3.7824492973362238</c:v>
                </c:pt>
                <c:pt idx="77">
                  <c:v>4.3649506957391511</c:v>
                </c:pt>
                <c:pt idx="78">
                  <c:v>1.117362635566566</c:v>
                </c:pt>
                <c:pt idx="79">
                  <c:v>7.3950654383143117</c:v>
                </c:pt>
                <c:pt idx="80">
                  <c:v>-2.3291495918217811</c:v>
                </c:pt>
                <c:pt idx="81">
                  <c:v>1.9431156784438186</c:v>
                </c:pt>
                <c:pt idx="82">
                  <c:v>4.1675514834222165</c:v>
                </c:pt>
                <c:pt idx="83">
                  <c:v>-3.8865607223459762</c:v>
                </c:pt>
                <c:pt idx="84">
                  <c:v>-5.0183394425949226</c:v>
                </c:pt>
                <c:pt idx="85">
                  <c:v>7.9190890716327615</c:v>
                </c:pt>
                <c:pt idx="86">
                  <c:v>4.1421317406361888</c:v>
                </c:pt>
                <c:pt idx="87">
                  <c:v>-4.5315942976947063</c:v>
                </c:pt>
                <c:pt idx="88">
                  <c:v>38.36428890800525</c:v>
                </c:pt>
                <c:pt idx="89">
                  <c:v>-6.9291934125966765</c:v>
                </c:pt>
                <c:pt idx="90">
                  <c:v>5.5446183897540324</c:v>
                </c:pt>
                <c:pt idx="91">
                  <c:v>-11.780360619675905</c:v>
                </c:pt>
                <c:pt idx="92">
                  <c:v>-7.6753522924249653</c:v>
                </c:pt>
                <c:pt idx="93">
                  <c:v>-11.152117492640707</c:v>
                </c:pt>
                <c:pt idx="94">
                  <c:v>12.905110612576987</c:v>
                </c:pt>
                <c:pt idx="95">
                  <c:v>8.7415798273077705</c:v>
                </c:pt>
                <c:pt idx="96">
                  <c:v>-1.06104573545509</c:v>
                </c:pt>
                <c:pt idx="97">
                  <c:v>1.5643917984603528</c:v>
                </c:pt>
                <c:pt idx="98">
                  <c:v>2.7923752761175198</c:v>
                </c:pt>
                <c:pt idx="99">
                  <c:v>-5.6091572654135984</c:v>
                </c:pt>
                <c:pt idx="100">
                  <c:v>6.4404620801447932</c:v>
                </c:pt>
                <c:pt idx="101">
                  <c:v>5.7601453562196525</c:v>
                </c:pt>
                <c:pt idx="102">
                  <c:v>5.6115079608602905</c:v>
                </c:pt>
                <c:pt idx="103">
                  <c:v>1.8805664870320182</c:v>
                </c:pt>
                <c:pt idx="104">
                  <c:v>-2.8377628205110597</c:v>
                </c:pt>
                <c:pt idx="105">
                  <c:v>1.9538638314559302</c:v>
                </c:pt>
                <c:pt idx="106">
                  <c:v>3.6253251658252124</c:v>
                </c:pt>
                <c:pt idx="107">
                  <c:v>-6.4511608434612961</c:v>
                </c:pt>
                <c:pt idx="108">
                  <c:v>-6.2454103276139099</c:v>
                </c:pt>
                <c:pt idx="109">
                  <c:v>12.597903919712904</c:v>
                </c:pt>
                <c:pt idx="110">
                  <c:v>5.7940529505043772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E0-47EA-B13A-DF3629E3F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661216"/>
        <c:axId val="631661696"/>
      </c:lineChart>
      <c:catAx>
        <c:axId val="6316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61696"/>
        <c:crosses val="autoZero"/>
        <c:auto val="1"/>
        <c:lblAlgn val="ctr"/>
        <c:lblOffset val="100"/>
        <c:noMultiLvlLbl val="0"/>
      </c:catAx>
      <c:valAx>
        <c:axId val="6316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Ieff - Effective Govt</a:t>
            </a:r>
            <a:r>
              <a:rPr lang="en-US" baseline="0"/>
              <a:t> Debt Interest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UScalc!$Q$1:$Q$2</c:f>
              <c:strCache>
                <c:ptCount val="2"/>
                <c:pt idx="0">
                  <c:v>Ieff</c:v>
                </c:pt>
                <c:pt idx="1">
                  <c:v>NaN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UScalc!$Q$3:$Q$190</c:f>
              <c:numCache>
                <c:formatCode>General</c:formatCode>
                <c:ptCount val="188"/>
                <c:pt idx="0">
                  <c:v>6.600726647320255</c:v>
                </c:pt>
                <c:pt idx="1">
                  <c:v>6.5160232823012949</c:v>
                </c:pt>
                <c:pt idx="2">
                  <c:v>6.2804122687039454</c:v>
                </c:pt>
                <c:pt idx="3">
                  <c:v>6.2308027480646535</c:v>
                </c:pt>
                <c:pt idx="4">
                  <c:v>6.2260454121040372</c:v>
                </c:pt>
                <c:pt idx="5">
                  <c:v>6.2395350260082862</c:v>
                </c:pt>
                <c:pt idx="6">
                  <c:v>6.1429431295288541</c:v>
                </c:pt>
                <c:pt idx="7">
                  <c:v>6.1334656551368649</c:v>
                </c:pt>
                <c:pt idx="8">
                  <c:v>6.2061349667431696</c:v>
                </c:pt>
                <c:pt idx="9">
                  <c:v>6.2230151361271728</c:v>
                </c:pt>
                <c:pt idx="10">
                  <c:v>6.1014809014071583</c:v>
                </c:pt>
                <c:pt idx="11">
                  <c:v>5.7982523056720039</c:v>
                </c:pt>
                <c:pt idx="12">
                  <c:v>5.7069422317538541</c:v>
                </c:pt>
                <c:pt idx="13">
                  <c:v>5.472629906285281</c:v>
                </c:pt>
                <c:pt idx="14">
                  <c:v>5.1305477210321291</c:v>
                </c:pt>
                <c:pt idx="15">
                  <c:v>5.0275788757640054</c:v>
                </c:pt>
                <c:pt idx="16">
                  <c:v>4.8998864813841765</c:v>
                </c:pt>
                <c:pt idx="17">
                  <c:v>4.7847574709513063</c:v>
                </c:pt>
                <c:pt idx="18">
                  <c:v>4.5396083221777239</c:v>
                </c:pt>
                <c:pt idx="19">
                  <c:v>4.4936085731497295</c:v>
                </c:pt>
                <c:pt idx="20">
                  <c:v>4.3726192666328956</c:v>
                </c:pt>
                <c:pt idx="21">
                  <c:v>4.335752701114167</c:v>
                </c:pt>
                <c:pt idx="22">
                  <c:v>4.2566949437109836</c:v>
                </c:pt>
                <c:pt idx="23">
                  <c:v>4.2021897061124154</c:v>
                </c:pt>
                <c:pt idx="24">
                  <c:v>4.2362495984014155</c:v>
                </c:pt>
                <c:pt idx="25">
                  <c:v>4.3147269262282304</c:v>
                </c:pt>
                <c:pt idx="26">
                  <c:v>4.3365033850458357</c:v>
                </c:pt>
                <c:pt idx="27">
                  <c:v>4.4179590328627087</c:v>
                </c:pt>
                <c:pt idx="28">
                  <c:v>4.4564303479591443</c:v>
                </c:pt>
                <c:pt idx="29">
                  <c:v>4.4786967418747476</c:v>
                </c:pt>
                <c:pt idx="30">
                  <c:v>4.3842216988805607</c:v>
                </c:pt>
                <c:pt idx="31">
                  <c:v>4.3890592646687345</c:v>
                </c:pt>
                <c:pt idx="32">
                  <c:v>4.4690872518529652</c:v>
                </c:pt>
                <c:pt idx="33">
                  <c:v>4.548326699052172</c:v>
                </c:pt>
                <c:pt idx="34">
                  <c:v>4.5621982926778033</c:v>
                </c:pt>
                <c:pt idx="35">
                  <c:v>4.6093722440010012</c:v>
                </c:pt>
                <c:pt idx="36">
                  <c:v>4.6704902119874205</c:v>
                </c:pt>
                <c:pt idx="37">
                  <c:v>4.5941490236053157</c:v>
                </c:pt>
                <c:pt idx="38">
                  <c:v>4.3717136949515618</c:v>
                </c:pt>
                <c:pt idx="39">
                  <c:v>4.114936377090495</c:v>
                </c:pt>
                <c:pt idx="40">
                  <c:v>4.026040532584755</c:v>
                </c:pt>
                <c:pt idx="41">
                  <c:v>3.7867774080783154</c:v>
                </c:pt>
                <c:pt idx="42">
                  <c:v>3.3820150340934951</c:v>
                </c:pt>
                <c:pt idx="43">
                  <c:v>3.1646972263459876</c:v>
                </c:pt>
                <c:pt idx="44">
                  <c:v>3.0342889305169742</c:v>
                </c:pt>
                <c:pt idx="45">
                  <c:v>2.9707482801040892</c:v>
                </c:pt>
                <c:pt idx="46">
                  <c:v>2.9262267780325404</c:v>
                </c:pt>
                <c:pt idx="47">
                  <c:v>2.9509620709084055</c:v>
                </c:pt>
                <c:pt idx="48">
                  <c:v>2.948440541319751</c:v>
                </c:pt>
                <c:pt idx="49">
                  <c:v>2.945915902982494</c:v>
                </c:pt>
                <c:pt idx="50">
                  <c:v>2.9290461582044545</c:v>
                </c:pt>
                <c:pt idx="51">
                  <c:v>2.9781613170187602</c:v>
                </c:pt>
                <c:pt idx="52">
                  <c:v>3.0162615508198538</c:v>
                </c:pt>
                <c:pt idx="53">
                  <c:v>2.9299528330017619</c:v>
                </c:pt>
                <c:pt idx="54">
                  <c:v>2.813799300608387</c:v>
                </c:pt>
                <c:pt idx="55">
                  <c:v>2.7190241339291328</c:v>
                </c:pt>
                <c:pt idx="56">
                  <c:v>2.6551436832676982</c:v>
                </c:pt>
                <c:pt idx="57">
                  <c:v>2.5944713063722862</c:v>
                </c:pt>
                <c:pt idx="58">
                  <c:v>2.5014225591584416</c:v>
                </c:pt>
                <c:pt idx="59">
                  <c:v>2.4595947688295361</c:v>
                </c:pt>
                <c:pt idx="60">
                  <c:v>2.4897481675990538</c:v>
                </c:pt>
                <c:pt idx="61">
                  <c:v>2.5391111674078628</c:v>
                </c:pt>
                <c:pt idx="62">
                  <c:v>2.5177722853191726</c:v>
                </c:pt>
                <c:pt idx="63">
                  <c:v>2.499979238714225</c:v>
                </c:pt>
                <c:pt idx="64">
                  <c:v>2.5073264776164033</c:v>
                </c:pt>
                <c:pt idx="65">
                  <c:v>2.4813804021671864</c:v>
                </c:pt>
                <c:pt idx="66">
                  <c:v>2.3630369201895722</c:v>
                </c:pt>
                <c:pt idx="67">
                  <c:v>2.3461639117523796</c:v>
                </c:pt>
                <c:pt idx="68">
                  <c:v>2.3572116717463794</c:v>
                </c:pt>
                <c:pt idx="69">
                  <c:v>2.394860522869056</c:v>
                </c:pt>
                <c:pt idx="70">
                  <c:v>2.3582115469184486</c:v>
                </c:pt>
                <c:pt idx="71">
                  <c:v>2.3529323365482573</c:v>
                </c:pt>
                <c:pt idx="72">
                  <c:v>2.3605596507538733</c:v>
                </c:pt>
                <c:pt idx="73">
                  <c:v>2.351062918281277</c:v>
                </c:pt>
                <c:pt idx="74">
                  <c:v>2.3060168607549678</c:v>
                </c:pt>
                <c:pt idx="75">
                  <c:v>2.3743023729342596</c:v>
                </c:pt>
                <c:pt idx="76">
                  <c:v>2.4261415897022243</c:v>
                </c:pt>
                <c:pt idx="77">
                  <c:v>2.4373596014919858</c:v>
                </c:pt>
                <c:pt idx="78">
                  <c:v>2.4770665925092827</c:v>
                </c:pt>
                <c:pt idx="79">
                  <c:v>2.521512470902878</c:v>
                </c:pt>
                <c:pt idx="80">
                  <c:v>2.6038650717192051</c:v>
                </c:pt>
                <c:pt idx="81">
                  <c:v>2.6548962451984606</c:v>
                </c:pt>
                <c:pt idx="82">
                  <c:v>2.6381699774140879</c:v>
                </c:pt>
                <c:pt idx="83">
                  <c:v>2.6621219011710191</c:v>
                </c:pt>
                <c:pt idx="84">
                  <c:v>2.6256576970401904</c:v>
                </c:pt>
                <c:pt idx="85">
                  <c:v>2.4835205748310081</c:v>
                </c:pt>
                <c:pt idx="86">
                  <c:v>2.3452139228376558</c:v>
                </c:pt>
                <c:pt idx="87">
                  <c:v>2.2164190751605246</c:v>
                </c:pt>
                <c:pt idx="88">
                  <c:v>1.9186704069822231</c:v>
                </c:pt>
                <c:pt idx="89">
                  <c:v>1.9176230117849014</c:v>
                </c:pt>
                <c:pt idx="90">
                  <c:v>1.9227399093283724</c:v>
                </c:pt>
                <c:pt idx="91">
                  <c:v>1.9928290149685488</c:v>
                </c:pt>
                <c:pt idx="92">
                  <c:v>2.060748722564286</c:v>
                </c:pt>
                <c:pt idx="93">
                  <c:v>2.1537294990068663</c:v>
                </c:pt>
                <c:pt idx="94">
                  <c:v>2.150668102208412</c:v>
                </c:pt>
                <c:pt idx="95">
                  <c:v>2.2524222358619146</c:v>
                </c:pt>
                <c:pt idx="96">
                  <c:v>2.4603070838190528</c:v>
                </c:pt>
                <c:pt idx="97">
                  <c:v>2.6612833139651109</c:v>
                </c:pt>
                <c:pt idx="98">
                  <c:v>2.7411696059528259</c:v>
                </c:pt>
                <c:pt idx="99">
                  <c:v>2.8421817819646709</c:v>
                </c:pt>
                <c:pt idx="100">
                  <c:v>2.9905072644218662</c:v>
                </c:pt>
                <c:pt idx="101">
                  <c:v>3.1099213560923991</c:v>
                </c:pt>
                <c:pt idx="102">
                  <c:v>3.1503734004954507</c:v>
                </c:pt>
                <c:pt idx="103">
                  <c:v>3.1907361130147618</c:v>
                </c:pt>
                <c:pt idx="104">
                  <c:v>3.2906352873952649</c:v>
                </c:pt>
                <c:pt idx="105">
                  <c:v>3.2584988445807395</c:v>
                </c:pt>
                <c:pt idx="106">
                  <c:v>3.1591828415658982</c:v>
                </c:pt>
                <c:pt idx="107">
                  <c:v>3.2056388600563741</c:v>
                </c:pt>
                <c:pt idx="108">
                  <c:v>3.3116274842580422</c:v>
                </c:pt>
                <c:pt idx="109">
                  <c:v>3.2613570507497007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C-4C73-9FFD-75F08D794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60048"/>
        <c:axId val="455459088"/>
      </c:lineChart>
      <c:catAx>
        <c:axId val="4554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9088"/>
        <c:crosses val="autoZero"/>
        <c:auto val="1"/>
        <c:lblAlgn val="ctr"/>
        <c:lblOffset val="100"/>
        <c:noMultiLvlLbl val="0"/>
      </c:catAx>
      <c:valAx>
        <c:axId val="4554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 Check of Debt</a:t>
            </a:r>
            <a:r>
              <a:rPr lang="en-US" baseline="0"/>
              <a:t> Accumulation Equation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UScalc_LagY!$T$1:$T$2</c:f>
              <c:strCache>
                <c:ptCount val="2"/>
                <c:pt idx="1">
                  <c:v>GDP(t)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UScalc_LagY!$T$3:$T$190</c:f>
              <c:numCache>
                <c:formatCode>0.000</c:formatCode>
                <c:ptCount val="188"/>
                <c:pt idx="0">
                  <c:v>60.586930000000017</c:v>
                </c:pt>
                <c:pt idx="1">
                  <c:v>60.406960000000005</c:v>
                </c:pt>
                <c:pt idx="2">
                  <c:v>60.048939999999995</c:v>
                </c:pt>
                <c:pt idx="3">
                  <c:v>59.192270000000015</c:v>
                </c:pt>
                <c:pt idx="4">
                  <c:v>58.392579999999995</c:v>
                </c:pt>
                <c:pt idx="5">
                  <c:v>58.343359999999997</c:v>
                </c:pt>
                <c:pt idx="6">
                  <c:v>57.721339999999991</c:v>
                </c:pt>
                <c:pt idx="7">
                  <c:v>55.484909999999999</c:v>
                </c:pt>
                <c:pt idx="8">
                  <c:v>54.99213000000001</c:v>
                </c:pt>
                <c:pt idx="9">
                  <c:v>54.257899999999999</c:v>
                </c:pt>
                <c:pt idx="10">
                  <c:v>55.144340000000007</c:v>
                </c:pt>
                <c:pt idx="11">
                  <c:v>54.031649999999992</c:v>
                </c:pt>
                <c:pt idx="12">
                  <c:v>54.797630000000005</c:v>
                </c:pt>
                <c:pt idx="13">
                  <c:v>55.752160000000018</c:v>
                </c:pt>
                <c:pt idx="14">
                  <c:v>55.696500000000007</c:v>
                </c:pt>
                <c:pt idx="15">
                  <c:v>56.270870000000009</c:v>
                </c:pt>
                <c:pt idx="16">
                  <c:v>56.702599999999997</c:v>
                </c:pt>
                <c:pt idx="17">
                  <c:v>57.910279999999986</c:v>
                </c:pt>
                <c:pt idx="18">
                  <c:v>57.819059999999993</c:v>
                </c:pt>
                <c:pt idx="19">
                  <c:v>58.961009999999987</c:v>
                </c:pt>
                <c:pt idx="20">
                  <c:v>58.645409999999998</c:v>
                </c:pt>
                <c:pt idx="21">
                  <c:v>59.444660000000006</c:v>
                </c:pt>
                <c:pt idx="22">
                  <c:v>59.807100000000013</c:v>
                </c:pt>
                <c:pt idx="23">
                  <c:v>60.054870000000001</c:v>
                </c:pt>
                <c:pt idx="24">
                  <c:v>59.96643000000001</c:v>
                </c:pt>
                <c:pt idx="25">
                  <c:v>60.637129999999992</c:v>
                </c:pt>
                <c:pt idx="26">
                  <c:v>60.913019999999996</c:v>
                </c:pt>
                <c:pt idx="27">
                  <c:v>60.64153000000001</c:v>
                </c:pt>
                <c:pt idx="28">
                  <c:v>60.358560000000004</c:v>
                </c:pt>
                <c:pt idx="29">
                  <c:v>61.320079999999997</c:v>
                </c:pt>
                <c:pt idx="30">
                  <c:v>61.556420000000003</c:v>
                </c:pt>
                <c:pt idx="31">
                  <c:v>61.221420000000002</c:v>
                </c:pt>
                <c:pt idx="32">
                  <c:v>61.332799999999992</c:v>
                </c:pt>
                <c:pt idx="33">
                  <c:v>61.82689000000002</c:v>
                </c:pt>
                <c:pt idx="34">
                  <c:v>62.252969999999983</c:v>
                </c:pt>
                <c:pt idx="35">
                  <c:v>61.572189999999999</c:v>
                </c:pt>
                <c:pt idx="36">
                  <c:v>61.848259999999989</c:v>
                </c:pt>
                <c:pt idx="37">
                  <c:v>62.719239999999999</c:v>
                </c:pt>
                <c:pt idx="38">
                  <c:v>64.172780000000017</c:v>
                </c:pt>
                <c:pt idx="39">
                  <c:v>63.851719999999993</c:v>
                </c:pt>
                <c:pt idx="40">
                  <c:v>67.28455000000001</c:v>
                </c:pt>
                <c:pt idx="41">
                  <c:v>73.245149999999967</c:v>
                </c:pt>
                <c:pt idx="42">
                  <c:v>77.104959999999991</c:v>
                </c:pt>
                <c:pt idx="43">
                  <c:v>80.28013</c:v>
                </c:pt>
                <c:pt idx="44">
                  <c:v>82.427330000000026</c:v>
                </c:pt>
                <c:pt idx="45">
                  <c:v>84.029350000000008</c:v>
                </c:pt>
                <c:pt idx="46">
                  <c:v>86.511750000000021</c:v>
                </c:pt>
                <c:pt idx="47">
                  <c:v>88.128320000000002</c:v>
                </c:pt>
                <c:pt idx="48">
                  <c:v>89.565279999999973</c:v>
                </c:pt>
                <c:pt idx="49">
                  <c:v>91.611340000000013</c:v>
                </c:pt>
                <c:pt idx="50">
                  <c:v>92.956139999999991</c:v>
                </c:pt>
                <c:pt idx="51">
                  <c:v>92.193799999999996</c:v>
                </c:pt>
                <c:pt idx="52">
                  <c:v>94.520980000000009</c:v>
                </c:pt>
                <c:pt idx="53">
                  <c:v>96.090720000000033</c:v>
                </c:pt>
                <c:pt idx="54">
                  <c:v>97.123080000000002</c:v>
                </c:pt>
                <c:pt idx="55">
                  <c:v>97.827629999999985</c:v>
                </c:pt>
                <c:pt idx="56">
                  <c:v>98.447869999999995</c:v>
                </c:pt>
                <c:pt idx="57">
                  <c:v>100.07496999999998</c:v>
                </c:pt>
                <c:pt idx="58">
                  <c:v>100.73997</c:v>
                </c:pt>
                <c:pt idx="59">
                  <c:v>100.05758</c:v>
                </c:pt>
                <c:pt idx="60">
                  <c:v>98.727969999999985</c:v>
                </c:pt>
                <c:pt idx="61">
                  <c:v>99.791180000000026</c:v>
                </c:pt>
                <c:pt idx="62">
                  <c:v>102.34616999999999</c:v>
                </c:pt>
                <c:pt idx="63">
                  <c:v>100.65129999999999</c:v>
                </c:pt>
                <c:pt idx="64">
                  <c:v>100.11145000000003</c:v>
                </c:pt>
                <c:pt idx="65">
                  <c:v>101.28050000000002</c:v>
                </c:pt>
                <c:pt idx="66">
                  <c:v>100.49009000000001</c:v>
                </c:pt>
                <c:pt idx="67">
                  <c:v>99.300940000000011</c:v>
                </c:pt>
                <c:pt idx="68">
                  <c:v>98.63594999999998</c:v>
                </c:pt>
                <c:pt idx="69">
                  <c:v>102.64192</c:v>
                </c:pt>
                <c:pt idx="70">
                  <c:v>103.98904</c:v>
                </c:pt>
                <c:pt idx="71">
                  <c:v>103.58005</c:v>
                </c:pt>
                <c:pt idx="72">
                  <c:v>103.60355</c:v>
                </c:pt>
                <c:pt idx="73">
                  <c:v>104.64891</c:v>
                </c:pt>
                <c:pt idx="74">
                  <c:v>102.93741</c:v>
                </c:pt>
                <c:pt idx="75">
                  <c:v>102.08817000000001</c:v>
                </c:pt>
                <c:pt idx="76">
                  <c:v>102.80462999999997</c:v>
                </c:pt>
                <c:pt idx="77">
                  <c:v>102.27407999999998</c:v>
                </c:pt>
                <c:pt idx="78">
                  <c:v>103.74395</c:v>
                </c:pt>
                <c:pt idx="79">
                  <c:v>102.98411000000003</c:v>
                </c:pt>
                <c:pt idx="80">
                  <c:v>103.44889999999999</c:v>
                </c:pt>
                <c:pt idx="81">
                  <c:v>105.04940999999997</c:v>
                </c:pt>
                <c:pt idx="82">
                  <c:v>104.34016999999999</c:v>
                </c:pt>
                <c:pt idx="83">
                  <c:v>102.92245000000001</c:v>
                </c:pt>
                <c:pt idx="84">
                  <c:v>104.61492000000001</c:v>
                </c:pt>
                <c:pt idx="85">
                  <c:v>105.78193000000002</c:v>
                </c:pt>
                <c:pt idx="86">
                  <c:v>106.77006999999998</c:v>
                </c:pt>
                <c:pt idx="87">
                  <c:v>132.66287</c:v>
                </c:pt>
                <c:pt idx="88">
                  <c:v>124.14692000000001</c:v>
                </c:pt>
                <c:pt idx="89">
                  <c:v>125.62863999999998</c:v>
                </c:pt>
                <c:pt idx="90">
                  <c:v>124.03752000000001</c:v>
                </c:pt>
                <c:pt idx="91">
                  <c:v>121.78582</c:v>
                </c:pt>
                <c:pt idx="92">
                  <c:v>118.54086000000001</c:v>
                </c:pt>
                <c:pt idx="93">
                  <c:v>119.3588</c:v>
                </c:pt>
                <c:pt idx="94">
                  <c:v>120.39819000000001</c:v>
                </c:pt>
                <c:pt idx="95">
                  <c:v>118.20207000000003</c:v>
                </c:pt>
                <c:pt idx="96">
                  <c:v>117.43832000000002</c:v>
                </c:pt>
                <c:pt idx="97">
                  <c:v>117.36677999999998</c:v>
                </c:pt>
                <c:pt idx="98">
                  <c:v>115.58614</c:v>
                </c:pt>
                <c:pt idx="99">
                  <c:v>117.44354999999999</c:v>
                </c:pt>
                <c:pt idx="100">
                  <c:v>118.13897000000001</c:v>
                </c:pt>
                <c:pt idx="101">
                  <c:v>119.61944000000003</c:v>
                </c:pt>
                <c:pt idx="102">
                  <c:v>120.47631000000001</c:v>
                </c:pt>
                <c:pt idx="103">
                  <c:v>119.50313999999997</c:v>
                </c:pt>
                <c:pt idx="104">
                  <c:v>120.17171999999999</c:v>
                </c:pt>
                <c:pt idx="105">
                  <c:v>121.43632999999998</c:v>
                </c:pt>
                <c:pt idx="106">
                  <c:v>120.54514999999999</c:v>
                </c:pt>
                <c:pt idx="107">
                  <c:v>118.78171000000002</c:v>
                </c:pt>
                <c:pt idx="108">
                  <c:v>121.02875</c:v>
                </c:pt>
                <c:pt idx="109">
                  <c:v>122.56814999999996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A-481D-9077-13EF7F886A96}"/>
            </c:ext>
          </c:extLst>
        </c:ser>
        <c:ser>
          <c:idx val="1"/>
          <c:order val="1"/>
          <c:tx>
            <c:strRef>
              <c:f>UScalc_LagY!$V$1:$V$2</c:f>
              <c:strCache>
                <c:ptCount val="2"/>
                <c:pt idx="0">
                  <c:v>DEBTcheck Dynamic</c:v>
                </c:pt>
                <c:pt idx="1">
                  <c:v>GDP(t)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UScalc_LagY!$V$3:$V$190</c:f>
              <c:numCache>
                <c:formatCode>0.000</c:formatCode>
                <c:ptCount val="188"/>
                <c:pt idx="0">
                  <c:v>60.586930000000017</c:v>
                </c:pt>
                <c:pt idx="1">
                  <c:v>60.406960000000012</c:v>
                </c:pt>
                <c:pt idx="2">
                  <c:v>60.048940000000009</c:v>
                </c:pt>
                <c:pt idx="3">
                  <c:v>59.192270000000029</c:v>
                </c:pt>
                <c:pt idx="4">
                  <c:v>58.392580000000024</c:v>
                </c:pt>
                <c:pt idx="5">
                  <c:v>58.343360000000018</c:v>
                </c:pt>
                <c:pt idx="6">
                  <c:v>57.721340000000012</c:v>
                </c:pt>
                <c:pt idx="7">
                  <c:v>55.484910000000013</c:v>
                </c:pt>
                <c:pt idx="8">
                  <c:v>54.992130000000017</c:v>
                </c:pt>
                <c:pt idx="9">
                  <c:v>54.257900000000014</c:v>
                </c:pt>
                <c:pt idx="10">
                  <c:v>55.144340000000028</c:v>
                </c:pt>
                <c:pt idx="11">
                  <c:v>54.03165000000002</c:v>
                </c:pt>
                <c:pt idx="12">
                  <c:v>54.797630000000026</c:v>
                </c:pt>
                <c:pt idx="13">
                  <c:v>55.752160000000039</c:v>
                </c:pt>
                <c:pt idx="14">
                  <c:v>55.696500000000036</c:v>
                </c:pt>
                <c:pt idx="15">
                  <c:v>56.270870000000038</c:v>
                </c:pt>
                <c:pt idx="16">
                  <c:v>56.702600000000039</c:v>
                </c:pt>
                <c:pt idx="17">
                  <c:v>57.910280000000029</c:v>
                </c:pt>
                <c:pt idx="18">
                  <c:v>57.819060000000022</c:v>
                </c:pt>
                <c:pt idx="19">
                  <c:v>58.961010000000016</c:v>
                </c:pt>
                <c:pt idx="20">
                  <c:v>58.645410000000012</c:v>
                </c:pt>
                <c:pt idx="21">
                  <c:v>59.444660000000013</c:v>
                </c:pt>
                <c:pt idx="22">
                  <c:v>59.807100000000027</c:v>
                </c:pt>
                <c:pt idx="23">
                  <c:v>60.05487000000003</c:v>
                </c:pt>
                <c:pt idx="24">
                  <c:v>59.966430000000038</c:v>
                </c:pt>
                <c:pt idx="25">
                  <c:v>60.637130000000035</c:v>
                </c:pt>
                <c:pt idx="26">
                  <c:v>60.913020000000031</c:v>
                </c:pt>
                <c:pt idx="27">
                  <c:v>60.641530000000046</c:v>
                </c:pt>
                <c:pt idx="28">
                  <c:v>60.35856000000004</c:v>
                </c:pt>
                <c:pt idx="29">
                  <c:v>61.32008000000004</c:v>
                </c:pt>
                <c:pt idx="30">
                  <c:v>61.556420000000053</c:v>
                </c:pt>
                <c:pt idx="31">
                  <c:v>61.221420000000045</c:v>
                </c:pt>
                <c:pt idx="32">
                  <c:v>61.332800000000034</c:v>
                </c:pt>
                <c:pt idx="33">
                  <c:v>61.826890000000056</c:v>
                </c:pt>
                <c:pt idx="34">
                  <c:v>62.252970000000033</c:v>
                </c:pt>
                <c:pt idx="35">
                  <c:v>61.572190000000042</c:v>
                </c:pt>
                <c:pt idx="36">
                  <c:v>61.848260000000025</c:v>
                </c:pt>
                <c:pt idx="37">
                  <c:v>62.719240000000035</c:v>
                </c:pt>
                <c:pt idx="38">
                  <c:v>64.172780000000046</c:v>
                </c:pt>
                <c:pt idx="39">
                  <c:v>63.851720000000036</c:v>
                </c:pt>
                <c:pt idx="40">
                  <c:v>67.284550000000038</c:v>
                </c:pt>
                <c:pt idx="41">
                  <c:v>73.245150000000024</c:v>
                </c:pt>
                <c:pt idx="42">
                  <c:v>77.104960000000034</c:v>
                </c:pt>
                <c:pt idx="43">
                  <c:v>80.280130000000028</c:v>
                </c:pt>
                <c:pt idx="44">
                  <c:v>82.42733000000004</c:v>
                </c:pt>
                <c:pt idx="45">
                  <c:v>84.029350000000036</c:v>
                </c:pt>
                <c:pt idx="46">
                  <c:v>86.511750000000063</c:v>
                </c:pt>
                <c:pt idx="47">
                  <c:v>88.128320000000045</c:v>
                </c:pt>
                <c:pt idx="48">
                  <c:v>89.565280000000016</c:v>
                </c:pt>
                <c:pt idx="49">
                  <c:v>91.611340000000027</c:v>
                </c:pt>
                <c:pt idx="50">
                  <c:v>92.956140000000019</c:v>
                </c:pt>
                <c:pt idx="51">
                  <c:v>92.19380000000001</c:v>
                </c:pt>
                <c:pt idx="52">
                  <c:v>94.520980000000023</c:v>
                </c:pt>
                <c:pt idx="53">
                  <c:v>96.090720000000061</c:v>
                </c:pt>
                <c:pt idx="54">
                  <c:v>97.123080000000044</c:v>
                </c:pt>
                <c:pt idx="55">
                  <c:v>97.827630000000028</c:v>
                </c:pt>
                <c:pt idx="56">
                  <c:v>98.447870000000023</c:v>
                </c:pt>
                <c:pt idx="57">
                  <c:v>100.07497000000001</c:v>
                </c:pt>
                <c:pt idx="58">
                  <c:v>100.73997000000003</c:v>
                </c:pt>
                <c:pt idx="59">
                  <c:v>100.05758000000003</c:v>
                </c:pt>
                <c:pt idx="60">
                  <c:v>98.727970000000013</c:v>
                </c:pt>
                <c:pt idx="61">
                  <c:v>99.79118000000004</c:v>
                </c:pt>
                <c:pt idx="62">
                  <c:v>102.34617000000004</c:v>
                </c:pt>
                <c:pt idx="63">
                  <c:v>100.65130000000005</c:v>
                </c:pt>
                <c:pt idx="64">
                  <c:v>100.11145000000008</c:v>
                </c:pt>
                <c:pt idx="65">
                  <c:v>101.28050000000006</c:v>
                </c:pt>
                <c:pt idx="66">
                  <c:v>100.49009000000005</c:v>
                </c:pt>
                <c:pt idx="67">
                  <c:v>99.300940000000068</c:v>
                </c:pt>
                <c:pt idx="68">
                  <c:v>98.635950000000051</c:v>
                </c:pt>
                <c:pt idx="69">
                  <c:v>102.64192000000008</c:v>
                </c:pt>
                <c:pt idx="70">
                  <c:v>103.98904000000009</c:v>
                </c:pt>
                <c:pt idx="71">
                  <c:v>103.5800500000001</c:v>
                </c:pt>
                <c:pt idx="72">
                  <c:v>103.60355000000008</c:v>
                </c:pt>
                <c:pt idx="73">
                  <c:v>104.64891000000007</c:v>
                </c:pt>
                <c:pt idx="74">
                  <c:v>102.93741000000007</c:v>
                </c:pt>
                <c:pt idx="75">
                  <c:v>102.08817000000006</c:v>
                </c:pt>
                <c:pt idx="76">
                  <c:v>102.80463000000003</c:v>
                </c:pt>
                <c:pt idx="77">
                  <c:v>102.27408000000003</c:v>
                </c:pt>
                <c:pt idx="78">
                  <c:v>103.74395000000003</c:v>
                </c:pt>
                <c:pt idx="79">
                  <c:v>102.98411000000004</c:v>
                </c:pt>
                <c:pt idx="80">
                  <c:v>103.44890000000004</c:v>
                </c:pt>
                <c:pt idx="81">
                  <c:v>105.04941000000002</c:v>
                </c:pt>
                <c:pt idx="82">
                  <c:v>104.34017000000001</c:v>
                </c:pt>
                <c:pt idx="83">
                  <c:v>102.92245000000003</c:v>
                </c:pt>
                <c:pt idx="84">
                  <c:v>104.61492000000004</c:v>
                </c:pt>
                <c:pt idx="85">
                  <c:v>105.78193000000006</c:v>
                </c:pt>
                <c:pt idx="86">
                  <c:v>106.77007000000003</c:v>
                </c:pt>
                <c:pt idx="87">
                  <c:v>132.66287000000005</c:v>
                </c:pt>
                <c:pt idx="88">
                  <c:v>124.14692000000007</c:v>
                </c:pt>
                <c:pt idx="89">
                  <c:v>125.62864000000006</c:v>
                </c:pt>
                <c:pt idx="90">
                  <c:v>124.03752000000006</c:v>
                </c:pt>
                <c:pt idx="91">
                  <c:v>121.78582000000006</c:v>
                </c:pt>
                <c:pt idx="92">
                  <c:v>118.54086000000007</c:v>
                </c:pt>
                <c:pt idx="93">
                  <c:v>119.35880000000007</c:v>
                </c:pt>
                <c:pt idx="94">
                  <c:v>120.39819000000008</c:v>
                </c:pt>
                <c:pt idx="95">
                  <c:v>118.20207000000012</c:v>
                </c:pt>
                <c:pt idx="96">
                  <c:v>117.43832000000012</c:v>
                </c:pt>
                <c:pt idx="97">
                  <c:v>117.36678000000008</c:v>
                </c:pt>
                <c:pt idx="98">
                  <c:v>115.58614000000007</c:v>
                </c:pt>
                <c:pt idx="99">
                  <c:v>117.44355000000006</c:v>
                </c:pt>
                <c:pt idx="100">
                  <c:v>118.13897000000007</c:v>
                </c:pt>
                <c:pt idx="101">
                  <c:v>119.61944000000008</c:v>
                </c:pt>
                <c:pt idx="102">
                  <c:v>120.47631000000008</c:v>
                </c:pt>
                <c:pt idx="103">
                  <c:v>119.50314000000006</c:v>
                </c:pt>
                <c:pt idx="104">
                  <c:v>120.17172000000006</c:v>
                </c:pt>
                <c:pt idx="105">
                  <c:v>121.43633000000004</c:v>
                </c:pt>
                <c:pt idx="106">
                  <c:v>120.54515000000005</c:v>
                </c:pt>
                <c:pt idx="107">
                  <c:v>118.78171000000009</c:v>
                </c:pt>
                <c:pt idx="108">
                  <c:v>121.02875000000009</c:v>
                </c:pt>
                <c:pt idx="109">
                  <c:v>122.56815000000006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A-481D-9077-13EF7F886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019680"/>
        <c:axId val="784033120"/>
      </c:lineChart>
      <c:catAx>
        <c:axId val="7840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33120"/>
        <c:crosses val="autoZero"/>
        <c:auto val="1"/>
        <c:lblAlgn val="ctr"/>
        <c:lblOffset val="100"/>
        <c:noMultiLvlLbl val="0"/>
      </c:catAx>
      <c:valAx>
        <c:axId val="7840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Static </a:t>
            </a:r>
            <a:r>
              <a:rPr lang="en-US" baseline="0"/>
              <a:t>Check of Debt Accumulation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UScalc_LagY!$O$1</c:f>
              <c:strCache>
                <c:ptCount val="1"/>
                <c:pt idx="0">
                  <c:v>DEBTG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UScalc_LagY!$O$2:$O$190</c:f>
              <c:numCache>
                <c:formatCode>0.000</c:formatCode>
                <c:ptCount val="189"/>
                <c:pt idx="0">
                  <c:v>61.851959999999998</c:v>
                </c:pt>
                <c:pt idx="1">
                  <c:v>60.586930000000009</c:v>
                </c:pt>
                <c:pt idx="2">
                  <c:v>60.406959999999998</c:v>
                </c:pt>
                <c:pt idx="3">
                  <c:v>60.048939999999995</c:v>
                </c:pt>
                <c:pt idx="4">
                  <c:v>59.192270000000001</c:v>
                </c:pt>
                <c:pt idx="5">
                  <c:v>58.392580000000002</c:v>
                </c:pt>
                <c:pt idx="6">
                  <c:v>58.343359999999997</c:v>
                </c:pt>
                <c:pt idx="7">
                  <c:v>57.721339999999998</c:v>
                </c:pt>
                <c:pt idx="8">
                  <c:v>55.484910000000006</c:v>
                </c:pt>
                <c:pt idx="9">
                  <c:v>54.992130000000003</c:v>
                </c:pt>
                <c:pt idx="10">
                  <c:v>54.257899999999992</c:v>
                </c:pt>
                <c:pt idx="11">
                  <c:v>55.14434</c:v>
                </c:pt>
                <c:pt idx="12">
                  <c:v>54.031649999999999</c:v>
                </c:pt>
                <c:pt idx="13">
                  <c:v>54.797630000000005</c:v>
                </c:pt>
                <c:pt idx="14">
                  <c:v>55.752160000000011</c:v>
                </c:pt>
                <c:pt idx="15">
                  <c:v>55.696500000000007</c:v>
                </c:pt>
                <c:pt idx="16">
                  <c:v>56.270869999999995</c:v>
                </c:pt>
                <c:pt idx="17">
                  <c:v>56.702599999999997</c:v>
                </c:pt>
                <c:pt idx="18">
                  <c:v>57.91028</c:v>
                </c:pt>
                <c:pt idx="19">
                  <c:v>57.819059999999993</c:v>
                </c:pt>
                <c:pt idx="20">
                  <c:v>58.961010000000002</c:v>
                </c:pt>
                <c:pt idx="21">
                  <c:v>58.645410000000005</c:v>
                </c:pt>
                <c:pt idx="22">
                  <c:v>59.444659999999999</c:v>
                </c:pt>
                <c:pt idx="23">
                  <c:v>59.807099999999998</c:v>
                </c:pt>
                <c:pt idx="24">
                  <c:v>60.054870000000001</c:v>
                </c:pt>
                <c:pt idx="25">
                  <c:v>59.966429999999995</c:v>
                </c:pt>
                <c:pt idx="26">
                  <c:v>60.637129999999999</c:v>
                </c:pt>
                <c:pt idx="27">
                  <c:v>60.913019999999996</c:v>
                </c:pt>
                <c:pt idx="28">
                  <c:v>60.64153000000001</c:v>
                </c:pt>
                <c:pt idx="29">
                  <c:v>60.358559999999997</c:v>
                </c:pt>
                <c:pt idx="30">
                  <c:v>61.320079999999997</c:v>
                </c:pt>
                <c:pt idx="31">
                  <c:v>61.55642000000001</c:v>
                </c:pt>
                <c:pt idx="32">
                  <c:v>61.221420000000002</c:v>
                </c:pt>
                <c:pt idx="33">
                  <c:v>61.332799999999999</c:v>
                </c:pt>
                <c:pt idx="34">
                  <c:v>61.826890000000006</c:v>
                </c:pt>
                <c:pt idx="35">
                  <c:v>62.252969999999991</c:v>
                </c:pt>
                <c:pt idx="36">
                  <c:v>61.572190000000006</c:v>
                </c:pt>
                <c:pt idx="37">
                  <c:v>61.848259999999989</c:v>
                </c:pt>
                <c:pt idx="38">
                  <c:v>62.719239999999999</c:v>
                </c:pt>
                <c:pt idx="39">
                  <c:v>64.172780000000003</c:v>
                </c:pt>
                <c:pt idx="40">
                  <c:v>63.85172</c:v>
                </c:pt>
                <c:pt idx="41">
                  <c:v>67.284549999999996</c:v>
                </c:pt>
                <c:pt idx="42">
                  <c:v>73.245149999999981</c:v>
                </c:pt>
                <c:pt idx="43">
                  <c:v>77.104960000000005</c:v>
                </c:pt>
                <c:pt idx="44">
                  <c:v>80.280130000000014</c:v>
                </c:pt>
                <c:pt idx="45">
                  <c:v>82.427330000000012</c:v>
                </c:pt>
                <c:pt idx="46">
                  <c:v>84.029349999999994</c:v>
                </c:pt>
                <c:pt idx="47">
                  <c:v>86.511750000000021</c:v>
                </c:pt>
                <c:pt idx="48">
                  <c:v>88.128320000000002</c:v>
                </c:pt>
                <c:pt idx="49">
                  <c:v>89.565280000000001</c:v>
                </c:pt>
                <c:pt idx="50">
                  <c:v>91.611339999999998</c:v>
                </c:pt>
                <c:pt idx="51">
                  <c:v>92.956140000000005</c:v>
                </c:pt>
                <c:pt idx="52">
                  <c:v>92.193799999999996</c:v>
                </c:pt>
                <c:pt idx="53">
                  <c:v>94.520979999999994</c:v>
                </c:pt>
                <c:pt idx="54">
                  <c:v>96.090720000000019</c:v>
                </c:pt>
                <c:pt idx="55">
                  <c:v>97.123080000000002</c:v>
                </c:pt>
                <c:pt idx="56">
                  <c:v>97.827629999999999</c:v>
                </c:pt>
                <c:pt idx="57">
                  <c:v>98.447869999999995</c:v>
                </c:pt>
                <c:pt idx="58">
                  <c:v>100.07496999999998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98.727969999999999</c:v>
                </c:pt>
                <c:pt idx="62">
                  <c:v>99.791179999999983</c:v>
                </c:pt>
                <c:pt idx="63">
                  <c:v>102.34616999999999</c:v>
                </c:pt>
                <c:pt idx="64">
                  <c:v>100.65130000000001</c:v>
                </c:pt>
                <c:pt idx="65">
                  <c:v>100.11145000000002</c:v>
                </c:pt>
                <c:pt idx="66">
                  <c:v>101.28050000000002</c:v>
                </c:pt>
                <c:pt idx="67">
                  <c:v>100.49009</c:v>
                </c:pt>
                <c:pt idx="68">
                  <c:v>99.300939999999997</c:v>
                </c:pt>
                <c:pt idx="69">
                  <c:v>98.63594999999998</c:v>
                </c:pt>
                <c:pt idx="70">
                  <c:v>102.64192</c:v>
                </c:pt>
                <c:pt idx="71">
                  <c:v>103.98903999999999</c:v>
                </c:pt>
                <c:pt idx="72">
                  <c:v>103.58005000000001</c:v>
                </c:pt>
                <c:pt idx="73">
                  <c:v>103.60355000000001</c:v>
                </c:pt>
                <c:pt idx="74">
                  <c:v>104.64891</c:v>
                </c:pt>
                <c:pt idx="75">
                  <c:v>102.93741000000001</c:v>
                </c:pt>
                <c:pt idx="76">
                  <c:v>102.08817000000001</c:v>
                </c:pt>
                <c:pt idx="77">
                  <c:v>102.80462999999999</c:v>
                </c:pt>
                <c:pt idx="78">
                  <c:v>102.27408</c:v>
                </c:pt>
                <c:pt idx="79">
                  <c:v>103.74395000000001</c:v>
                </c:pt>
                <c:pt idx="80">
                  <c:v>102.98411</c:v>
                </c:pt>
                <c:pt idx="81">
                  <c:v>103.44889999999998</c:v>
                </c:pt>
                <c:pt idx="82">
                  <c:v>105.04940999999999</c:v>
                </c:pt>
                <c:pt idx="83">
                  <c:v>104.34017</c:v>
                </c:pt>
                <c:pt idx="84">
                  <c:v>102.92245</c:v>
                </c:pt>
                <c:pt idx="85">
                  <c:v>104.61492</c:v>
                </c:pt>
                <c:pt idx="86">
                  <c:v>105.78193</c:v>
                </c:pt>
                <c:pt idx="87">
                  <c:v>106.77006999999999</c:v>
                </c:pt>
                <c:pt idx="88">
                  <c:v>132.66287</c:v>
                </c:pt>
                <c:pt idx="89">
                  <c:v>124.14691999999998</c:v>
                </c:pt>
                <c:pt idx="90">
                  <c:v>125.62864</c:v>
                </c:pt>
                <c:pt idx="91">
                  <c:v>124.03752</c:v>
                </c:pt>
                <c:pt idx="92">
                  <c:v>121.78582</c:v>
                </c:pt>
                <c:pt idx="93">
                  <c:v>118.54086</c:v>
                </c:pt>
                <c:pt idx="94">
                  <c:v>119.3588</c:v>
                </c:pt>
                <c:pt idx="95">
                  <c:v>120.39819</c:v>
                </c:pt>
                <c:pt idx="96">
                  <c:v>118.20207000000002</c:v>
                </c:pt>
                <c:pt idx="97">
                  <c:v>117.43832000000002</c:v>
                </c:pt>
                <c:pt idx="98">
                  <c:v>117.36678000000001</c:v>
                </c:pt>
                <c:pt idx="99">
                  <c:v>115.58613999999999</c:v>
                </c:pt>
                <c:pt idx="100">
                  <c:v>117.44354999999999</c:v>
                </c:pt>
                <c:pt idx="101">
                  <c:v>118.13897000000001</c:v>
                </c:pt>
                <c:pt idx="102">
                  <c:v>119.61944000000001</c:v>
                </c:pt>
                <c:pt idx="103">
                  <c:v>120.47631</c:v>
                </c:pt>
                <c:pt idx="104">
                  <c:v>119.50313999999999</c:v>
                </c:pt>
                <c:pt idx="105">
                  <c:v>120.17171999999999</c:v>
                </c:pt>
                <c:pt idx="106">
                  <c:v>121.43632999999998</c:v>
                </c:pt>
                <c:pt idx="107">
                  <c:v>120.54514999999999</c:v>
                </c:pt>
                <c:pt idx="108">
                  <c:v>118.78171</c:v>
                </c:pt>
                <c:pt idx="109">
                  <c:v>121.02874999999999</c:v>
                </c:pt>
                <c:pt idx="110">
                  <c:v>122.56814999999999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9-4D21-9502-0C4BC8B2D565}"/>
            </c:ext>
          </c:extLst>
        </c:ser>
        <c:ser>
          <c:idx val="1"/>
          <c:order val="1"/>
          <c:tx>
            <c:strRef>
              <c:f>UScalc_LagY!$S$1</c:f>
              <c:strCache>
                <c:ptCount val="1"/>
                <c:pt idx="0">
                  <c:v>DEBTcheck Static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UScalc_LagY!$T$2:$T$190</c:f>
              <c:numCache>
                <c:formatCode>0.000</c:formatCode>
                <c:ptCount val="189"/>
                <c:pt idx="0" formatCode="General">
                  <c:v>0</c:v>
                </c:pt>
                <c:pt idx="1">
                  <c:v>60.586930000000017</c:v>
                </c:pt>
                <c:pt idx="2">
                  <c:v>60.406960000000005</c:v>
                </c:pt>
                <c:pt idx="3">
                  <c:v>60.048939999999995</c:v>
                </c:pt>
                <c:pt idx="4">
                  <c:v>59.192270000000015</c:v>
                </c:pt>
                <c:pt idx="5">
                  <c:v>58.392579999999995</c:v>
                </c:pt>
                <c:pt idx="6">
                  <c:v>58.343359999999997</c:v>
                </c:pt>
                <c:pt idx="7">
                  <c:v>57.721339999999991</c:v>
                </c:pt>
                <c:pt idx="8">
                  <c:v>55.484909999999999</c:v>
                </c:pt>
                <c:pt idx="9">
                  <c:v>54.99213000000001</c:v>
                </c:pt>
                <c:pt idx="10">
                  <c:v>54.257899999999999</c:v>
                </c:pt>
                <c:pt idx="11">
                  <c:v>55.144340000000007</c:v>
                </c:pt>
                <c:pt idx="12">
                  <c:v>54.031649999999992</c:v>
                </c:pt>
                <c:pt idx="13">
                  <c:v>54.797630000000005</c:v>
                </c:pt>
                <c:pt idx="14">
                  <c:v>55.752160000000018</c:v>
                </c:pt>
                <c:pt idx="15">
                  <c:v>55.696500000000007</c:v>
                </c:pt>
                <c:pt idx="16">
                  <c:v>56.270870000000009</c:v>
                </c:pt>
                <c:pt idx="17">
                  <c:v>56.702599999999997</c:v>
                </c:pt>
                <c:pt idx="18">
                  <c:v>57.910279999999986</c:v>
                </c:pt>
                <c:pt idx="19">
                  <c:v>57.819059999999993</c:v>
                </c:pt>
                <c:pt idx="20">
                  <c:v>58.961009999999987</c:v>
                </c:pt>
                <c:pt idx="21">
                  <c:v>58.645409999999998</c:v>
                </c:pt>
                <c:pt idx="22">
                  <c:v>59.444660000000006</c:v>
                </c:pt>
                <c:pt idx="23">
                  <c:v>59.807100000000013</c:v>
                </c:pt>
                <c:pt idx="24">
                  <c:v>60.054870000000001</c:v>
                </c:pt>
                <c:pt idx="25">
                  <c:v>59.96643000000001</c:v>
                </c:pt>
                <c:pt idx="26">
                  <c:v>60.637129999999992</c:v>
                </c:pt>
                <c:pt idx="27">
                  <c:v>60.913019999999996</c:v>
                </c:pt>
                <c:pt idx="28">
                  <c:v>60.64153000000001</c:v>
                </c:pt>
                <c:pt idx="29">
                  <c:v>60.358560000000004</c:v>
                </c:pt>
                <c:pt idx="30">
                  <c:v>61.320079999999997</c:v>
                </c:pt>
                <c:pt idx="31">
                  <c:v>61.556420000000003</c:v>
                </c:pt>
                <c:pt idx="32">
                  <c:v>61.221420000000002</c:v>
                </c:pt>
                <c:pt idx="33">
                  <c:v>61.332799999999992</c:v>
                </c:pt>
                <c:pt idx="34">
                  <c:v>61.82689000000002</c:v>
                </c:pt>
                <c:pt idx="35">
                  <c:v>62.252969999999983</c:v>
                </c:pt>
                <c:pt idx="36">
                  <c:v>61.572189999999999</c:v>
                </c:pt>
                <c:pt idx="37">
                  <c:v>61.848259999999989</c:v>
                </c:pt>
                <c:pt idx="38">
                  <c:v>62.719239999999999</c:v>
                </c:pt>
                <c:pt idx="39">
                  <c:v>64.172780000000017</c:v>
                </c:pt>
                <c:pt idx="40">
                  <c:v>63.851719999999993</c:v>
                </c:pt>
                <c:pt idx="41">
                  <c:v>67.28455000000001</c:v>
                </c:pt>
                <c:pt idx="42">
                  <c:v>73.245149999999967</c:v>
                </c:pt>
                <c:pt idx="43">
                  <c:v>77.104959999999991</c:v>
                </c:pt>
                <c:pt idx="44">
                  <c:v>80.28013</c:v>
                </c:pt>
                <c:pt idx="45">
                  <c:v>82.427330000000026</c:v>
                </c:pt>
                <c:pt idx="46">
                  <c:v>84.029350000000008</c:v>
                </c:pt>
                <c:pt idx="47">
                  <c:v>86.511750000000021</c:v>
                </c:pt>
                <c:pt idx="48">
                  <c:v>88.128320000000002</c:v>
                </c:pt>
                <c:pt idx="49">
                  <c:v>89.565279999999973</c:v>
                </c:pt>
                <c:pt idx="50">
                  <c:v>91.611340000000013</c:v>
                </c:pt>
                <c:pt idx="51">
                  <c:v>92.956139999999991</c:v>
                </c:pt>
                <c:pt idx="52">
                  <c:v>92.193799999999996</c:v>
                </c:pt>
                <c:pt idx="53">
                  <c:v>94.520980000000009</c:v>
                </c:pt>
                <c:pt idx="54">
                  <c:v>96.090720000000033</c:v>
                </c:pt>
                <c:pt idx="55">
                  <c:v>97.123080000000002</c:v>
                </c:pt>
                <c:pt idx="56">
                  <c:v>97.827629999999985</c:v>
                </c:pt>
                <c:pt idx="57">
                  <c:v>98.447869999999995</c:v>
                </c:pt>
                <c:pt idx="58">
                  <c:v>100.07496999999998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98.727969999999985</c:v>
                </c:pt>
                <c:pt idx="62">
                  <c:v>99.791180000000026</c:v>
                </c:pt>
                <c:pt idx="63">
                  <c:v>102.34616999999999</c:v>
                </c:pt>
                <c:pt idx="64">
                  <c:v>100.65129999999999</c:v>
                </c:pt>
                <c:pt idx="65">
                  <c:v>100.11145000000003</c:v>
                </c:pt>
                <c:pt idx="66">
                  <c:v>101.28050000000002</c:v>
                </c:pt>
                <c:pt idx="67">
                  <c:v>100.49009000000001</c:v>
                </c:pt>
                <c:pt idx="68">
                  <c:v>99.300940000000011</c:v>
                </c:pt>
                <c:pt idx="69">
                  <c:v>98.63594999999998</c:v>
                </c:pt>
                <c:pt idx="70">
                  <c:v>102.64192</c:v>
                </c:pt>
                <c:pt idx="71">
                  <c:v>103.98904</c:v>
                </c:pt>
                <c:pt idx="72">
                  <c:v>103.58005</c:v>
                </c:pt>
                <c:pt idx="73">
                  <c:v>103.60355</c:v>
                </c:pt>
                <c:pt idx="74">
                  <c:v>104.64891</c:v>
                </c:pt>
                <c:pt idx="75">
                  <c:v>102.93741</c:v>
                </c:pt>
                <c:pt idx="76">
                  <c:v>102.08817000000001</c:v>
                </c:pt>
                <c:pt idx="77">
                  <c:v>102.80462999999997</c:v>
                </c:pt>
                <c:pt idx="78">
                  <c:v>102.27407999999998</c:v>
                </c:pt>
                <c:pt idx="79">
                  <c:v>103.74395</c:v>
                </c:pt>
                <c:pt idx="80">
                  <c:v>102.98411000000003</c:v>
                </c:pt>
                <c:pt idx="81">
                  <c:v>103.44889999999999</c:v>
                </c:pt>
                <c:pt idx="82">
                  <c:v>105.04940999999997</c:v>
                </c:pt>
                <c:pt idx="83">
                  <c:v>104.34016999999999</c:v>
                </c:pt>
                <c:pt idx="84">
                  <c:v>102.92245000000001</c:v>
                </c:pt>
                <c:pt idx="85">
                  <c:v>104.61492000000001</c:v>
                </c:pt>
                <c:pt idx="86">
                  <c:v>105.78193000000002</c:v>
                </c:pt>
                <c:pt idx="87">
                  <c:v>106.77006999999998</c:v>
                </c:pt>
                <c:pt idx="88">
                  <c:v>132.66287</c:v>
                </c:pt>
                <c:pt idx="89">
                  <c:v>124.14692000000001</c:v>
                </c:pt>
                <c:pt idx="90">
                  <c:v>125.62863999999998</c:v>
                </c:pt>
                <c:pt idx="91">
                  <c:v>124.03752000000001</c:v>
                </c:pt>
                <c:pt idx="92">
                  <c:v>121.78582</c:v>
                </c:pt>
                <c:pt idx="93">
                  <c:v>118.54086000000001</c:v>
                </c:pt>
                <c:pt idx="94">
                  <c:v>119.3588</c:v>
                </c:pt>
                <c:pt idx="95">
                  <c:v>120.39819000000001</c:v>
                </c:pt>
                <c:pt idx="96">
                  <c:v>118.20207000000003</c:v>
                </c:pt>
                <c:pt idx="97">
                  <c:v>117.43832000000002</c:v>
                </c:pt>
                <c:pt idx="98">
                  <c:v>117.36677999999998</c:v>
                </c:pt>
                <c:pt idx="99">
                  <c:v>115.58614</c:v>
                </c:pt>
                <c:pt idx="100">
                  <c:v>117.44354999999999</c:v>
                </c:pt>
                <c:pt idx="101">
                  <c:v>118.13897000000001</c:v>
                </c:pt>
                <c:pt idx="102">
                  <c:v>119.61944000000003</c:v>
                </c:pt>
                <c:pt idx="103">
                  <c:v>120.47631000000001</c:v>
                </c:pt>
                <c:pt idx="104">
                  <c:v>119.50313999999997</c:v>
                </c:pt>
                <c:pt idx="105">
                  <c:v>120.17171999999999</c:v>
                </c:pt>
                <c:pt idx="106">
                  <c:v>121.43632999999998</c:v>
                </c:pt>
                <c:pt idx="107">
                  <c:v>120.54514999999999</c:v>
                </c:pt>
                <c:pt idx="108">
                  <c:v>118.78171000000002</c:v>
                </c:pt>
                <c:pt idx="109">
                  <c:v>121.02875</c:v>
                </c:pt>
                <c:pt idx="110">
                  <c:v>122.56814999999996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9-4D21-9502-0C4BC8B2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040448"/>
        <c:axId val="1146053888"/>
      </c:lineChart>
      <c:catAx>
        <c:axId val="1146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53888"/>
        <c:crosses val="autoZero"/>
        <c:auto val="1"/>
        <c:lblAlgn val="ctr"/>
        <c:lblOffset val="100"/>
        <c:noMultiLvlLbl val="0"/>
      </c:catAx>
      <c:valAx>
        <c:axId val="11460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Components driving</a:t>
            </a:r>
            <a:r>
              <a:rPr lang="en-US" baseline="0"/>
              <a:t> Government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UScalc_LagY!$M$1</c:f>
              <c:strCache>
                <c:ptCount val="1"/>
                <c:pt idx="0">
                  <c:v>GEXPSHR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UScalc_LagY!$M$2:$M$190</c:f>
              <c:numCache>
                <c:formatCode>General</c:formatCode>
                <c:ptCount val="189"/>
                <c:pt idx="1">
                  <c:v>15.857098437751366</c:v>
                </c:pt>
                <c:pt idx="2">
                  <c:v>15.945779328955718</c:v>
                </c:pt>
                <c:pt idx="3">
                  <c:v>15.702532959199123</c:v>
                </c:pt>
                <c:pt idx="4">
                  <c:v>15.563849267325436</c:v>
                </c:pt>
                <c:pt idx="5">
                  <c:v>15.663438030444429</c:v>
                </c:pt>
                <c:pt idx="6">
                  <c:v>15.714749387454413</c:v>
                </c:pt>
                <c:pt idx="7">
                  <c:v>15.267274730360661</c:v>
                </c:pt>
                <c:pt idx="8">
                  <c:v>15.54197340399527</c:v>
                </c:pt>
                <c:pt idx="9">
                  <c:v>15.278910821138751</c:v>
                </c:pt>
                <c:pt idx="10">
                  <c:v>15.367955445566144</c:v>
                </c:pt>
                <c:pt idx="11">
                  <c:v>15.687880039985647</c:v>
                </c:pt>
                <c:pt idx="12">
                  <c:v>15.938569072640325</c:v>
                </c:pt>
                <c:pt idx="13">
                  <c:v>16.14187187470516</c:v>
                </c:pt>
                <c:pt idx="14">
                  <c:v>16.300997733538907</c:v>
                </c:pt>
                <c:pt idx="15">
                  <c:v>16.75853726830865</c:v>
                </c:pt>
                <c:pt idx="16">
                  <c:v>16.953938888116106</c:v>
                </c:pt>
                <c:pt idx="17">
                  <c:v>16.976016444606916</c:v>
                </c:pt>
                <c:pt idx="18">
                  <c:v>17.176658133073079</c:v>
                </c:pt>
                <c:pt idx="19">
                  <c:v>17.443201075303715</c:v>
                </c:pt>
                <c:pt idx="20">
                  <c:v>17.984372652221928</c:v>
                </c:pt>
                <c:pt idx="21">
                  <c:v>17.837927523648947</c:v>
                </c:pt>
                <c:pt idx="22">
                  <c:v>17.723961842428444</c:v>
                </c:pt>
                <c:pt idx="23">
                  <c:v>17.69551981382633</c:v>
                </c:pt>
                <c:pt idx="24">
                  <c:v>17.618554433126594</c:v>
                </c:pt>
                <c:pt idx="25">
                  <c:v>17.50737545318739</c:v>
                </c:pt>
                <c:pt idx="26">
                  <c:v>17.534418279852751</c:v>
                </c:pt>
                <c:pt idx="27">
                  <c:v>17.710338467914731</c:v>
                </c:pt>
                <c:pt idx="28">
                  <c:v>17.506492765964513</c:v>
                </c:pt>
                <c:pt idx="29">
                  <c:v>17.55136095861408</c:v>
                </c:pt>
                <c:pt idx="30">
                  <c:v>17.458719487299433</c:v>
                </c:pt>
                <c:pt idx="31">
                  <c:v>17.78699125291087</c:v>
                </c:pt>
                <c:pt idx="32">
                  <c:v>17.513361119363253</c:v>
                </c:pt>
                <c:pt idx="33">
                  <c:v>17.445932009367265</c:v>
                </c:pt>
                <c:pt idx="34">
                  <c:v>17.324790406590019</c:v>
                </c:pt>
                <c:pt idx="35">
                  <c:v>17.616770041226363</c:v>
                </c:pt>
                <c:pt idx="36">
                  <c:v>17.567172970129899</c:v>
                </c:pt>
                <c:pt idx="37">
                  <c:v>17.577715499745104</c:v>
                </c:pt>
                <c:pt idx="38">
                  <c:v>17.70062682138574</c:v>
                </c:pt>
                <c:pt idx="39">
                  <c:v>17.941138934008958</c:v>
                </c:pt>
                <c:pt idx="40">
                  <c:v>20.460974567909865</c:v>
                </c:pt>
                <c:pt idx="41">
                  <c:v>18.915744370211669</c:v>
                </c:pt>
                <c:pt idx="42">
                  <c:v>18.882154431985665</c:v>
                </c:pt>
                <c:pt idx="43">
                  <c:v>20.268726987682061</c:v>
                </c:pt>
                <c:pt idx="44">
                  <c:v>21.984329184689908</c:v>
                </c:pt>
                <c:pt idx="45">
                  <c:v>22.130128453493146</c:v>
                </c:pt>
                <c:pt idx="46">
                  <c:v>22.194160074115075</c:v>
                </c:pt>
                <c:pt idx="47">
                  <c:v>22.866924178273131</c:v>
                </c:pt>
                <c:pt idx="48">
                  <c:v>22.816593191421919</c:v>
                </c:pt>
                <c:pt idx="49">
                  <c:v>22.717938280234442</c:v>
                </c:pt>
                <c:pt idx="50">
                  <c:v>22.522642411733443</c:v>
                </c:pt>
                <c:pt idx="51">
                  <c:v>22.211462000588654</c:v>
                </c:pt>
                <c:pt idx="52">
                  <c:v>22.306625407583702</c:v>
                </c:pt>
                <c:pt idx="53">
                  <c:v>21.540733402628781</c:v>
                </c:pt>
                <c:pt idx="54">
                  <c:v>21.429234237918976</c:v>
                </c:pt>
                <c:pt idx="55">
                  <c:v>21.120731582535043</c:v>
                </c:pt>
                <c:pt idx="56">
                  <c:v>20.838649793808564</c:v>
                </c:pt>
                <c:pt idx="57">
                  <c:v>20.708960231355181</c:v>
                </c:pt>
                <c:pt idx="58">
                  <c:v>20.54389274796393</c:v>
                </c:pt>
                <c:pt idx="59">
                  <c:v>20.38770143441528</c:v>
                </c:pt>
                <c:pt idx="60">
                  <c:v>20.203560879805007</c:v>
                </c:pt>
                <c:pt idx="61">
                  <c:v>20.067217469009968</c:v>
                </c:pt>
                <c:pt idx="62">
                  <c:v>19.744567572251196</c:v>
                </c:pt>
                <c:pt idx="63">
                  <c:v>19.703619452723963</c:v>
                </c:pt>
                <c:pt idx="64">
                  <c:v>19.979633368062707</c:v>
                </c:pt>
                <c:pt idx="65">
                  <c:v>19.91902506765987</c:v>
                </c:pt>
                <c:pt idx="66">
                  <c:v>19.57045259137324</c:v>
                </c:pt>
                <c:pt idx="67">
                  <c:v>19.771691493767978</c:v>
                </c:pt>
                <c:pt idx="68">
                  <c:v>19.73535182410923</c:v>
                </c:pt>
                <c:pt idx="69">
                  <c:v>19.606517232369924</c:v>
                </c:pt>
                <c:pt idx="70">
                  <c:v>19.6489212420685</c:v>
                </c:pt>
                <c:pt idx="71">
                  <c:v>19.734418030091128</c:v>
                </c:pt>
                <c:pt idx="72">
                  <c:v>19.693237582150381</c:v>
                </c:pt>
                <c:pt idx="73">
                  <c:v>19.736237783179742</c:v>
                </c:pt>
                <c:pt idx="74">
                  <c:v>19.665203998234443</c:v>
                </c:pt>
                <c:pt idx="75">
                  <c:v>19.548006249967585</c:v>
                </c:pt>
                <c:pt idx="76">
                  <c:v>19.317006087732814</c:v>
                </c:pt>
                <c:pt idx="77">
                  <c:v>19.407362952239001</c:v>
                </c:pt>
                <c:pt idx="78">
                  <c:v>19.433406313388357</c:v>
                </c:pt>
                <c:pt idx="79">
                  <c:v>19.418400518079274</c:v>
                </c:pt>
                <c:pt idx="80">
                  <c:v>19.293084952972304</c:v>
                </c:pt>
                <c:pt idx="81">
                  <c:v>19.242752702115435</c:v>
                </c:pt>
                <c:pt idx="82">
                  <c:v>19.338574999531222</c:v>
                </c:pt>
                <c:pt idx="83">
                  <c:v>19.640066551718686</c:v>
                </c:pt>
                <c:pt idx="84">
                  <c:v>19.650528619337241</c:v>
                </c:pt>
                <c:pt idx="85">
                  <c:v>19.604748831406091</c:v>
                </c:pt>
                <c:pt idx="86">
                  <c:v>19.487036317943993</c:v>
                </c:pt>
                <c:pt idx="87">
                  <c:v>19.707555895699201</c:v>
                </c:pt>
                <c:pt idx="88">
                  <c:v>38.511076932724478</c:v>
                </c:pt>
                <c:pt idx="89">
                  <c:v>33.400154351893157</c:v>
                </c:pt>
                <c:pt idx="90">
                  <c:v>24.933298200731947</c:v>
                </c:pt>
                <c:pt idx="91">
                  <c:v>35.372465269414441</c:v>
                </c:pt>
                <c:pt idx="92">
                  <c:v>31.717245147668105</c:v>
                </c:pt>
                <c:pt idx="93">
                  <c:v>26.499248054824765</c:v>
                </c:pt>
                <c:pt idx="94">
                  <c:v>23.466078990745665</c:v>
                </c:pt>
                <c:pt idx="95">
                  <c:v>21.62462117548441</c:v>
                </c:pt>
                <c:pt idx="96">
                  <c:v>21.365714300876739</c:v>
                </c:pt>
                <c:pt idx="97">
                  <c:v>20.983700272979398</c:v>
                </c:pt>
                <c:pt idx="98">
                  <c:v>20.865623361577235</c:v>
                </c:pt>
                <c:pt idx="99">
                  <c:v>20.815188681098917</c:v>
                </c:pt>
                <c:pt idx="100">
                  <c:v>20.566943992869021</c:v>
                </c:pt>
                <c:pt idx="101">
                  <c:v>20.311386955093258</c:v>
                </c:pt>
                <c:pt idx="102">
                  <c:v>20.077225000628676</c:v>
                </c:pt>
                <c:pt idx="103">
                  <c:v>20.316641971027892</c:v>
                </c:pt>
                <c:pt idx="104">
                  <c:v>20.379069213106334</c:v>
                </c:pt>
                <c:pt idx="105">
                  <c:v>20.652114842246093</c:v>
                </c:pt>
                <c:pt idx="106">
                  <c:v>20.642841420260137</c:v>
                </c:pt>
                <c:pt idx="107">
                  <c:v>20.685154578436435</c:v>
                </c:pt>
                <c:pt idx="108">
                  <c:v>21.088526629268721</c:v>
                </c:pt>
                <c:pt idx="109">
                  <c:v>20.931236382767821</c:v>
                </c:pt>
                <c:pt idx="110">
                  <c:v>20.439135897592472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7-497B-8CD7-3B80AFCF47EE}"/>
            </c:ext>
          </c:extLst>
        </c:ser>
        <c:ser>
          <c:idx val="1"/>
          <c:order val="1"/>
          <c:tx>
            <c:strRef>
              <c:f>UScalc_LagY!$N$1</c:f>
              <c:strCache>
                <c:ptCount val="1"/>
                <c:pt idx="0">
                  <c:v>TAXSHR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UScalc_LagY!$N$2:$N$190</c:f>
              <c:numCache>
                <c:formatCode>General</c:formatCode>
                <c:ptCount val="189"/>
                <c:pt idx="1">
                  <c:v>20.161735639066592</c:v>
                </c:pt>
                <c:pt idx="2">
                  <c:v>20.119126021793214</c:v>
                </c:pt>
                <c:pt idx="3">
                  <c:v>20.012952454978706</c:v>
                </c:pt>
                <c:pt idx="4">
                  <c:v>20.030256015874738</c:v>
                </c:pt>
                <c:pt idx="5">
                  <c:v>20.10098454684497</c:v>
                </c:pt>
                <c:pt idx="6">
                  <c:v>20.272858681650352</c:v>
                </c:pt>
                <c:pt idx="7">
                  <c:v>20.623526729695222</c:v>
                </c:pt>
                <c:pt idx="8">
                  <c:v>20.558310344176004</c:v>
                </c:pt>
                <c:pt idx="9">
                  <c:v>20.260779958859143</c:v>
                </c:pt>
                <c:pt idx="10">
                  <c:v>20.32140404810351</c:v>
                </c:pt>
                <c:pt idx="11">
                  <c:v>20.229108724782822</c:v>
                </c:pt>
                <c:pt idx="12">
                  <c:v>20.041191068277289</c:v>
                </c:pt>
                <c:pt idx="13">
                  <c:v>17.998669685819419</c:v>
                </c:pt>
                <c:pt idx="14">
                  <c:v>18.988216666886832</c:v>
                </c:pt>
                <c:pt idx="15">
                  <c:v>17.500521787745654</c:v>
                </c:pt>
                <c:pt idx="16">
                  <c:v>17.323058376222932</c:v>
                </c:pt>
                <c:pt idx="17">
                  <c:v>17.173684220194609</c:v>
                </c:pt>
                <c:pt idx="18">
                  <c:v>17.116634680864234</c:v>
                </c:pt>
                <c:pt idx="19">
                  <c:v>17.084730341900546</c:v>
                </c:pt>
                <c:pt idx="20">
                  <c:v>17.116895643499372</c:v>
                </c:pt>
                <c:pt idx="21">
                  <c:v>16.266455082691536</c:v>
                </c:pt>
                <c:pt idx="22">
                  <c:v>16.787858284870087</c:v>
                </c:pt>
                <c:pt idx="23">
                  <c:v>16.581950375774046</c:v>
                </c:pt>
                <c:pt idx="24">
                  <c:v>16.802884266605119</c:v>
                </c:pt>
                <c:pt idx="25">
                  <c:v>17.03000499883801</c:v>
                </c:pt>
                <c:pt idx="26">
                  <c:v>17.016722947261698</c:v>
                </c:pt>
                <c:pt idx="27">
                  <c:v>17.903342275465238</c:v>
                </c:pt>
                <c:pt idx="28">
                  <c:v>17.795544017734073</c:v>
                </c:pt>
                <c:pt idx="29">
                  <c:v>17.92773095561779</c:v>
                </c:pt>
                <c:pt idx="30">
                  <c:v>18.164429952516397</c:v>
                </c:pt>
                <c:pt idx="31">
                  <c:v>18.634471522651559</c:v>
                </c:pt>
                <c:pt idx="32">
                  <c:v>18.519562973007158</c:v>
                </c:pt>
                <c:pt idx="33">
                  <c:v>18.634348799251732</c:v>
                </c:pt>
                <c:pt idx="34">
                  <c:v>18.679270965901832</c:v>
                </c:pt>
                <c:pt idx="35">
                  <c:v>18.94280162626179</c:v>
                </c:pt>
                <c:pt idx="36">
                  <c:v>18.811702678969823</c:v>
                </c:pt>
                <c:pt idx="37">
                  <c:v>18.516295074559359</c:v>
                </c:pt>
                <c:pt idx="38">
                  <c:v>18.35253040057286</c:v>
                </c:pt>
                <c:pt idx="39">
                  <c:v>17.933663598199885</c:v>
                </c:pt>
                <c:pt idx="40">
                  <c:v>17.822046221891242</c:v>
                </c:pt>
                <c:pt idx="41">
                  <c:v>17.318860375302854</c:v>
                </c:pt>
                <c:pt idx="42">
                  <c:v>16.737211674421886</c:v>
                </c:pt>
                <c:pt idx="43">
                  <c:v>15.21366513855326</c:v>
                </c:pt>
                <c:pt idx="44">
                  <c:v>15.410152463096209</c:v>
                </c:pt>
                <c:pt idx="45">
                  <c:v>15.475032883126319</c:v>
                </c:pt>
                <c:pt idx="46">
                  <c:v>15.893907916197254</c:v>
                </c:pt>
                <c:pt idx="47">
                  <c:v>16.149694814414801</c:v>
                </c:pt>
                <c:pt idx="48">
                  <c:v>16.395102884532676</c:v>
                </c:pt>
                <c:pt idx="49">
                  <c:v>16.577156248921494</c:v>
                </c:pt>
                <c:pt idx="50">
                  <c:v>16.609610855703757</c:v>
                </c:pt>
                <c:pt idx="51">
                  <c:v>16.766448017743784</c:v>
                </c:pt>
                <c:pt idx="52">
                  <c:v>16.773479609219926</c:v>
                </c:pt>
                <c:pt idx="53">
                  <c:v>16.489581032064262</c:v>
                </c:pt>
                <c:pt idx="54">
                  <c:v>16.534329689768708</c:v>
                </c:pt>
                <c:pt idx="55">
                  <c:v>16.815461734339781</c:v>
                </c:pt>
                <c:pt idx="56">
                  <c:v>16.676703712566056</c:v>
                </c:pt>
                <c:pt idx="57">
                  <c:v>16.60107304723882</c:v>
                </c:pt>
                <c:pt idx="58">
                  <c:v>16.96749926974049</c:v>
                </c:pt>
                <c:pt idx="59">
                  <c:v>18.175772493990557</c:v>
                </c:pt>
                <c:pt idx="60">
                  <c:v>19.490083876390404</c:v>
                </c:pt>
                <c:pt idx="61">
                  <c:v>18.35367593404073</c:v>
                </c:pt>
                <c:pt idx="62">
                  <c:v>19.144131258066757</c:v>
                </c:pt>
                <c:pt idx="63">
                  <c:v>18.978794753542328</c:v>
                </c:pt>
                <c:pt idx="64">
                  <c:v>19.164328471569924</c:v>
                </c:pt>
                <c:pt idx="65">
                  <c:v>18.858329716206423</c:v>
                </c:pt>
                <c:pt idx="66">
                  <c:v>18.620846688775273</c:v>
                </c:pt>
                <c:pt idx="67">
                  <c:v>18.934312426826612</c:v>
                </c:pt>
                <c:pt idx="68">
                  <c:v>19.073797816583902</c:v>
                </c:pt>
                <c:pt idx="69">
                  <c:v>18.855053210694393</c:v>
                </c:pt>
                <c:pt idx="70">
                  <c:v>19.074129644847687</c:v>
                </c:pt>
                <c:pt idx="71">
                  <c:v>18.690021126504242</c:v>
                </c:pt>
                <c:pt idx="72">
                  <c:v>18.606809168531484</c:v>
                </c:pt>
                <c:pt idx="73">
                  <c:v>18.53776316018714</c:v>
                </c:pt>
                <c:pt idx="74">
                  <c:v>18.426981005671045</c:v>
                </c:pt>
                <c:pt idx="75">
                  <c:v>18.241473439235506</c:v>
                </c:pt>
                <c:pt idx="76">
                  <c:v>17.986171637011537</c:v>
                </c:pt>
                <c:pt idx="77">
                  <c:v>18.0680256332708</c:v>
                </c:pt>
                <c:pt idx="78">
                  <c:v>18.04169536823359</c:v>
                </c:pt>
                <c:pt idx="79">
                  <c:v>17.538601417531329</c:v>
                </c:pt>
                <c:pt idx="80">
                  <c:v>17.476511978004535</c:v>
                </c:pt>
                <c:pt idx="81">
                  <c:v>17.649436526427984</c:v>
                </c:pt>
                <c:pt idx="82">
                  <c:v>17.467489601528555</c:v>
                </c:pt>
                <c:pt idx="83">
                  <c:v>17.460422709447382</c:v>
                </c:pt>
                <c:pt idx="84">
                  <c:v>17.428892173023364</c:v>
                </c:pt>
                <c:pt idx="85">
                  <c:v>17.331548488457162</c:v>
                </c:pt>
                <c:pt idx="86">
                  <c:v>17.391123365009193</c:v>
                </c:pt>
                <c:pt idx="87">
                  <c:v>17.285280130133213</c:v>
                </c:pt>
                <c:pt idx="88">
                  <c:v>16.249700361882848</c:v>
                </c:pt>
                <c:pt idx="89">
                  <c:v>19.027556016695016</c:v>
                </c:pt>
                <c:pt idx="90">
                  <c:v>18.168437172546792</c:v>
                </c:pt>
                <c:pt idx="91">
                  <c:v>18.722832632171812</c:v>
                </c:pt>
                <c:pt idx="92">
                  <c:v>19.262347936194011</c:v>
                </c:pt>
                <c:pt idx="93">
                  <c:v>19.308278739225074</c:v>
                </c:pt>
                <c:pt idx="94">
                  <c:v>19.552026093824971</c:v>
                </c:pt>
                <c:pt idx="95">
                  <c:v>20.452945159106299</c:v>
                </c:pt>
                <c:pt idx="96">
                  <c:v>20.335514597086522</c:v>
                </c:pt>
                <c:pt idx="97">
                  <c:v>19.911681133332394</c:v>
                </c:pt>
                <c:pt idx="98">
                  <c:v>19.375399068905036</c:v>
                </c:pt>
                <c:pt idx="99">
                  <c:v>17.750854540932611</c:v>
                </c:pt>
                <c:pt idx="100">
                  <c:v>17.524026374495275</c:v>
                </c:pt>
                <c:pt idx="101">
                  <c:v>17.564610749960359</c:v>
                </c:pt>
                <c:pt idx="102">
                  <c:v>17.547900351795342</c:v>
                </c:pt>
                <c:pt idx="103">
                  <c:v>17.751589619768311</c:v>
                </c:pt>
                <c:pt idx="104">
                  <c:v>17.926951155108817</c:v>
                </c:pt>
                <c:pt idx="105">
                  <c:v>17.875277506700165</c:v>
                </c:pt>
                <c:pt idx="106">
                  <c:v>18.003705246847485</c:v>
                </c:pt>
                <c:pt idx="107">
                  <c:v>18.08108664684762</c:v>
                </c:pt>
                <c:pt idx="108">
                  <c:v>18.652948945368788</c:v>
                </c:pt>
                <c:pt idx="109">
                  <c:v>19.004288859223276</c:v>
                </c:pt>
                <c:pt idx="110">
                  <c:v>18.967373717953233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7-497B-8CD7-3B80AFCF47EE}"/>
            </c:ext>
          </c:extLst>
        </c:ser>
        <c:ser>
          <c:idx val="2"/>
          <c:order val="2"/>
          <c:tx>
            <c:strRef>
              <c:f>UScalc_LagY!$R$1</c:f>
              <c:strCache>
                <c:ptCount val="1"/>
                <c:pt idx="0">
                  <c:v>FFLOWSHR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UScalc_LagY!$R$2:$R$190</c:f>
              <c:numCache>
                <c:formatCode>General</c:formatCode>
                <c:ptCount val="189"/>
                <c:pt idx="0">
                  <c:v>0</c:v>
                </c:pt>
                <c:pt idx="1">
                  <c:v>-0.74761630142993352</c:v>
                </c:pt>
                <c:pt idx="2">
                  <c:v>4.0857594717608716</c:v>
                </c:pt>
                <c:pt idx="3">
                  <c:v>2.126163083101777</c:v>
                </c:pt>
                <c:pt idx="4">
                  <c:v>0.179369290046135</c:v>
                </c:pt>
                <c:pt idx="5">
                  <c:v>1.486641272186946</c:v>
                </c:pt>
                <c:pt idx="6">
                  <c:v>5.862553336016048</c:v>
                </c:pt>
                <c:pt idx="7">
                  <c:v>1.6631840414117882</c:v>
                </c:pt>
                <c:pt idx="8">
                  <c:v>-2.0213607033667289</c:v>
                </c:pt>
                <c:pt idx="9">
                  <c:v>1.0793909811158355</c:v>
                </c:pt>
                <c:pt idx="10">
                  <c:v>1.0675089363854795</c:v>
                </c:pt>
                <c:pt idx="11">
                  <c:v>5.5053952128147232</c:v>
                </c:pt>
                <c:pt idx="12">
                  <c:v>-0.88749514410525687</c:v>
                </c:pt>
                <c:pt idx="13">
                  <c:v>1.8168960628738779</c:v>
                </c:pt>
                <c:pt idx="14">
                  <c:v>4.8204652045571157</c:v>
                </c:pt>
                <c:pt idx="15">
                  <c:v>0.2301803516450458</c:v>
                </c:pt>
                <c:pt idx="16">
                  <c:v>2.0363661298094202</c:v>
                </c:pt>
                <c:pt idx="17">
                  <c:v>1.179358716835708</c:v>
                </c:pt>
                <c:pt idx="18">
                  <c:v>3.6897464784323466</c:v>
                </c:pt>
                <c:pt idx="19">
                  <c:v>-0.99596395241015523</c:v>
                </c:pt>
                <c:pt idx="20">
                  <c:v>4.0282689254508846</c:v>
                </c:pt>
                <c:pt idx="21">
                  <c:v>-0.14707752794320345</c:v>
                </c:pt>
                <c:pt idx="22">
                  <c:v>3.9440228577994301</c:v>
                </c:pt>
                <c:pt idx="23">
                  <c:v>0.87867417628974864</c:v>
                </c:pt>
                <c:pt idx="24">
                  <c:v>1.477364082836123</c:v>
                </c:pt>
                <c:pt idx="25">
                  <c:v>0.43664521746926688</c:v>
                </c:pt>
                <c:pt idx="26">
                  <c:v>3.9517008431597636</c:v>
                </c:pt>
                <c:pt idx="27">
                  <c:v>3.3363902326247583</c:v>
                </c:pt>
                <c:pt idx="28">
                  <c:v>-0.53614087129868415</c:v>
                </c:pt>
                <c:pt idx="29">
                  <c:v>0.65204527980620852</c:v>
                </c:pt>
                <c:pt idx="30">
                  <c:v>5.2369940536461357</c:v>
                </c:pt>
                <c:pt idx="31">
                  <c:v>4.1855031312580433</c:v>
                </c:pt>
                <c:pt idx="32">
                  <c:v>-0.25765046226972044</c:v>
                </c:pt>
                <c:pt idx="33">
                  <c:v>0.98071416232634312</c:v>
                </c:pt>
                <c:pt idx="34">
                  <c:v>3.5611529424114741</c:v>
                </c:pt>
                <c:pt idx="35">
                  <c:v>3.332914554322151</c:v>
                </c:pt>
                <c:pt idx="36">
                  <c:v>-1.1181101544740477</c:v>
                </c:pt>
                <c:pt idx="37">
                  <c:v>1.9505070410902565</c:v>
                </c:pt>
                <c:pt idx="38">
                  <c:v>3.8944851732515193</c:v>
                </c:pt>
                <c:pt idx="39">
                  <c:v>2.9161552254078869</c:v>
                </c:pt>
                <c:pt idx="40">
                  <c:v>-3.7996705356271288</c:v>
                </c:pt>
                <c:pt idx="41">
                  <c:v>10.166588258362014</c:v>
                </c:pt>
                <c:pt idx="42">
                  <c:v>13.431316096041057</c:v>
                </c:pt>
                <c:pt idx="43">
                  <c:v>4.163573245035125</c:v>
                </c:pt>
                <c:pt idx="44">
                  <c:v>2.5811828440827886</c:v>
                </c:pt>
                <c:pt idx="45">
                  <c:v>1.0486495331499444</c:v>
                </c:pt>
                <c:pt idx="46">
                  <c:v>2.366685647537246</c:v>
                </c:pt>
                <c:pt idx="47">
                  <c:v>3.43094817632287</c:v>
                </c:pt>
                <c:pt idx="48">
                  <c:v>2.639024856940928</c:v>
                </c:pt>
                <c:pt idx="49">
                  <c:v>0.86896830747102438</c:v>
                </c:pt>
                <c:pt idx="50">
                  <c:v>3.6952767906867874</c:v>
                </c:pt>
                <c:pt idx="51">
                  <c:v>-1.7297206538748426</c:v>
                </c:pt>
                <c:pt idx="52">
                  <c:v>-6.4001351357917802</c:v>
                </c:pt>
                <c:pt idx="53">
                  <c:v>3.6673947642233236</c:v>
                </c:pt>
                <c:pt idx="54">
                  <c:v>3.3941901700649435</c:v>
                </c:pt>
                <c:pt idx="55">
                  <c:v>2.6758519180679818</c:v>
                </c:pt>
                <c:pt idx="56">
                  <c:v>-0.61639529061439335</c:v>
                </c:pt>
                <c:pt idx="57">
                  <c:v>-1.4927268078939646</c:v>
                </c:pt>
                <c:pt idx="58">
                  <c:v>2.8522280092951209</c:v>
                </c:pt>
                <c:pt idx="59">
                  <c:v>3.5342877917792679</c:v>
                </c:pt>
                <c:pt idx="60">
                  <c:v>-3.985622127876991</c:v>
                </c:pt>
                <c:pt idx="61">
                  <c:v>-4.2080537100372863</c:v>
                </c:pt>
                <c:pt idx="62">
                  <c:v>6.7533742256025251</c:v>
                </c:pt>
                <c:pt idx="63">
                  <c:v>7.118804224457902</c:v>
                </c:pt>
                <c:pt idx="64">
                  <c:v>-2.6440774253124681</c:v>
                </c:pt>
                <c:pt idx="65">
                  <c:v>0.78736201740464806</c:v>
                </c:pt>
                <c:pt idx="66">
                  <c:v>3.6965176920673617</c:v>
                </c:pt>
                <c:pt idx="67">
                  <c:v>-2.9936641596747364</c:v>
                </c:pt>
                <c:pt idx="68">
                  <c:v>-3.020527324566455</c:v>
                </c:pt>
                <c:pt idx="69">
                  <c:v>-3.1223666849149612</c:v>
                </c:pt>
                <c:pt idx="70">
                  <c:v>13.834575289888047</c:v>
                </c:pt>
                <c:pt idx="71">
                  <c:v>3.9722201427155412</c:v>
                </c:pt>
                <c:pt idx="72">
                  <c:v>-1.0145797308496829</c:v>
                </c:pt>
                <c:pt idx="73">
                  <c:v>0.45772758102920186</c:v>
                </c:pt>
                <c:pt idx="74">
                  <c:v>4.8665113769315118</c:v>
                </c:pt>
                <c:pt idx="75">
                  <c:v>-6.4523300384889275</c:v>
                </c:pt>
                <c:pt idx="76">
                  <c:v>-3.8135560797618782</c:v>
                </c:pt>
                <c:pt idx="77">
                  <c:v>4.4219756618895323</c:v>
                </c:pt>
                <c:pt idx="78">
                  <c:v>1.1369092522727051</c:v>
                </c:pt>
                <c:pt idx="79">
                  <c:v>7.5026360966843448</c:v>
                </c:pt>
                <c:pt idx="80">
                  <c:v>-2.3580636941606219</c:v>
                </c:pt>
                <c:pt idx="81">
                  <c:v>1.963680635470372</c:v>
                </c:pt>
                <c:pt idx="82">
                  <c:v>4.1914235939347559</c:v>
                </c:pt>
                <c:pt idx="83">
                  <c:v>-3.9225565085522014</c:v>
                </c:pt>
                <c:pt idx="84">
                  <c:v>-5.0864035059209494</c:v>
                </c:pt>
                <c:pt idx="85">
                  <c:v>8.0372329115487631</c:v>
                </c:pt>
                <c:pt idx="86">
                  <c:v>4.1833383505596213</c:v>
                </c:pt>
                <c:pt idx="87">
                  <c:v>-4.4939958460539735</c:v>
                </c:pt>
                <c:pt idx="88">
                  <c:v>35.201933886891446</c:v>
                </c:pt>
                <c:pt idx="89">
                  <c:v>-7.5354268501506247</c:v>
                </c:pt>
                <c:pt idx="90">
                  <c:v>5.6423888587130673</c:v>
                </c:pt>
                <c:pt idx="91">
                  <c:v>-12.096926116538249</c:v>
                </c:pt>
                <c:pt idx="92">
                  <c:v>-7.9275404865557206</c:v>
                </c:pt>
                <c:pt idx="93">
                  <c:v>-11.417029620665287</c:v>
                </c:pt>
                <c:pt idx="94">
                  <c:v>13.35239730371371</c:v>
                </c:pt>
                <c:pt idx="95">
                  <c:v>8.8954413695602934</c:v>
                </c:pt>
                <c:pt idx="96">
                  <c:v>-1.0867182771768971</c:v>
                </c:pt>
                <c:pt idx="97">
                  <c:v>1.5931260502900852</c:v>
                </c:pt>
                <c:pt idx="98">
                  <c:v>2.8384135231184273</c:v>
                </c:pt>
                <c:pt idx="99">
                  <c:v>-5.7025920462520672</c:v>
                </c:pt>
                <c:pt idx="100">
                  <c:v>6.5146743188465859</c:v>
                </c:pt>
                <c:pt idx="101">
                  <c:v>5.874132609378437</c:v>
                </c:pt>
                <c:pt idx="102">
                  <c:v>5.6814400260019466</c:v>
                </c:pt>
                <c:pt idx="103">
                  <c:v>1.8993186804402022</c:v>
                </c:pt>
                <c:pt idx="104">
                  <c:v>-2.881145810454385</c:v>
                </c:pt>
                <c:pt idx="105">
                  <c:v>1.9783060297874473</c:v>
                </c:pt>
                <c:pt idx="106">
                  <c:v>3.6638389106055538</c:v>
                </c:pt>
                <c:pt idx="107">
                  <c:v>-6.4980828294841437</c:v>
                </c:pt>
                <c:pt idx="108">
                  <c:v>-6.3376330000968597</c:v>
                </c:pt>
                <c:pt idx="109">
                  <c:v>12.850929569000554</c:v>
                </c:pt>
                <c:pt idx="110">
                  <c:v>5.8545122326442289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7-497B-8CD7-3B80AFCF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661216"/>
        <c:axId val="631661696"/>
      </c:lineChart>
      <c:catAx>
        <c:axId val="6316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61696"/>
        <c:crosses val="autoZero"/>
        <c:auto val="1"/>
        <c:lblAlgn val="ctr"/>
        <c:lblOffset val="100"/>
        <c:noMultiLvlLbl val="0"/>
      </c:catAx>
      <c:valAx>
        <c:axId val="6316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Ieff - Effective Govt</a:t>
            </a:r>
            <a:r>
              <a:rPr lang="en-US" baseline="0"/>
              <a:t> Debt Interest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UScalc_LagY!$Q$1:$Q$2</c:f>
              <c:strCache>
                <c:ptCount val="2"/>
                <c:pt idx="0">
                  <c:v>Ieff</c:v>
                </c:pt>
                <c:pt idx="1">
                  <c:v>NaN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UScalc_LagY!$Q$3:$Q$190</c:f>
              <c:numCache>
                <c:formatCode>General</c:formatCode>
                <c:ptCount val="188"/>
                <c:pt idx="0">
                  <c:v>6.6007266473202542</c:v>
                </c:pt>
                <c:pt idx="1">
                  <c:v>6.5160232823012949</c:v>
                </c:pt>
                <c:pt idx="2">
                  <c:v>6.2804122687039454</c:v>
                </c:pt>
                <c:pt idx="3">
                  <c:v>6.2308027480646526</c:v>
                </c:pt>
                <c:pt idx="4">
                  <c:v>6.2260454121040363</c:v>
                </c:pt>
                <c:pt idx="5">
                  <c:v>6.2395350260082862</c:v>
                </c:pt>
                <c:pt idx="6">
                  <c:v>6.1429431295288541</c:v>
                </c:pt>
                <c:pt idx="7">
                  <c:v>6.1334656551368649</c:v>
                </c:pt>
                <c:pt idx="8">
                  <c:v>6.2061349667431696</c:v>
                </c:pt>
                <c:pt idx="9">
                  <c:v>6.2230151361271728</c:v>
                </c:pt>
                <c:pt idx="10">
                  <c:v>6.1014809014071565</c:v>
                </c:pt>
                <c:pt idx="11">
                  <c:v>5.798252305672003</c:v>
                </c:pt>
                <c:pt idx="12">
                  <c:v>5.7069422317538532</c:v>
                </c:pt>
                <c:pt idx="13">
                  <c:v>5.4726299062852801</c:v>
                </c:pt>
                <c:pt idx="14">
                  <c:v>5.1305477210321291</c:v>
                </c:pt>
                <c:pt idx="15">
                  <c:v>5.0275788757640054</c:v>
                </c:pt>
                <c:pt idx="16">
                  <c:v>4.8998864813841765</c:v>
                </c:pt>
                <c:pt idx="17">
                  <c:v>4.7847574709513063</c:v>
                </c:pt>
                <c:pt idx="18">
                  <c:v>4.539608322177723</c:v>
                </c:pt>
                <c:pt idx="19">
                  <c:v>4.4936085731497295</c:v>
                </c:pt>
                <c:pt idx="20">
                  <c:v>4.3726192666328956</c:v>
                </c:pt>
                <c:pt idx="21">
                  <c:v>4.3357527011141652</c:v>
                </c:pt>
                <c:pt idx="22">
                  <c:v>4.2566949437109836</c:v>
                </c:pt>
                <c:pt idx="23">
                  <c:v>4.2021897061124154</c:v>
                </c:pt>
                <c:pt idx="24">
                  <c:v>4.2362495984014155</c:v>
                </c:pt>
                <c:pt idx="25">
                  <c:v>4.3147269262282304</c:v>
                </c:pt>
                <c:pt idx="26">
                  <c:v>4.3365033850458365</c:v>
                </c:pt>
                <c:pt idx="27">
                  <c:v>4.4179590328627105</c:v>
                </c:pt>
                <c:pt idx="28">
                  <c:v>4.4564303479591443</c:v>
                </c:pt>
                <c:pt idx="29">
                  <c:v>4.4786967418747485</c:v>
                </c:pt>
                <c:pt idx="30">
                  <c:v>4.3842216988805607</c:v>
                </c:pt>
                <c:pt idx="31">
                  <c:v>4.3890592646687336</c:v>
                </c:pt>
                <c:pt idx="32">
                  <c:v>4.4690872518529661</c:v>
                </c:pt>
                <c:pt idx="33">
                  <c:v>4.5483266990521729</c:v>
                </c:pt>
                <c:pt idx="34">
                  <c:v>4.5621982926778033</c:v>
                </c:pt>
                <c:pt idx="35">
                  <c:v>4.6093722440010021</c:v>
                </c:pt>
                <c:pt idx="36">
                  <c:v>4.6704902119874223</c:v>
                </c:pt>
                <c:pt idx="37">
                  <c:v>4.5941490236053157</c:v>
                </c:pt>
                <c:pt idx="38">
                  <c:v>4.3717136949515609</c:v>
                </c:pt>
                <c:pt idx="39">
                  <c:v>4.1149363770904941</c:v>
                </c:pt>
                <c:pt idx="40">
                  <c:v>4.0260405325847541</c:v>
                </c:pt>
                <c:pt idx="41">
                  <c:v>3.7867774080783159</c:v>
                </c:pt>
                <c:pt idx="42">
                  <c:v>3.3820150340934951</c:v>
                </c:pt>
                <c:pt idx="43">
                  <c:v>3.164697226345988</c:v>
                </c:pt>
                <c:pt idx="44">
                  <c:v>3.0342889305169738</c:v>
                </c:pt>
                <c:pt idx="45">
                  <c:v>2.9707482801040888</c:v>
                </c:pt>
                <c:pt idx="46">
                  <c:v>2.9262267780325404</c:v>
                </c:pt>
                <c:pt idx="47">
                  <c:v>2.9509620709084055</c:v>
                </c:pt>
                <c:pt idx="48">
                  <c:v>2.9484405413197514</c:v>
                </c:pt>
                <c:pt idx="49">
                  <c:v>2.9459159029824944</c:v>
                </c:pt>
                <c:pt idx="50">
                  <c:v>2.9290461582044536</c:v>
                </c:pt>
                <c:pt idx="51">
                  <c:v>2.9781613170187593</c:v>
                </c:pt>
                <c:pt idx="52">
                  <c:v>3.0162615508198543</c:v>
                </c:pt>
                <c:pt idx="53">
                  <c:v>2.9299528330017619</c:v>
                </c:pt>
                <c:pt idx="54">
                  <c:v>2.8137993006083866</c:v>
                </c:pt>
                <c:pt idx="55">
                  <c:v>2.7190241339291328</c:v>
                </c:pt>
                <c:pt idx="56">
                  <c:v>2.6551436832676987</c:v>
                </c:pt>
                <c:pt idx="57">
                  <c:v>2.5944713063722871</c:v>
                </c:pt>
                <c:pt idx="58">
                  <c:v>2.5014225591584407</c:v>
                </c:pt>
                <c:pt idx="59">
                  <c:v>2.4595947688295356</c:v>
                </c:pt>
                <c:pt idx="60">
                  <c:v>2.4897481675990538</c:v>
                </c:pt>
                <c:pt idx="61">
                  <c:v>2.5391111674078628</c:v>
                </c:pt>
                <c:pt idx="62">
                  <c:v>2.5177722853191731</c:v>
                </c:pt>
                <c:pt idx="63">
                  <c:v>2.499979238714225</c:v>
                </c:pt>
                <c:pt idx="64">
                  <c:v>2.5073264776164037</c:v>
                </c:pt>
                <c:pt idx="65">
                  <c:v>2.4813804021671864</c:v>
                </c:pt>
                <c:pt idx="66">
                  <c:v>2.3630369201895722</c:v>
                </c:pt>
                <c:pt idx="67">
                  <c:v>2.3461639117523791</c:v>
                </c:pt>
                <c:pt idx="68">
                  <c:v>2.3572116717463798</c:v>
                </c:pt>
                <c:pt idx="69">
                  <c:v>2.3948605228690556</c:v>
                </c:pt>
                <c:pt idx="70">
                  <c:v>2.3582115469184481</c:v>
                </c:pt>
                <c:pt idx="71">
                  <c:v>2.3529323365482564</c:v>
                </c:pt>
                <c:pt idx="72">
                  <c:v>2.3605596507538733</c:v>
                </c:pt>
                <c:pt idx="73">
                  <c:v>2.3510629182812774</c:v>
                </c:pt>
                <c:pt idx="74">
                  <c:v>2.3060168607549678</c:v>
                </c:pt>
                <c:pt idx="75">
                  <c:v>2.3743023729342596</c:v>
                </c:pt>
                <c:pt idx="76">
                  <c:v>2.4261415897022238</c:v>
                </c:pt>
                <c:pt idx="77">
                  <c:v>2.4373596014919854</c:v>
                </c:pt>
                <c:pt idx="78">
                  <c:v>2.4770665925092827</c:v>
                </c:pt>
                <c:pt idx="79">
                  <c:v>2.5215124709028784</c:v>
                </c:pt>
                <c:pt idx="80">
                  <c:v>2.6038650717192051</c:v>
                </c:pt>
                <c:pt idx="81">
                  <c:v>2.6548962451984606</c:v>
                </c:pt>
                <c:pt idx="82">
                  <c:v>2.6381699774140883</c:v>
                </c:pt>
                <c:pt idx="83">
                  <c:v>2.6621219011710195</c:v>
                </c:pt>
                <c:pt idx="84">
                  <c:v>2.6256576970401904</c:v>
                </c:pt>
                <c:pt idx="85">
                  <c:v>2.4835205748310081</c:v>
                </c:pt>
                <c:pt idx="86">
                  <c:v>2.3452139228376558</c:v>
                </c:pt>
                <c:pt idx="87">
                  <c:v>2.2164190751605246</c:v>
                </c:pt>
                <c:pt idx="88">
                  <c:v>1.9186704069822234</c:v>
                </c:pt>
                <c:pt idx="89">
                  <c:v>1.9176230117849011</c:v>
                </c:pt>
                <c:pt idx="90">
                  <c:v>1.9227399093283728</c:v>
                </c:pt>
                <c:pt idx="91">
                  <c:v>1.9928290149685493</c:v>
                </c:pt>
                <c:pt idx="92">
                  <c:v>2.060748722564286</c:v>
                </c:pt>
                <c:pt idx="93">
                  <c:v>2.1537294990068658</c:v>
                </c:pt>
                <c:pt idx="94">
                  <c:v>2.150668102208412</c:v>
                </c:pt>
                <c:pt idx="95">
                  <c:v>2.2524222358619141</c:v>
                </c:pt>
                <c:pt idx="96">
                  <c:v>2.4603070838190528</c:v>
                </c:pt>
                <c:pt idx="97">
                  <c:v>2.6612833139651109</c:v>
                </c:pt>
                <c:pt idx="98">
                  <c:v>2.7411696059528259</c:v>
                </c:pt>
                <c:pt idx="99">
                  <c:v>2.8421817819646709</c:v>
                </c:pt>
                <c:pt idx="100">
                  <c:v>2.9905072644218653</c:v>
                </c:pt>
                <c:pt idx="101">
                  <c:v>3.1099213560923986</c:v>
                </c:pt>
                <c:pt idx="102">
                  <c:v>3.1503734004954502</c:v>
                </c:pt>
                <c:pt idx="103">
                  <c:v>3.1907361130147622</c:v>
                </c:pt>
                <c:pt idx="104">
                  <c:v>3.2906352873952645</c:v>
                </c:pt>
                <c:pt idx="105">
                  <c:v>3.2584988445807395</c:v>
                </c:pt>
                <c:pt idx="106">
                  <c:v>3.1591828415658987</c:v>
                </c:pt>
                <c:pt idx="107">
                  <c:v>3.2056388600563741</c:v>
                </c:pt>
                <c:pt idx="108">
                  <c:v>3.3116274842580431</c:v>
                </c:pt>
                <c:pt idx="109">
                  <c:v>3.2613570507497003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E-44A0-A111-C129ACFF2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60048"/>
        <c:axId val="455459088"/>
      </c:lineChart>
      <c:catAx>
        <c:axId val="4554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9088"/>
        <c:crosses val="autoZero"/>
        <c:auto val="1"/>
        <c:lblAlgn val="ctr"/>
        <c:lblOffset val="100"/>
        <c:noMultiLvlLbl val="0"/>
      </c:catAx>
      <c:valAx>
        <c:axId val="4554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DEBT SERVICE 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Construction'!$H$4</c:f>
              <c:strCache>
                <c:ptCount val="1"/>
                <c:pt idx="0">
                  <c:v>DSVC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Construction'!$H$5:$H$115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4.0826788056098646</c:v>
                </c:pt>
                <c:pt idx="2">
                  <c:v>3.9478584648315875</c:v>
                </c:pt>
                <c:pt idx="3">
                  <c:v>3.7938061269910852</c:v>
                </c:pt>
                <c:pt idx="4">
                  <c:v>3.7415310037036948</c:v>
                </c:pt>
                <c:pt idx="5">
                  <c:v>3.6853376106552345</c:v>
                </c:pt>
                <c:pt idx="6">
                  <c:v>3.6434254816899094</c:v>
                </c:pt>
                <c:pt idx="7">
                  <c:v>3.5839994246562861</c:v>
                </c:pt>
                <c:pt idx="8">
                  <c:v>3.5403185645847768</c:v>
                </c:pt>
                <c:pt idx="9">
                  <c:v>3.4434684007759779</c:v>
                </c:pt>
                <c:pt idx="10">
                  <c:v>3.4221685735787322</c:v>
                </c:pt>
                <c:pt idx="11">
                  <c:v>3.3105354060045928</c:v>
                </c:pt>
                <c:pt idx="12">
                  <c:v>3.1974079654976095</c:v>
                </c:pt>
                <c:pt idx="13">
                  <c:v>3.0835550523634305</c:v>
                </c:pt>
                <c:pt idx="14">
                  <c:v>2.9988714873155553</c:v>
                </c:pt>
                <c:pt idx="15">
                  <c:v>2.8603911743061863</c:v>
                </c:pt>
                <c:pt idx="16">
                  <c:v>2.8001854685398992</c:v>
                </c:pt>
                <c:pt idx="17">
                  <c:v>2.7572087520872639</c:v>
                </c:pt>
                <c:pt idx="18">
                  <c:v>2.7130818897236351</c:v>
                </c:pt>
                <c:pt idx="19">
                  <c:v>2.628899890276422</c:v>
                </c:pt>
                <c:pt idx="20">
                  <c:v>2.5981622370745852</c:v>
                </c:pt>
                <c:pt idx="21">
                  <c:v>2.5781404830613486</c:v>
                </c:pt>
                <c:pt idx="22">
                  <c:v>2.5427199481544775</c:v>
                </c:pt>
                <c:pt idx="23">
                  <c:v>2.5303778365261853</c:v>
                </c:pt>
                <c:pt idx="24">
                  <c:v>2.5132077997243583</c:v>
                </c:pt>
                <c:pt idx="25">
                  <c:v>2.5440741891954923</c:v>
                </c:pt>
                <c:pt idx="26">
                  <c:v>2.5873877019078031</c:v>
                </c:pt>
                <c:pt idx="27">
                  <c:v>2.6295311950446441</c:v>
                </c:pt>
                <c:pt idx="28">
                  <c:v>2.6911122692794693</c:v>
                </c:pt>
                <c:pt idx="29">
                  <c:v>2.702447546386749</c:v>
                </c:pt>
                <c:pt idx="30">
                  <c:v>2.7032768601625152</c:v>
                </c:pt>
                <c:pt idx="31">
                  <c:v>2.6884082531309188</c:v>
                </c:pt>
                <c:pt idx="32">
                  <c:v>2.7017477550083977</c:v>
                </c:pt>
                <c:pt idx="33">
                  <c:v>2.7360386766233624</c:v>
                </c:pt>
                <c:pt idx="34">
                  <c:v>2.7896161176762706</c:v>
                </c:pt>
                <c:pt idx="35">
                  <c:v>2.8206653199957836</c:v>
                </c:pt>
                <c:pt idx="36">
                  <c:v>2.8694711202462693</c:v>
                </c:pt>
                <c:pt idx="37">
                  <c:v>2.8757231072562979</c:v>
                </c:pt>
                <c:pt idx="38">
                  <c:v>2.8414012329068763</c:v>
                </c:pt>
                <c:pt idx="39">
                  <c:v>2.7419056044495371</c:v>
                </c:pt>
                <c:pt idx="40">
                  <c:v>2.6406690684102538</c:v>
                </c:pt>
                <c:pt idx="41">
                  <c:v>2.5706961279525267</c:v>
                </c:pt>
                <c:pt idx="42">
                  <c:v>2.5479161385271585</c:v>
                </c:pt>
                <c:pt idx="43">
                  <c:v>2.4771619847443311</c:v>
                </c:pt>
                <c:pt idx="44">
                  <c:v>2.440138530495183</c:v>
                </c:pt>
                <c:pt idx="45">
                  <c:v>2.4359310979946369</c:v>
                </c:pt>
                <c:pt idx="46">
                  <c:v>2.448708488310722</c:v>
                </c:pt>
                <c:pt idx="47">
                  <c:v>2.4588893411066866</c:v>
                </c:pt>
                <c:pt idx="48">
                  <c:v>2.5529289293791031</c:v>
                </c:pt>
                <c:pt idx="49">
                  <c:v>2.5984111152640028</c:v>
                </c:pt>
                <c:pt idx="50">
                  <c:v>2.6385178270707987</c:v>
                </c:pt>
                <c:pt idx="51">
                  <c:v>2.6833384347496199</c:v>
                </c:pt>
                <c:pt idx="52">
                  <c:v>2.7683838032738017</c:v>
                </c:pt>
                <c:pt idx="53">
                  <c:v>2.7808061416397538</c:v>
                </c:pt>
                <c:pt idx="54">
                  <c:v>2.7694201312910285</c:v>
                </c:pt>
                <c:pt idx="55">
                  <c:v>2.7038000073095638</c:v>
                </c:pt>
                <c:pt idx="56">
                  <c:v>2.640799984815299</c:v>
                </c:pt>
                <c:pt idx="57">
                  <c:v>2.5974641384354955</c:v>
                </c:pt>
                <c:pt idx="58">
                  <c:v>2.5542017388846907</c:v>
                </c:pt>
                <c:pt idx="59">
                  <c:v>2.5032978756510413</c:v>
                </c:pt>
                <c:pt idx="60">
                  <c:v>2.4777950322404436</c:v>
                </c:pt>
                <c:pt idx="61">
                  <c:v>2.4911817645939576</c:v>
                </c:pt>
                <c:pt idx="62">
                  <c:v>2.5068129116250844</c:v>
                </c:pt>
                <c:pt idx="63">
                  <c:v>2.5125146732329693</c:v>
                </c:pt>
                <c:pt idx="64">
                  <c:v>2.5586330016191661</c:v>
                </c:pt>
                <c:pt idx="65">
                  <c:v>2.5236566949651191</c:v>
                </c:pt>
                <c:pt idx="66">
                  <c:v>2.4841459006254021</c:v>
                </c:pt>
                <c:pt idx="67">
                  <c:v>2.3932956079526</c:v>
                </c:pt>
                <c:pt idx="68">
                  <c:v>2.357662226467486</c:v>
                </c:pt>
                <c:pt idx="69">
                  <c:v>2.3407333478338694</c:v>
                </c:pt>
                <c:pt idx="70">
                  <c:v>2.3621934279068597</c:v>
                </c:pt>
                <c:pt idx="71">
                  <c:v>2.4205136094187965</c:v>
                </c:pt>
                <c:pt idx="72">
                  <c:v>2.4467917486261013</c:v>
                </c:pt>
                <c:pt idx="73">
                  <c:v>2.4450688665306872</c:v>
                </c:pt>
                <c:pt idx="74">
                  <c:v>2.4357846460730026</c:v>
                </c:pt>
                <c:pt idx="75">
                  <c:v>2.4132215091962914</c:v>
                </c:pt>
                <c:pt idx="76">
                  <c:v>2.444045368267068</c:v>
                </c:pt>
                <c:pt idx="77">
                  <c:v>2.4768035505359092</c:v>
                </c:pt>
                <c:pt idx="78">
                  <c:v>2.5057185200833101</c:v>
                </c:pt>
                <c:pt idx="79">
                  <c:v>2.5333970684762179</c:v>
                </c:pt>
                <c:pt idx="80">
                  <c:v>2.6159166370572464</c:v>
                </c:pt>
                <c:pt idx="81">
                  <c:v>2.681567269710885</c:v>
                </c:pt>
                <c:pt idx="82">
                  <c:v>2.74646096179911</c:v>
                </c:pt>
                <c:pt idx="83">
                  <c:v>2.7713819960706325</c:v>
                </c:pt>
                <c:pt idx="84">
                  <c:v>2.7776625172890737</c:v>
                </c:pt>
                <c:pt idx="85">
                  <c:v>2.7023912304073412</c:v>
                </c:pt>
                <c:pt idx="86">
                  <c:v>2.598133062542999</c:v>
                </c:pt>
                <c:pt idx="87">
                  <c:v>2.4808125502063834</c:v>
                </c:pt>
                <c:pt idx="88">
                  <c:v>2.3664721980422443</c:v>
                </c:pt>
                <c:pt idx="89">
                  <c:v>2.5453632277432972</c:v>
                </c:pt>
                <c:pt idx="90">
                  <c:v>2.3806699063421912</c:v>
                </c:pt>
                <c:pt idx="91">
                  <c:v>2.4155119988264677</c:v>
                </c:pt>
                <c:pt idx="92">
                  <c:v>2.471855688007417</c:v>
                </c:pt>
                <c:pt idx="93">
                  <c:v>2.5096997299144408</c:v>
                </c:pt>
                <c:pt idx="94">
                  <c:v>2.5530494701964308</c:v>
                </c:pt>
                <c:pt idx="95">
                  <c:v>2.5670116387787343</c:v>
                </c:pt>
                <c:pt idx="96">
                  <c:v>2.711875603135276</c:v>
                </c:pt>
                <c:pt idx="97">
                  <c:v>2.9081339014307561</c:v>
                </c:pt>
                <c:pt idx="98">
                  <c:v>3.1253664143609519</c:v>
                </c:pt>
                <c:pt idx="99">
                  <c:v>3.2172225008455202</c:v>
                </c:pt>
                <c:pt idx="100">
                  <c:v>3.2851682135561791</c:v>
                </c:pt>
                <c:pt idx="101">
                  <c:v>3.5121578943449259</c:v>
                </c:pt>
                <c:pt idx="102">
                  <c:v>3.6740290578975925</c:v>
                </c:pt>
                <c:pt idx="103">
                  <c:v>3.7684590195816159</c:v>
                </c:pt>
                <c:pt idx="104">
                  <c:v>3.8440811307976155</c:v>
                </c:pt>
                <c:pt idx="105">
                  <c:v>3.9324124943853649</c:v>
                </c:pt>
                <c:pt idx="106">
                  <c:v>3.9157941077128013</c:v>
                </c:pt>
                <c:pt idx="107">
                  <c:v>3.8363957007873415</c:v>
                </c:pt>
                <c:pt idx="108">
                  <c:v>3.8642421723132458</c:v>
                </c:pt>
                <c:pt idx="109">
                  <c:v>3.9336077546316837</c:v>
                </c:pt>
                <c:pt idx="110">
                  <c:v>3.9471796715592276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4C-4F97-8917-1E47A449F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770228"/>
        <c:axId val="85939457"/>
      </c:lineChart>
      <c:catAx>
        <c:axId val="70770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39457"/>
        <c:crosses val="autoZero"/>
        <c:auto val="1"/>
        <c:lblAlgn val="ctr"/>
        <c:lblOffset val="100"/>
        <c:noMultiLvlLbl val="0"/>
      </c:catAx>
      <c:valAx>
        <c:axId val="85939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70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EFFECTIVE INTEREST RATE  EFFI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Construction'!$F$4</c:f>
              <c:strCache>
                <c:ptCount val="1"/>
                <c:pt idx="0">
                  <c:v>EFFI (% p.a.)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Construction'!$F$5:$F$115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6.6007266473202559</c:v>
                </c:pt>
                <c:pt idx="2">
                  <c:v>6.5160232823012949</c:v>
                </c:pt>
                <c:pt idx="3">
                  <c:v>6.2804122687039454</c:v>
                </c:pt>
                <c:pt idx="4">
                  <c:v>6.2308027480646526</c:v>
                </c:pt>
                <c:pt idx="5">
                  <c:v>6.2260454121040372</c:v>
                </c:pt>
                <c:pt idx="6">
                  <c:v>6.2395350260082854</c:v>
                </c:pt>
                <c:pt idx="7">
                  <c:v>6.142943129528855</c:v>
                </c:pt>
                <c:pt idx="8">
                  <c:v>6.133465655136864</c:v>
                </c:pt>
                <c:pt idx="9">
                  <c:v>6.2061349667431713</c:v>
                </c:pt>
                <c:pt idx="10">
                  <c:v>6.2230151361271728</c:v>
                </c:pt>
                <c:pt idx="11">
                  <c:v>6.1014809014071556</c:v>
                </c:pt>
                <c:pt idx="12">
                  <c:v>5.7982523056720048</c:v>
                </c:pt>
                <c:pt idx="13">
                  <c:v>5.7069422317538532</c:v>
                </c:pt>
                <c:pt idx="14">
                  <c:v>5.4726299062852819</c:v>
                </c:pt>
                <c:pt idx="15">
                  <c:v>5.1305477210321282</c:v>
                </c:pt>
                <c:pt idx="16">
                  <c:v>5.0275788757640054</c:v>
                </c:pt>
                <c:pt idx="17">
                  <c:v>4.8998864813841756</c:v>
                </c:pt>
                <c:pt idx="18">
                  <c:v>4.7847574709513054</c:v>
                </c:pt>
                <c:pt idx="19">
                  <c:v>4.5396083221777239</c:v>
                </c:pt>
                <c:pt idx="20">
                  <c:v>4.4936085731497277</c:v>
                </c:pt>
                <c:pt idx="21">
                  <c:v>4.3726192666328965</c:v>
                </c:pt>
                <c:pt idx="22">
                  <c:v>4.3357527011141661</c:v>
                </c:pt>
                <c:pt idx="23">
                  <c:v>4.2566949437109836</c:v>
                </c:pt>
                <c:pt idx="24">
                  <c:v>4.2021897061124154</c:v>
                </c:pt>
                <c:pt idx="25">
                  <c:v>4.2362495984014155</c:v>
                </c:pt>
                <c:pt idx="26">
                  <c:v>4.3147269262282286</c:v>
                </c:pt>
                <c:pt idx="27">
                  <c:v>4.3365033850458365</c:v>
                </c:pt>
                <c:pt idx="28">
                  <c:v>4.4179590328627105</c:v>
                </c:pt>
                <c:pt idx="29">
                  <c:v>4.4564303479591443</c:v>
                </c:pt>
                <c:pt idx="30">
                  <c:v>4.4786967418747494</c:v>
                </c:pt>
                <c:pt idx="31">
                  <c:v>4.3842216988805607</c:v>
                </c:pt>
                <c:pt idx="32">
                  <c:v>4.3890592646687345</c:v>
                </c:pt>
                <c:pt idx="33">
                  <c:v>4.4690872518529661</c:v>
                </c:pt>
                <c:pt idx="34">
                  <c:v>4.5483266990521729</c:v>
                </c:pt>
                <c:pt idx="35">
                  <c:v>4.5621982926778033</c:v>
                </c:pt>
                <c:pt idx="36">
                  <c:v>4.6093722440010003</c:v>
                </c:pt>
                <c:pt idx="37">
                  <c:v>4.6704902119874214</c:v>
                </c:pt>
                <c:pt idx="38">
                  <c:v>4.594149023605314</c:v>
                </c:pt>
                <c:pt idx="39">
                  <c:v>4.3717136949515609</c:v>
                </c:pt>
                <c:pt idx="40">
                  <c:v>4.1149363770904941</c:v>
                </c:pt>
                <c:pt idx="41">
                  <c:v>4.026040532584755</c:v>
                </c:pt>
                <c:pt idx="42">
                  <c:v>3.7867774080783159</c:v>
                </c:pt>
                <c:pt idx="43">
                  <c:v>3.3820150340934947</c:v>
                </c:pt>
                <c:pt idx="44">
                  <c:v>3.164697226345988</c:v>
                </c:pt>
                <c:pt idx="45">
                  <c:v>3.0342889305169742</c:v>
                </c:pt>
                <c:pt idx="46">
                  <c:v>2.9707482801040892</c:v>
                </c:pt>
                <c:pt idx="47">
                  <c:v>2.9262267780325408</c:v>
                </c:pt>
                <c:pt idx="48">
                  <c:v>2.9509620709084059</c:v>
                </c:pt>
                <c:pt idx="49">
                  <c:v>2.948440541319751</c:v>
                </c:pt>
                <c:pt idx="50">
                  <c:v>2.945915902982494</c:v>
                </c:pt>
                <c:pt idx="51">
                  <c:v>2.9290461582044536</c:v>
                </c:pt>
                <c:pt idx="52">
                  <c:v>2.9781613170187593</c:v>
                </c:pt>
                <c:pt idx="53">
                  <c:v>3.0162615508198538</c:v>
                </c:pt>
                <c:pt idx="54">
                  <c:v>2.9299528330017615</c:v>
                </c:pt>
                <c:pt idx="55">
                  <c:v>2.813799300608387</c:v>
                </c:pt>
                <c:pt idx="56">
                  <c:v>2.7190241339291328</c:v>
                </c:pt>
                <c:pt idx="57">
                  <c:v>2.6551436832676982</c:v>
                </c:pt>
                <c:pt idx="58">
                  <c:v>2.5944713063722871</c:v>
                </c:pt>
                <c:pt idx="59">
                  <c:v>2.5014225591584407</c:v>
                </c:pt>
                <c:pt idx="60">
                  <c:v>2.4595947688295356</c:v>
                </c:pt>
                <c:pt idx="61">
                  <c:v>2.4897481675990538</c:v>
                </c:pt>
                <c:pt idx="62">
                  <c:v>2.5391111674078632</c:v>
                </c:pt>
                <c:pt idx="63">
                  <c:v>2.5177722853191726</c:v>
                </c:pt>
                <c:pt idx="64">
                  <c:v>2.499979238714225</c:v>
                </c:pt>
                <c:pt idx="65">
                  <c:v>2.5073264776164033</c:v>
                </c:pt>
                <c:pt idx="66">
                  <c:v>2.4813804021671864</c:v>
                </c:pt>
                <c:pt idx="67">
                  <c:v>2.3630369201895722</c:v>
                </c:pt>
                <c:pt idx="68">
                  <c:v>2.3461639117523787</c:v>
                </c:pt>
                <c:pt idx="69">
                  <c:v>2.3572116717463794</c:v>
                </c:pt>
                <c:pt idx="70">
                  <c:v>2.3948605228690556</c:v>
                </c:pt>
                <c:pt idx="71">
                  <c:v>2.3582115469184486</c:v>
                </c:pt>
                <c:pt idx="72">
                  <c:v>2.3529323365482568</c:v>
                </c:pt>
                <c:pt idx="73">
                  <c:v>2.3605596507538738</c:v>
                </c:pt>
                <c:pt idx="74">
                  <c:v>2.3510629182812779</c:v>
                </c:pt>
                <c:pt idx="75">
                  <c:v>2.3060168607549678</c:v>
                </c:pt>
                <c:pt idx="76">
                  <c:v>2.3743023729342596</c:v>
                </c:pt>
                <c:pt idx="77">
                  <c:v>2.4261415897022243</c:v>
                </c:pt>
                <c:pt idx="78">
                  <c:v>2.4373596014919858</c:v>
                </c:pt>
                <c:pt idx="79">
                  <c:v>2.4770665925092827</c:v>
                </c:pt>
                <c:pt idx="80">
                  <c:v>2.521512470902878</c:v>
                </c:pt>
                <c:pt idx="81">
                  <c:v>2.6038650717192051</c:v>
                </c:pt>
                <c:pt idx="82">
                  <c:v>2.6548962451984606</c:v>
                </c:pt>
                <c:pt idx="83">
                  <c:v>2.6381699774140879</c:v>
                </c:pt>
                <c:pt idx="84">
                  <c:v>2.6621219011710191</c:v>
                </c:pt>
                <c:pt idx="85">
                  <c:v>2.6256576970401904</c:v>
                </c:pt>
                <c:pt idx="86">
                  <c:v>2.4835205748310081</c:v>
                </c:pt>
                <c:pt idx="87">
                  <c:v>2.3452139228376558</c:v>
                </c:pt>
                <c:pt idx="88">
                  <c:v>2.2164190751605242</c:v>
                </c:pt>
                <c:pt idx="89">
                  <c:v>1.9186704069822231</c:v>
                </c:pt>
                <c:pt idx="90">
                  <c:v>1.9176230117849007</c:v>
                </c:pt>
                <c:pt idx="91">
                  <c:v>1.9227399093283728</c:v>
                </c:pt>
                <c:pt idx="92">
                  <c:v>1.992829014968549</c:v>
                </c:pt>
                <c:pt idx="93">
                  <c:v>2.060748722564286</c:v>
                </c:pt>
                <c:pt idx="94">
                  <c:v>2.1537294990068663</c:v>
                </c:pt>
                <c:pt idx="95">
                  <c:v>2.150668102208412</c:v>
                </c:pt>
                <c:pt idx="96">
                  <c:v>2.2524222358619146</c:v>
                </c:pt>
                <c:pt idx="97">
                  <c:v>2.4603070838190533</c:v>
                </c:pt>
                <c:pt idx="98">
                  <c:v>2.6612833139651109</c:v>
                </c:pt>
                <c:pt idx="99">
                  <c:v>2.7411696059528259</c:v>
                </c:pt>
                <c:pt idx="100">
                  <c:v>2.8421817819646709</c:v>
                </c:pt>
                <c:pt idx="101">
                  <c:v>2.9905072644218658</c:v>
                </c:pt>
                <c:pt idx="102">
                  <c:v>3.1099213560923991</c:v>
                </c:pt>
                <c:pt idx="103">
                  <c:v>3.1503734004954507</c:v>
                </c:pt>
                <c:pt idx="104">
                  <c:v>3.1907361130147622</c:v>
                </c:pt>
                <c:pt idx="105">
                  <c:v>3.2906352873952645</c:v>
                </c:pt>
                <c:pt idx="106">
                  <c:v>3.2584988445807395</c:v>
                </c:pt>
                <c:pt idx="107">
                  <c:v>3.1591828415658973</c:v>
                </c:pt>
                <c:pt idx="108">
                  <c:v>3.2056388600563737</c:v>
                </c:pt>
                <c:pt idx="109">
                  <c:v>3.3116274842580431</c:v>
                </c:pt>
                <c:pt idx="110">
                  <c:v>3.2613570507497003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74-4289-A1E9-76BE50FB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782671"/>
        <c:axId val="69752277"/>
      </c:lineChart>
      <c:catAx>
        <c:axId val="257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52277"/>
        <c:crosses val="autoZero"/>
        <c:auto val="1"/>
        <c:lblAlgn val="ctr"/>
        <c:lblOffset val="100"/>
        <c:noMultiLvlLbl val="0"/>
      </c:catAx>
      <c:valAx>
        <c:axId val="69752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82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FPEXP: raw vs into-BVAR (COVID treatment)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Construction'!$C$4</c:f>
              <c:strCache>
                <c:ptCount val="1"/>
                <c:pt idx="0">
                  <c:v>FPEXP_GDP RAW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Construction'!$C$5:$C$115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15.593891831212847</c:v>
                </c:pt>
                <c:pt idx="2">
                  <c:v>15.649143624090017</c:v>
                </c:pt>
                <c:pt idx="3">
                  <c:v>15.506176260523889</c:v>
                </c:pt>
                <c:pt idx="4">
                  <c:v>15.376734294121167</c:v>
                </c:pt>
                <c:pt idx="5">
                  <c:v>15.404042646015236</c:v>
                </c:pt>
                <c:pt idx="6">
                  <c:v>15.375788029477071</c:v>
                </c:pt>
                <c:pt idx="7">
                  <c:v>15.111567189509403</c:v>
                </c:pt>
                <c:pt idx="8">
                  <c:v>15.169579184442981</c:v>
                </c:pt>
                <c:pt idx="9">
                  <c:v>15.174597421149979</c:v>
                </c:pt>
                <c:pt idx="10">
                  <c:v>15.194805468589493</c:v>
                </c:pt>
                <c:pt idx="11">
                  <c:v>15.6362070712671</c:v>
                </c:pt>
                <c:pt idx="12">
                  <c:v>15.744928766864795</c:v>
                </c:pt>
                <c:pt idx="13">
                  <c:v>16.143364515258511</c:v>
                </c:pt>
                <c:pt idx="14">
                  <c:v>16.205512611316674</c:v>
                </c:pt>
                <c:pt idx="15">
                  <c:v>16.567329716696804</c:v>
                </c:pt>
                <c:pt idx="16">
                  <c:v>16.792052508114843</c:v>
                </c:pt>
                <c:pt idx="17">
                  <c:v>16.826750448833032</c:v>
                </c:pt>
                <c:pt idx="18">
                  <c:v>17.056479029434975</c:v>
                </c:pt>
                <c:pt idx="19">
                  <c:v>17.267278729286197</c:v>
                </c:pt>
                <c:pt idx="20">
                  <c:v>17.763975671378688</c:v>
                </c:pt>
                <c:pt idx="21">
                  <c:v>17.446362474797194</c:v>
                </c:pt>
                <c:pt idx="22">
                  <c:v>17.414468655651934</c:v>
                </c:pt>
                <c:pt idx="23">
                  <c:v>17.471105461365326</c:v>
                </c:pt>
                <c:pt idx="24">
                  <c:v>17.343111407216242</c:v>
                </c:pt>
                <c:pt idx="25">
                  <c:v>17.233507461455449</c:v>
                </c:pt>
                <c:pt idx="26">
                  <c:v>17.223813690737625</c:v>
                </c:pt>
                <c:pt idx="27">
                  <c:v>17.377318875757929</c:v>
                </c:pt>
                <c:pt idx="28">
                  <c:v>17.29601097483366</c:v>
                </c:pt>
                <c:pt idx="29">
                  <c:v>17.257580325173581</c:v>
                </c:pt>
                <c:pt idx="30">
                  <c:v>17.220818594491647</c:v>
                </c:pt>
                <c:pt idx="31">
                  <c:v>17.427363160665809</c:v>
                </c:pt>
                <c:pt idx="32">
                  <c:v>17.316924134673663</c:v>
                </c:pt>
                <c:pt idx="33">
                  <c:v>17.299066169831296</c:v>
                </c:pt>
                <c:pt idx="34">
                  <c:v>17.115785679893101</c:v>
                </c:pt>
                <c:pt idx="35">
                  <c:v>17.398548965502879</c:v>
                </c:pt>
                <c:pt idx="36">
                  <c:v>17.339770735925544</c:v>
                </c:pt>
                <c:pt idx="37">
                  <c:v>17.38215231311311</c:v>
                </c:pt>
                <c:pt idx="38">
                  <c:v>17.519061086949165</c:v>
                </c:pt>
                <c:pt idx="39">
                  <c:v>17.951532848859468</c:v>
                </c:pt>
                <c:pt idx="40">
                  <c:v>20.241904502182575</c:v>
                </c:pt>
                <c:pt idx="41">
                  <c:v>18.873469284748591</c:v>
                </c:pt>
                <c:pt idx="42">
                  <c:v>19.258021294739141</c:v>
                </c:pt>
                <c:pt idx="43">
                  <c:v>20.517761121238294</c:v>
                </c:pt>
                <c:pt idx="44">
                  <c:v>22.060252679255104</c:v>
                </c:pt>
                <c:pt idx="45">
                  <c:v>22.026520806246459</c:v>
                </c:pt>
                <c:pt idx="46">
                  <c:v>21.887608353390213</c:v>
                </c:pt>
                <c:pt idx="47">
                  <c:v>22.691354529513479</c:v>
                </c:pt>
                <c:pt idx="48">
                  <c:v>22.488234964663008</c:v>
                </c:pt>
                <c:pt idx="49">
                  <c:v>22.475758352465498</c:v>
                </c:pt>
                <c:pt idx="50">
                  <c:v>22.275683671431167</c:v>
                </c:pt>
                <c:pt idx="51">
                  <c:v>22.15073131863522</c:v>
                </c:pt>
                <c:pt idx="52">
                  <c:v>22.011129138098255</c:v>
                </c:pt>
                <c:pt idx="53">
                  <c:v>21.416644512157713</c:v>
                </c:pt>
                <c:pt idx="54">
                  <c:v>21.166034465160553</c:v>
                </c:pt>
                <c:pt idx="55">
                  <c:v>20.822961010479624</c:v>
                </c:pt>
                <c:pt idx="56">
                  <c:v>20.66081471008258</c:v>
                </c:pt>
                <c:pt idx="57">
                  <c:v>20.56629533882111</c:v>
                </c:pt>
                <c:pt idx="58">
                  <c:v>20.417682398969234</c:v>
                </c:pt>
                <c:pt idx="59">
                  <c:v>20.108769788713957</c:v>
                </c:pt>
                <c:pt idx="60">
                  <c:v>20.106341878474979</c:v>
                </c:pt>
                <c:pt idx="61">
                  <c:v>19.800720049348119</c:v>
                </c:pt>
                <c:pt idx="62">
                  <c:v>19.471023153243376</c:v>
                </c:pt>
                <c:pt idx="63">
                  <c:v>19.697067137550299</c:v>
                </c:pt>
                <c:pt idx="64">
                  <c:v>19.613799303000004</c:v>
                </c:pt>
                <c:pt idx="65">
                  <c:v>19.599367071686569</c:v>
                </c:pt>
                <c:pt idx="66">
                  <c:v>19.452616304338541</c:v>
                </c:pt>
                <c:pt idx="67">
                  <c:v>19.605919751339844</c:v>
                </c:pt>
                <c:pt idx="68">
                  <c:v>19.501877046249561</c:v>
                </c:pt>
                <c:pt idx="69">
                  <c:v>19.476697330985861</c:v>
                </c:pt>
                <c:pt idx="70">
                  <c:v>19.613203850885402</c:v>
                </c:pt>
                <c:pt idx="71">
                  <c:v>19.637699218711411</c:v>
                </c:pt>
                <c:pt idx="72">
                  <c:v>19.497723937672799</c:v>
                </c:pt>
                <c:pt idx="73">
                  <c:v>19.547221539563637</c:v>
                </c:pt>
                <c:pt idx="74">
                  <c:v>19.462529399201511</c:v>
                </c:pt>
                <c:pt idx="75">
                  <c:v>19.354651151934814</c:v>
                </c:pt>
                <c:pt idx="76">
                  <c:v>19.159439267442689</c:v>
                </c:pt>
                <c:pt idx="77">
                  <c:v>19.157089251061123</c:v>
                </c:pt>
                <c:pt idx="78">
                  <c:v>19.099292272410043</c:v>
                </c:pt>
                <c:pt idx="79">
                  <c:v>19.139985025003995</c:v>
                </c:pt>
                <c:pt idx="80">
                  <c:v>19.056517028982974</c:v>
                </c:pt>
                <c:pt idx="81">
                  <c:v>19.041229921250004</c:v>
                </c:pt>
                <c:pt idx="82">
                  <c:v>19.228432803401994</c:v>
                </c:pt>
                <c:pt idx="83">
                  <c:v>19.459837245874308</c:v>
                </c:pt>
                <c:pt idx="84">
                  <c:v>19.387573699858372</c:v>
                </c:pt>
                <c:pt idx="85">
                  <c:v>19.316567521616882</c:v>
                </c:pt>
                <c:pt idx="86">
                  <c:v>19.295085622870552</c:v>
                </c:pt>
                <c:pt idx="87">
                  <c:v>19.872436686132527</c:v>
                </c:pt>
                <c:pt idx="88">
                  <c:v>41.970707812607806</c:v>
                </c:pt>
                <c:pt idx="89">
                  <c:v>30.713074934862394</c:v>
                </c:pt>
                <c:pt idx="90">
                  <c:v>24.501257744318416</c:v>
                </c:pt>
                <c:pt idx="91">
                  <c:v>34.446800192569071</c:v>
                </c:pt>
                <c:pt idx="92">
                  <c:v>30.708267042774434</c:v>
                </c:pt>
                <c:pt idx="93">
                  <c:v>25.884379527151996</c:v>
                </c:pt>
                <c:pt idx="94">
                  <c:v>22.679998065576942</c:v>
                </c:pt>
                <c:pt idx="95">
                  <c:v>21.250587170148592</c:v>
                </c:pt>
                <c:pt idx="96">
                  <c:v>20.860972452575069</c:v>
                </c:pt>
                <c:pt idx="97">
                  <c:v>20.605229951780629</c:v>
                </c:pt>
                <c:pt idx="98">
                  <c:v>20.527188981130511</c:v>
                </c:pt>
                <c:pt idx="99">
                  <c:v>20.474139807752266</c:v>
                </c:pt>
                <c:pt idx="100">
                  <c:v>20.332654620559239</c:v>
                </c:pt>
                <c:pt idx="101">
                  <c:v>19.91724549441874</c:v>
                </c:pt>
                <c:pt idx="102">
                  <c:v>19.830097194969927</c:v>
                </c:pt>
                <c:pt idx="103">
                  <c:v>20.116053410735713</c:v>
                </c:pt>
                <c:pt idx="104">
                  <c:v>20.072210410084811</c:v>
                </c:pt>
                <c:pt idx="105">
                  <c:v>20.396955590169362</c:v>
                </c:pt>
                <c:pt idx="106">
                  <c:v>20.425846856525471</c:v>
                </c:pt>
                <c:pt idx="107">
                  <c:v>20.535789210299555</c:v>
                </c:pt>
                <c:pt idx="108">
                  <c:v>20.781654917945378</c:v>
                </c:pt>
                <c:pt idx="109">
                  <c:v>20.519115248050944</c:v>
                </c:pt>
                <c:pt idx="110">
                  <c:v>20.228061868737093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EB-4F07-B9AD-342B4B54C21C}"/>
            </c:ext>
          </c:extLst>
        </c:ser>
        <c:ser>
          <c:idx val="1"/>
          <c:order val="1"/>
          <c:tx>
            <c:strRef>
              <c:f>'US Construction'!$D$4</c:f>
              <c:strCache>
                <c:ptCount val="1"/>
                <c:pt idx="0">
                  <c:v>FPEXP_GDP into BVAR (% GDP)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Construction'!$A$6:$A$115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Construction'!$D$5:$D$115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15.593891831212847</c:v>
                </c:pt>
                <c:pt idx="2">
                  <c:v>15.649143624090017</c:v>
                </c:pt>
                <c:pt idx="3">
                  <c:v>15.506176260523889</c:v>
                </c:pt>
                <c:pt idx="4">
                  <c:v>15.376734294121167</c:v>
                </c:pt>
                <c:pt idx="5">
                  <c:v>15.404042646015236</c:v>
                </c:pt>
                <c:pt idx="6">
                  <c:v>15.375788029477071</c:v>
                </c:pt>
                <c:pt idx="7">
                  <c:v>15.111567189509403</c:v>
                </c:pt>
                <c:pt idx="8">
                  <c:v>15.169579184442981</c:v>
                </c:pt>
                <c:pt idx="9">
                  <c:v>15.174597421149979</c:v>
                </c:pt>
                <c:pt idx="10">
                  <c:v>15.194805468589493</c:v>
                </c:pt>
                <c:pt idx="11">
                  <c:v>15.6362070712671</c:v>
                </c:pt>
                <c:pt idx="12">
                  <c:v>15.744928766864795</c:v>
                </c:pt>
                <c:pt idx="13">
                  <c:v>16.143364515258511</c:v>
                </c:pt>
                <c:pt idx="14">
                  <c:v>16.205512611316674</c:v>
                </c:pt>
                <c:pt idx="15">
                  <c:v>16.567329716696804</c:v>
                </c:pt>
                <c:pt idx="16">
                  <c:v>16.792052508114843</c:v>
                </c:pt>
                <c:pt idx="17">
                  <c:v>16.826750448833032</c:v>
                </c:pt>
                <c:pt idx="18">
                  <c:v>17.056479029434975</c:v>
                </c:pt>
                <c:pt idx="19">
                  <c:v>17.267278729286197</c:v>
                </c:pt>
                <c:pt idx="20">
                  <c:v>17.763975671378688</c:v>
                </c:pt>
                <c:pt idx="21">
                  <c:v>17.446362474797194</c:v>
                </c:pt>
                <c:pt idx="22">
                  <c:v>17.414468655651934</c:v>
                </c:pt>
                <c:pt idx="23">
                  <c:v>17.471105461365326</c:v>
                </c:pt>
                <c:pt idx="24">
                  <c:v>17.343111407216242</c:v>
                </c:pt>
                <c:pt idx="25">
                  <c:v>17.233507461455449</c:v>
                </c:pt>
                <c:pt idx="26">
                  <c:v>17.223813690737625</c:v>
                </c:pt>
                <c:pt idx="27">
                  <c:v>17.377318875757929</c:v>
                </c:pt>
                <c:pt idx="28">
                  <c:v>17.29601097483366</c:v>
                </c:pt>
                <c:pt idx="29">
                  <c:v>17.257580325173581</c:v>
                </c:pt>
                <c:pt idx="30">
                  <c:v>17.220818594491647</c:v>
                </c:pt>
                <c:pt idx="31">
                  <c:v>17.427363160665809</c:v>
                </c:pt>
                <c:pt idx="32">
                  <c:v>17.316924134673663</c:v>
                </c:pt>
                <c:pt idx="33">
                  <c:v>17.299066169831296</c:v>
                </c:pt>
                <c:pt idx="34">
                  <c:v>17.115785679893101</c:v>
                </c:pt>
                <c:pt idx="35">
                  <c:v>17.398548965502879</c:v>
                </c:pt>
                <c:pt idx="36">
                  <c:v>17.339770735925544</c:v>
                </c:pt>
                <c:pt idx="37">
                  <c:v>17.38215231311311</c:v>
                </c:pt>
                <c:pt idx="38">
                  <c:v>17.519061086949165</c:v>
                </c:pt>
                <c:pt idx="39">
                  <c:v>17.951532848859468</c:v>
                </c:pt>
                <c:pt idx="40">
                  <c:v>20.241904502182575</c:v>
                </c:pt>
                <c:pt idx="41">
                  <c:v>18.873469284748591</c:v>
                </c:pt>
                <c:pt idx="42">
                  <c:v>19.258021294739141</c:v>
                </c:pt>
                <c:pt idx="43">
                  <c:v>20.517761121238294</c:v>
                </c:pt>
                <c:pt idx="44">
                  <c:v>22.060252679255104</c:v>
                </c:pt>
                <c:pt idx="45">
                  <c:v>22.026520806246459</c:v>
                </c:pt>
                <c:pt idx="46">
                  <c:v>21.887608353390213</c:v>
                </c:pt>
                <c:pt idx="47">
                  <c:v>22.691354529513479</c:v>
                </c:pt>
                <c:pt idx="48">
                  <c:v>22.488234964663008</c:v>
                </c:pt>
                <c:pt idx="49">
                  <c:v>22.475758352465498</c:v>
                </c:pt>
                <c:pt idx="50">
                  <c:v>22.275683671431167</c:v>
                </c:pt>
                <c:pt idx="51">
                  <c:v>22.15073131863522</c:v>
                </c:pt>
                <c:pt idx="52">
                  <c:v>22.011129138098255</c:v>
                </c:pt>
                <c:pt idx="53">
                  <c:v>21.416644512157713</c:v>
                </c:pt>
                <c:pt idx="54">
                  <c:v>21.166034465160553</c:v>
                </c:pt>
                <c:pt idx="55">
                  <c:v>20.822961010479624</c:v>
                </c:pt>
                <c:pt idx="56">
                  <c:v>20.66081471008258</c:v>
                </c:pt>
                <c:pt idx="57">
                  <c:v>20.56629533882111</c:v>
                </c:pt>
                <c:pt idx="58">
                  <c:v>20.417682398969234</c:v>
                </c:pt>
                <c:pt idx="59">
                  <c:v>20.108769788713957</c:v>
                </c:pt>
                <c:pt idx="60">
                  <c:v>20.106341878474979</c:v>
                </c:pt>
                <c:pt idx="61">
                  <c:v>19.800720049348119</c:v>
                </c:pt>
                <c:pt idx="62">
                  <c:v>19.471023153243376</c:v>
                </c:pt>
                <c:pt idx="63">
                  <c:v>19.697067137550299</c:v>
                </c:pt>
                <c:pt idx="64">
                  <c:v>19.613799303000004</c:v>
                </c:pt>
                <c:pt idx="65">
                  <c:v>19.599367071686569</c:v>
                </c:pt>
                <c:pt idx="66">
                  <c:v>19.452616304338541</c:v>
                </c:pt>
                <c:pt idx="67">
                  <c:v>19.605919751339844</c:v>
                </c:pt>
                <c:pt idx="68">
                  <c:v>19.501877046249561</c:v>
                </c:pt>
                <c:pt idx="69">
                  <c:v>19.476697330985861</c:v>
                </c:pt>
                <c:pt idx="70">
                  <c:v>19.613203850885402</c:v>
                </c:pt>
                <c:pt idx="71">
                  <c:v>19.637699218711411</c:v>
                </c:pt>
                <c:pt idx="72">
                  <c:v>19.497723937672799</c:v>
                </c:pt>
                <c:pt idx="73">
                  <c:v>19.547221539563637</c:v>
                </c:pt>
                <c:pt idx="74">
                  <c:v>19.462529399201511</c:v>
                </c:pt>
                <c:pt idx="75">
                  <c:v>19.354651151934814</c:v>
                </c:pt>
                <c:pt idx="76">
                  <c:v>19.159439267442689</c:v>
                </c:pt>
                <c:pt idx="77">
                  <c:v>19.157089251061123</c:v>
                </c:pt>
                <c:pt idx="78">
                  <c:v>19.099292272410043</c:v>
                </c:pt>
                <c:pt idx="79">
                  <c:v>19.139985025003995</c:v>
                </c:pt>
                <c:pt idx="80">
                  <c:v>19.056517028982974</c:v>
                </c:pt>
                <c:pt idx="81">
                  <c:v>19.041229921250004</c:v>
                </c:pt>
                <c:pt idx="82">
                  <c:v>19.228432803401994</c:v>
                </c:pt>
                <c:pt idx="83">
                  <c:v>19.459837245874308</c:v>
                </c:pt>
                <c:pt idx="84">
                  <c:v>19.387573699858372</c:v>
                </c:pt>
                <c:pt idx="85">
                  <c:v>19.316567521616882</c:v>
                </c:pt>
                <c:pt idx="86">
                  <c:v>19.295085622870552</c:v>
                </c:pt>
                <c:pt idx="87">
                  <c:v>19.872436686132527</c:v>
                </c:pt>
                <c:pt idx="88">
                  <c:v>20.044705496634535</c:v>
                </c:pt>
                <c:pt idx="89">
                  <c:v>20.216974307136542</c:v>
                </c:pt>
                <c:pt idx="90">
                  <c:v>20.38924311763855</c:v>
                </c:pt>
                <c:pt idx="91">
                  <c:v>20.561511928140561</c:v>
                </c:pt>
                <c:pt idx="92">
                  <c:v>20.733780738642569</c:v>
                </c:pt>
                <c:pt idx="93">
                  <c:v>20.906049549144576</c:v>
                </c:pt>
                <c:pt idx="94">
                  <c:v>21.078318359646584</c:v>
                </c:pt>
                <c:pt idx="95">
                  <c:v>21.250587170148592</c:v>
                </c:pt>
                <c:pt idx="96">
                  <c:v>20.860972452575069</c:v>
                </c:pt>
                <c:pt idx="97">
                  <c:v>20.605229951780629</c:v>
                </c:pt>
                <c:pt idx="98">
                  <c:v>20.527188981130511</c:v>
                </c:pt>
                <c:pt idx="99">
                  <c:v>20.474139807752266</c:v>
                </c:pt>
                <c:pt idx="100">
                  <c:v>20.332654620559239</c:v>
                </c:pt>
                <c:pt idx="101">
                  <c:v>19.91724549441874</c:v>
                </c:pt>
                <c:pt idx="102">
                  <c:v>19.830097194969927</c:v>
                </c:pt>
                <c:pt idx="103">
                  <c:v>20.116053410735713</c:v>
                </c:pt>
                <c:pt idx="104">
                  <c:v>20.072210410084811</c:v>
                </c:pt>
                <c:pt idx="105">
                  <c:v>20.396955590169362</c:v>
                </c:pt>
                <c:pt idx="106">
                  <c:v>20.425846856525471</c:v>
                </c:pt>
                <c:pt idx="107">
                  <c:v>20.535789210299555</c:v>
                </c:pt>
                <c:pt idx="108">
                  <c:v>20.781654917945378</c:v>
                </c:pt>
                <c:pt idx="109">
                  <c:v>20.519115248050944</c:v>
                </c:pt>
                <c:pt idx="110">
                  <c:v>20.228061868737093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EB-4F07-B9AD-342B4B54C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294192"/>
        <c:axId val="8377397"/>
      </c:lineChart>
      <c:catAx>
        <c:axId val="6329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77397"/>
        <c:crosses val="autoZero"/>
        <c:auto val="1"/>
        <c:lblAlgn val="ctr"/>
        <c:lblOffset val="100"/>
        <c:noMultiLvlLbl val="0"/>
      </c:catAx>
      <c:valAx>
        <c:axId val="8377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94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US: reconstructed vs OBSERVED debt/GDP (back-cast)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Fiscal Arithmetic'!$I$4</c:f>
              <c:strCache>
                <c:ptCount val="1"/>
                <c:pt idx="0">
                  <c:v>d_t RATIO form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Arithmetic'!$I$5:$I$115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60.586930000000002</c:v>
                </c:pt>
                <c:pt idx="2">
                  <c:v>60.406959999999998</c:v>
                </c:pt>
                <c:pt idx="3">
                  <c:v>60.048940000000002</c:v>
                </c:pt>
                <c:pt idx="4">
                  <c:v>59.192270000000001</c:v>
                </c:pt>
                <c:pt idx="5">
                  <c:v>58.392580000000002</c:v>
                </c:pt>
                <c:pt idx="6">
                  <c:v>58.34335999999999</c:v>
                </c:pt>
                <c:pt idx="7">
                  <c:v>57.721339999999991</c:v>
                </c:pt>
                <c:pt idx="8">
                  <c:v>55.484909999999999</c:v>
                </c:pt>
                <c:pt idx="9">
                  <c:v>54.992130000000003</c:v>
                </c:pt>
                <c:pt idx="10">
                  <c:v>54.257899999999999</c:v>
                </c:pt>
                <c:pt idx="11">
                  <c:v>55.14434</c:v>
                </c:pt>
                <c:pt idx="12">
                  <c:v>54.031649999999999</c:v>
                </c:pt>
                <c:pt idx="13">
                  <c:v>54.797629999999991</c:v>
                </c:pt>
                <c:pt idx="14">
                  <c:v>55.752160000000011</c:v>
                </c:pt>
                <c:pt idx="15">
                  <c:v>55.696500000000007</c:v>
                </c:pt>
                <c:pt idx="16">
                  <c:v>56.270870000000009</c:v>
                </c:pt>
                <c:pt idx="17">
                  <c:v>56.702600000000011</c:v>
                </c:pt>
                <c:pt idx="18">
                  <c:v>57.910279999999993</c:v>
                </c:pt>
                <c:pt idx="19">
                  <c:v>57.81906</c:v>
                </c:pt>
                <c:pt idx="20">
                  <c:v>58.961010000000002</c:v>
                </c:pt>
                <c:pt idx="21">
                  <c:v>58.645409999999998</c:v>
                </c:pt>
                <c:pt idx="22">
                  <c:v>59.444659999999999</c:v>
                </c:pt>
                <c:pt idx="23">
                  <c:v>59.807100000000005</c:v>
                </c:pt>
                <c:pt idx="24">
                  <c:v>60.054870000000008</c:v>
                </c:pt>
                <c:pt idx="25">
                  <c:v>59.96643000000001</c:v>
                </c:pt>
                <c:pt idx="26">
                  <c:v>60.637129999999992</c:v>
                </c:pt>
                <c:pt idx="27">
                  <c:v>60.913020000000003</c:v>
                </c:pt>
                <c:pt idx="28">
                  <c:v>60.641529999999996</c:v>
                </c:pt>
                <c:pt idx="29">
                  <c:v>60.358559999999997</c:v>
                </c:pt>
                <c:pt idx="30">
                  <c:v>61.32007999999999</c:v>
                </c:pt>
                <c:pt idx="31">
                  <c:v>61.556420000000003</c:v>
                </c:pt>
                <c:pt idx="32">
                  <c:v>61.221419999999995</c:v>
                </c:pt>
                <c:pt idx="33">
                  <c:v>61.332800000000013</c:v>
                </c:pt>
                <c:pt idx="34">
                  <c:v>61.826890000000006</c:v>
                </c:pt>
                <c:pt idx="35">
                  <c:v>62.252969999999998</c:v>
                </c:pt>
                <c:pt idx="36">
                  <c:v>61.572189999999999</c:v>
                </c:pt>
                <c:pt idx="37">
                  <c:v>61.848259999999989</c:v>
                </c:pt>
                <c:pt idx="38">
                  <c:v>62.719239999999999</c:v>
                </c:pt>
                <c:pt idx="39">
                  <c:v>64.172780000000003</c:v>
                </c:pt>
                <c:pt idx="40">
                  <c:v>63.85172</c:v>
                </c:pt>
                <c:pt idx="41">
                  <c:v>67.28455000000001</c:v>
                </c:pt>
                <c:pt idx="42">
                  <c:v>73.245149999999995</c:v>
                </c:pt>
                <c:pt idx="43">
                  <c:v>77.104960000000005</c:v>
                </c:pt>
                <c:pt idx="44">
                  <c:v>80.28013</c:v>
                </c:pt>
                <c:pt idx="45">
                  <c:v>82.427330000000012</c:v>
                </c:pt>
                <c:pt idx="46">
                  <c:v>84.029349999999994</c:v>
                </c:pt>
                <c:pt idx="47">
                  <c:v>86.511750000000006</c:v>
                </c:pt>
                <c:pt idx="48">
                  <c:v>88.128320000000002</c:v>
                </c:pt>
                <c:pt idx="49">
                  <c:v>89.565279999999987</c:v>
                </c:pt>
                <c:pt idx="50">
                  <c:v>91.611339999999998</c:v>
                </c:pt>
                <c:pt idx="51">
                  <c:v>92.956140000000005</c:v>
                </c:pt>
                <c:pt idx="52">
                  <c:v>92.193799999999996</c:v>
                </c:pt>
                <c:pt idx="53">
                  <c:v>94.520979999999994</c:v>
                </c:pt>
                <c:pt idx="54">
                  <c:v>96.090720000000005</c:v>
                </c:pt>
                <c:pt idx="55">
                  <c:v>97.123080000000002</c:v>
                </c:pt>
                <c:pt idx="56">
                  <c:v>97.827629999999985</c:v>
                </c:pt>
                <c:pt idx="57">
                  <c:v>98.447870000000009</c:v>
                </c:pt>
                <c:pt idx="58">
                  <c:v>100.07496999999999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98.727969999999999</c:v>
                </c:pt>
                <c:pt idx="62">
                  <c:v>99.791180000000011</c:v>
                </c:pt>
                <c:pt idx="63">
                  <c:v>102.34617000000001</c:v>
                </c:pt>
                <c:pt idx="64">
                  <c:v>100.65130000000001</c:v>
                </c:pt>
                <c:pt idx="65">
                  <c:v>100.11145000000002</c:v>
                </c:pt>
                <c:pt idx="66">
                  <c:v>101.2805</c:v>
                </c:pt>
                <c:pt idx="67">
                  <c:v>100.49009000000001</c:v>
                </c:pt>
                <c:pt idx="68">
                  <c:v>99.300940000000011</c:v>
                </c:pt>
                <c:pt idx="69">
                  <c:v>98.635949999999994</c:v>
                </c:pt>
                <c:pt idx="70">
                  <c:v>102.64192000000001</c:v>
                </c:pt>
                <c:pt idx="71">
                  <c:v>103.98904000000002</c:v>
                </c:pt>
                <c:pt idx="72">
                  <c:v>103.58005000000001</c:v>
                </c:pt>
                <c:pt idx="73">
                  <c:v>103.60355</c:v>
                </c:pt>
                <c:pt idx="74">
                  <c:v>104.64891000000001</c:v>
                </c:pt>
                <c:pt idx="75">
                  <c:v>102.93741</c:v>
                </c:pt>
                <c:pt idx="76">
                  <c:v>102.08816999999999</c:v>
                </c:pt>
                <c:pt idx="77">
                  <c:v>102.80463000000002</c:v>
                </c:pt>
                <c:pt idx="78">
                  <c:v>102.27407999999998</c:v>
                </c:pt>
                <c:pt idx="79">
                  <c:v>103.74395000000001</c:v>
                </c:pt>
                <c:pt idx="80">
                  <c:v>102.98411000000002</c:v>
                </c:pt>
                <c:pt idx="81">
                  <c:v>103.44889999999998</c:v>
                </c:pt>
                <c:pt idx="82">
                  <c:v>105.04940999999999</c:v>
                </c:pt>
                <c:pt idx="83">
                  <c:v>104.34017000000001</c:v>
                </c:pt>
                <c:pt idx="84">
                  <c:v>102.92245</c:v>
                </c:pt>
                <c:pt idx="85">
                  <c:v>104.61492</c:v>
                </c:pt>
                <c:pt idx="86">
                  <c:v>105.78193</c:v>
                </c:pt>
                <c:pt idx="87">
                  <c:v>106.77007</c:v>
                </c:pt>
                <c:pt idx="88">
                  <c:v>132.66287</c:v>
                </c:pt>
                <c:pt idx="89">
                  <c:v>124.14691999999999</c:v>
                </c:pt>
                <c:pt idx="90">
                  <c:v>125.62863999999999</c:v>
                </c:pt>
                <c:pt idx="91">
                  <c:v>124.03752</c:v>
                </c:pt>
                <c:pt idx="92">
                  <c:v>121.78582</c:v>
                </c:pt>
                <c:pt idx="93">
                  <c:v>118.54086</c:v>
                </c:pt>
                <c:pt idx="94">
                  <c:v>119.35880000000002</c:v>
                </c:pt>
                <c:pt idx="95">
                  <c:v>120.39819</c:v>
                </c:pt>
                <c:pt idx="96">
                  <c:v>118.20207000000001</c:v>
                </c:pt>
                <c:pt idx="97">
                  <c:v>117.43832</c:v>
                </c:pt>
                <c:pt idx="98">
                  <c:v>117.36678000000001</c:v>
                </c:pt>
                <c:pt idx="99">
                  <c:v>115.58614</c:v>
                </c:pt>
                <c:pt idx="100">
                  <c:v>117.44355</c:v>
                </c:pt>
                <c:pt idx="101">
                  <c:v>118.13897000000001</c:v>
                </c:pt>
                <c:pt idx="102">
                  <c:v>119.61944000000001</c:v>
                </c:pt>
                <c:pt idx="103">
                  <c:v>120.47631</c:v>
                </c:pt>
                <c:pt idx="104">
                  <c:v>119.50313999999999</c:v>
                </c:pt>
                <c:pt idx="105">
                  <c:v>120.17172000000001</c:v>
                </c:pt>
                <c:pt idx="106">
                  <c:v>121.43633</c:v>
                </c:pt>
                <c:pt idx="107">
                  <c:v>120.54514999999998</c:v>
                </c:pt>
                <c:pt idx="108">
                  <c:v>118.78171</c:v>
                </c:pt>
                <c:pt idx="109">
                  <c:v>121.02875</c:v>
                </c:pt>
                <c:pt idx="110">
                  <c:v>122.56814999999999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56-48F9-BC04-6B9E51AE8AFC}"/>
            </c:ext>
          </c:extLst>
        </c:ser>
        <c:ser>
          <c:idx val="1"/>
          <c:order val="1"/>
          <c:tx>
            <c:strRef>
              <c:f>'US Fiscal Arithmetic'!$L$4</c:f>
              <c:strCache>
                <c:ptCount val="1"/>
                <c:pt idx="0">
                  <c:v>OBSERVED d_t (% GDP)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Arithmetic'!$L$5:$L$115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60.586930000000002</c:v>
                </c:pt>
                <c:pt idx="2">
                  <c:v>60.406959999999998</c:v>
                </c:pt>
                <c:pt idx="3">
                  <c:v>60.048940000000002</c:v>
                </c:pt>
                <c:pt idx="4">
                  <c:v>59.192270000000001</c:v>
                </c:pt>
                <c:pt idx="5">
                  <c:v>58.392580000000002</c:v>
                </c:pt>
                <c:pt idx="6">
                  <c:v>58.343359999999997</c:v>
                </c:pt>
                <c:pt idx="7">
                  <c:v>57.721339999999998</c:v>
                </c:pt>
                <c:pt idx="8">
                  <c:v>55.484909999999999</c:v>
                </c:pt>
                <c:pt idx="9">
                  <c:v>54.992130000000003</c:v>
                </c:pt>
                <c:pt idx="10">
                  <c:v>54.257899999999999</c:v>
                </c:pt>
                <c:pt idx="11">
                  <c:v>55.14434</c:v>
                </c:pt>
                <c:pt idx="12">
                  <c:v>54.031649999999999</c:v>
                </c:pt>
                <c:pt idx="13">
                  <c:v>54.797629999999998</c:v>
                </c:pt>
                <c:pt idx="14">
                  <c:v>55.752160000000003</c:v>
                </c:pt>
                <c:pt idx="15">
                  <c:v>55.6965</c:v>
                </c:pt>
                <c:pt idx="16">
                  <c:v>56.270870000000002</c:v>
                </c:pt>
                <c:pt idx="17">
                  <c:v>56.702599999999997</c:v>
                </c:pt>
                <c:pt idx="18">
                  <c:v>57.91028</c:v>
                </c:pt>
                <c:pt idx="19">
                  <c:v>57.81906</c:v>
                </c:pt>
                <c:pt idx="20">
                  <c:v>58.961010000000002</c:v>
                </c:pt>
                <c:pt idx="21">
                  <c:v>58.645409999999998</c:v>
                </c:pt>
                <c:pt idx="22">
                  <c:v>59.444659999999999</c:v>
                </c:pt>
                <c:pt idx="23">
                  <c:v>59.807099999999998</c:v>
                </c:pt>
                <c:pt idx="24">
                  <c:v>60.054870000000001</c:v>
                </c:pt>
                <c:pt idx="25">
                  <c:v>59.966430000000003</c:v>
                </c:pt>
                <c:pt idx="26">
                  <c:v>60.637129999999999</c:v>
                </c:pt>
                <c:pt idx="27">
                  <c:v>60.913020000000003</c:v>
                </c:pt>
                <c:pt idx="28">
                  <c:v>60.641530000000003</c:v>
                </c:pt>
                <c:pt idx="29">
                  <c:v>60.358559999999997</c:v>
                </c:pt>
                <c:pt idx="30">
                  <c:v>61.320079999999997</c:v>
                </c:pt>
                <c:pt idx="31">
                  <c:v>61.556420000000003</c:v>
                </c:pt>
                <c:pt idx="32">
                  <c:v>61.221420000000002</c:v>
                </c:pt>
                <c:pt idx="33">
                  <c:v>61.332799999999999</c:v>
                </c:pt>
                <c:pt idx="34">
                  <c:v>61.826889999999999</c:v>
                </c:pt>
                <c:pt idx="35">
                  <c:v>62.252969999999998</c:v>
                </c:pt>
                <c:pt idx="36">
                  <c:v>61.572189999999999</c:v>
                </c:pt>
                <c:pt idx="37">
                  <c:v>61.848260000000003</c:v>
                </c:pt>
                <c:pt idx="38">
                  <c:v>62.719239999999999</c:v>
                </c:pt>
                <c:pt idx="39">
                  <c:v>64.172780000000003</c:v>
                </c:pt>
                <c:pt idx="40">
                  <c:v>63.85172</c:v>
                </c:pt>
                <c:pt idx="41">
                  <c:v>67.284549999999996</c:v>
                </c:pt>
                <c:pt idx="42">
                  <c:v>73.245149999999995</c:v>
                </c:pt>
                <c:pt idx="43">
                  <c:v>77.104960000000005</c:v>
                </c:pt>
                <c:pt idx="44">
                  <c:v>80.28013</c:v>
                </c:pt>
                <c:pt idx="45">
                  <c:v>82.427329999999998</c:v>
                </c:pt>
                <c:pt idx="46">
                  <c:v>84.029349999999994</c:v>
                </c:pt>
                <c:pt idx="47">
                  <c:v>86.511750000000006</c:v>
                </c:pt>
                <c:pt idx="48">
                  <c:v>88.128320000000002</c:v>
                </c:pt>
                <c:pt idx="49">
                  <c:v>89.565280000000001</c:v>
                </c:pt>
                <c:pt idx="50">
                  <c:v>91.611339999999998</c:v>
                </c:pt>
                <c:pt idx="51">
                  <c:v>92.956140000000005</c:v>
                </c:pt>
                <c:pt idx="52">
                  <c:v>92.193799999999996</c:v>
                </c:pt>
                <c:pt idx="53">
                  <c:v>94.520979999999994</c:v>
                </c:pt>
                <c:pt idx="54">
                  <c:v>96.090720000000005</c:v>
                </c:pt>
                <c:pt idx="55">
                  <c:v>97.123080000000002</c:v>
                </c:pt>
                <c:pt idx="56">
                  <c:v>97.827629999999999</c:v>
                </c:pt>
                <c:pt idx="57">
                  <c:v>98.447869999999995</c:v>
                </c:pt>
                <c:pt idx="58">
                  <c:v>100.07496999999999</c:v>
                </c:pt>
                <c:pt idx="59">
                  <c:v>100.73997</c:v>
                </c:pt>
                <c:pt idx="60">
                  <c:v>100.05758</c:v>
                </c:pt>
                <c:pt idx="61">
                  <c:v>98.727969999999999</c:v>
                </c:pt>
                <c:pt idx="62">
                  <c:v>99.791179999999997</c:v>
                </c:pt>
                <c:pt idx="63">
                  <c:v>102.34617</c:v>
                </c:pt>
                <c:pt idx="64">
                  <c:v>100.65130000000001</c:v>
                </c:pt>
                <c:pt idx="65">
                  <c:v>100.11145</c:v>
                </c:pt>
                <c:pt idx="66">
                  <c:v>101.2805</c:v>
                </c:pt>
                <c:pt idx="67">
                  <c:v>100.49009</c:v>
                </c:pt>
                <c:pt idx="68">
                  <c:v>99.300939999999997</c:v>
                </c:pt>
                <c:pt idx="69">
                  <c:v>98.635949999999994</c:v>
                </c:pt>
                <c:pt idx="70">
                  <c:v>102.64192</c:v>
                </c:pt>
                <c:pt idx="71">
                  <c:v>103.98904</c:v>
                </c:pt>
                <c:pt idx="72">
                  <c:v>103.58005</c:v>
                </c:pt>
                <c:pt idx="73">
                  <c:v>103.60355</c:v>
                </c:pt>
                <c:pt idx="74">
                  <c:v>104.64891</c:v>
                </c:pt>
                <c:pt idx="75">
                  <c:v>102.93741</c:v>
                </c:pt>
                <c:pt idx="76">
                  <c:v>102.08817000000001</c:v>
                </c:pt>
                <c:pt idx="77">
                  <c:v>102.80463</c:v>
                </c:pt>
                <c:pt idx="78">
                  <c:v>102.27408</c:v>
                </c:pt>
                <c:pt idx="79">
                  <c:v>103.74395</c:v>
                </c:pt>
                <c:pt idx="80">
                  <c:v>102.98411</c:v>
                </c:pt>
                <c:pt idx="81">
                  <c:v>103.44889999999999</c:v>
                </c:pt>
                <c:pt idx="82">
                  <c:v>105.04940999999999</c:v>
                </c:pt>
                <c:pt idx="83">
                  <c:v>104.34017</c:v>
                </c:pt>
                <c:pt idx="84">
                  <c:v>102.92245</c:v>
                </c:pt>
                <c:pt idx="85">
                  <c:v>104.61492</c:v>
                </c:pt>
                <c:pt idx="86">
                  <c:v>105.78193</c:v>
                </c:pt>
                <c:pt idx="87">
                  <c:v>106.77007</c:v>
                </c:pt>
                <c:pt idx="88">
                  <c:v>132.66287</c:v>
                </c:pt>
                <c:pt idx="89">
                  <c:v>124.14691999999999</c:v>
                </c:pt>
                <c:pt idx="90">
                  <c:v>125.62864</c:v>
                </c:pt>
                <c:pt idx="91">
                  <c:v>124.03752</c:v>
                </c:pt>
                <c:pt idx="92">
                  <c:v>121.78582</c:v>
                </c:pt>
                <c:pt idx="93">
                  <c:v>118.54086</c:v>
                </c:pt>
                <c:pt idx="94">
                  <c:v>119.3588</c:v>
                </c:pt>
                <c:pt idx="95">
                  <c:v>120.39819</c:v>
                </c:pt>
                <c:pt idx="96">
                  <c:v>118.20207000000001</c:v>
                </c:pt>
                <c:pt idx="97">
                  <c:v>117.43832</c:v>
                </c:pt>
                <c:pt idx="98">
                  <c:v>117.36678000000001</c:v>
                </c:pt>
                <c:pt idx="99">
                  <c:v>115.58614</c:v>
                </c:pt>
                <c:pt idx="100">
                  <c:v>117.44355</c:v>
                </c:pt>
                <c:pt idx="101">
                  <c:v>118.13897</c:v>
                </c:pt>
                <c:pt idx="102">
                  <c:v>119.61944</c:v>
                </c:pt>
                <c:pt idx="103">
                  <c:v>120.47631</c:v>
                </c:pt>
                <c:pt idx="104">
                  <c:v>119.50314</c:v>
                </c:pt>
                <c:pt idx="105">
                  <c:v>120.17171999999999</c:v>
                </c:pt>
                <c:pt idx="106">
                  <c:v>121.43633</c:v>
                </c:pt>
                <c:pt idx="107">
                  <c:v>120.54515000000001</c:v>
                </c:pt>
                <c:pt idx="108">
                  <c:v>118.78171</c:v>
                </c:pt>
                <c:pt idx="109">
                  <c:v>121.02875</c:v>
                </c:pt>
                <c:pt idx="110">
                  <c:v>122.56815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56-48F9-BC04-6B9E51AE8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596412"/>
        <c:axId val="6998305"/>
      </c:lineChart>
      <c:catAx>
        <c:axId val="48596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98305"/>
        <c:crosses val="autoZero"/>
        <c:auto val="1"/>
        <c:lblAlgn val="ctr"/>
        <c:lblOffset val="100"/>
        <c:noMultiLvlLbl val="0"/>
      </c:catAx>
      <c:valAx>
        <c:axId val="6998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596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US: debt service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Fiscal Arithmetic'!$C$4</c:f>
              <c:strCache>
                <c:ptCount val="1"/>
                <c:pt idx="0">
                  <c:v>DSVC = interest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Arithmetic'!$C$5:$C$115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4.0826788056098646</c:v>
                </c:pt>
                <c:pt idx="2">
                  <c:v>3.9478584648315875</c:v>
                </c:pt>
                <c:pt idx="3">
                  <c:v>3.7938061269910852</c:v>
                </c:pt>
                <c:pt idx="4">
                  <c:v>3.7415310037036948</c:v>
                </c:pt>
                <c:pt idx="5">
                  <c:v>3.6853376106552345</c:v>
                </c:pt>
                <c:pt idx="6">
                  <c:v>3.6434254816899094</c:v>
                </c:pt>
                <c:pt idx="7">
                  <c:v>3.5839994246562861</c:v>
                </c:pt>
                <c:pt idx="8">
                  <c:v>3.5403185645847768</c:v>
                </c:pt>
                <c:pt idx="9">
                  <c:v>3.4434684007759779</c:v>
                </c:pt>
                <c:pt idx="10">
                  <c:v>3.4221685735787322</c:v>
                </c:pt>
                <c:pt idx="11">
                  <c:v>3.3105354060045928</c:v>
                </c:pt>
                <c:pt idx="12">
                  <c:v>3.1974079654976095</c:v>
                </c:pt>
                <c:pt idx="13">
                  <c:v>3.0835550523634305</c:v>
                </c:pt>
                <c:pt idx="14">
                  <c:v>2.9988714873155553</c:v>
                </c:pt>
                <c:pt idx="15">
                  <c:v>2.8603911743061863</c:v>
                </c:pt>
                <c:pt idx="16">
                  <c:v>2.8001854685398992</c:v>
                </c:pt>
                <c:pt idx="17">
                  <c:v>2.7572087520872639</c:v>
                </c:pt>
                <c:pt idx="18">
                  <c:v>2.7130818897236351</c:v>
                </c:pt>
                <c:pt idx="19">
                  <c:v>2.628899890276422</c:v>
                </c:pt>
                <c:pt idx="20">
                  <c:v>2.5981622370745852</c:v>
                </c:pt>
                <c:pt idx="21">
                  <c:v>2.5781404830613486</c:v>
                </c:pt>
                <c:pt idx="22">
                  <c:v>2.5427199481544775</c:v>
                </c:pt>
                <c:pt idx="23">
                  <c:v>2.5303778365261853</c:v>
                </c:pt>
                <c:pt idx="24">
                  <c:v>2.5132077997243583</c:v>
                </c:pt>
                <c:pt idx="25">
                  <c:v>2.5440741891954923</c:v>
                </c:pt>
                <c:pt idx="26">
                  <c:v>2.5873877019078031</c:v>
                </c:pt>
                <c:pt idx="27">
                  <c:v>2.6295311950446441</c:v>
                </c:pt>
                <c:pt idx="28">
                  <c:v>2.6911122692794693</c:v>
                </c:pt>
                <c:pt idx="29">
                  <c:v>2.702447546386749</c:v>
                </c:pt>
                <c:pt idx="30">
                  <c:v>2.7032768601625152</c:v>
                </c:pt>
                <c:pt idx="31">
                  <c:v>2.6884082531309188</c:v>
                </c:pt>
                <c:pt idx="32">
                  <c:v>2.7017477550083977</c:v>
                </c:pt>
                <c:pt idx="33">
                  <c:v>2.7360386766233624</c:v>
                </c:pt>
                <c:pt idx="34">
                  <c:v>2.7896161176762706</c:v>
                </c:pt>
                <c:pt idx="35">
                  <c:v>2.8206653199957836</c:v>
                </c:pt>
                <c:pt idx="36">
                  <c:v>2.8694711202462693</c:v>
                </c:pt>
                <c:pt idx="37">
                  <c:v>2.8757231072562979</c:v>
                </c:pt>
                <c:pt idx="38">
                  <c:v>2.8414012329068763</c:v>
                </c:pt>
                <c:pt idx="39">
                  <c:v>2.7419056044495371</c:v>
                </c:pt>
                <c:pt idx="40">
                  <c:v>2.6406690684102538</c:v>
                </c:pt>
                <c:pt idx="41">
                  <c:v>2.5706961279525267</c:v>
                </c:pt>
                <c:pt idx="42">
                  <c:v>2.5479161385271585</c:v>
                </c:pt>
                <c:pt idx="43">
                  <c:v>2.4771619847443311</c:v>
                </c:pt>
                <c:pt idx="44">
                  <c:v>2.440138530495183</c:v>
                </c:pt>
                <c:pt idx="45">
                  <c:v>2.4359310979946369</c:v>
                </c:pt>
                <c:pt idx="46">
                  <c:v>2.448708488310722</c:v>
                </c:pt>
                <c:pt idx="47">
                  <c:v>2.4588893411066866</c:v>
                </c:pt>
                <c:pt idx="48">
                  <c:v>2.5529289293791031</c:v>
                </c:pt>
                <c:pt idx="49">
                  <c:v>2.5984111152640028</c:v>
                </c:pt>
                <c:pt idx="50">
                  <c:v>2.6385178270707987</c:v>
                </c:pt>
                <c:pt idx="51">
                  <c:v>2.6833384347496199</c:v>
                </c:pt>
                <c:pt idx="52">
                  <c:v>2.7683838032738017</c:v>
                </c:pt>
                <c:pt idx="53">
                  <c:v>2.7808061416397538</c:v>
                </c:pt>
                <c:pt idx="54">
                  <c:v>2.7694201312910285</c:v>
                </c:pt>
                <c:pt idx="55">
                  <c:v>2.7038000073095638</c:v>
                </c:pt>
                <c:pt idx="56">
                  <c:v>2.640799984815299</c:v>
                </c:pt>
                <c:pt idx="57">
                  <c:v>2.5974641384354955</c:v>
                </c:pt>
                <c:pt idx="58">
                  <c:v>2.5542017388846907</c:v>
                </c:pt>
                <c:pt idx="59">
                  <c:v>2.5032978756510413</c:v>
                </c:pt>
                <c:pt idx="60">
                  <c:v>2.4777950322404436</c:v>
                </c:pt>
                <c:pt idx="61">
                  <c:v>2.4911817645939576</c:v>
                </c:pt>
                <c:pt idx="62">
                  <c:v>2.5068129116250844</c:v>
                </c:pt>
                <c:pt idx="63">
                  <c:v>2.5125146732329693</c:v>
                </c:pt>
                <c:pt idx="64">
                  <c:v>2.5586330016191661</c:v>
                </c:pt>
                <c:pt idx="65">
                  <c:v>2.5236566949651191</c:v>
                </c:pt>
                <c:pt idx="66">
                  <c:v>2.4841459006254021</c:v>
                </c:pt>
                <c:pt idx="67">
                  <c:v>2.3932956079526</c:v>
                </c:pt>
                <c:pt idx="68">
                  <c:v>2.357662226467486</c:v>
                </c:pt>
                <c:pt idx="69">
                  <c:v>2.3407333478338694</c:v>
                </c:pt>
                <c:pt idx="70">
                  <c:v>2.3621934279068597</c:v>
                </c:pt>
                <c:pt idx="71">
                  <c:v>2.4205136094187965</c:v>
                </c:pt>
                <c:pt idx="72">
                  <c:v>2.4467917486261013</c:v>
                </c:pt>
                <c:pt idx="73">
                  <c:v>2.4450688665306872</c:v>
                </c:pt>
                <c:pt idx="74">
                  <c:v>2.4357846460730026</c:v>
                </c:pt>
                <c:pt idx="75">
                  <c:v>2.4132215091962914</c:v>
                </c:pt>
                <c:pt idx="76">
                  <c:v>2.444045368267068</c:v>
                </c:pt>
                <c:pt idx="77">
                  <c:v>2.4768035505359092</c:v>
                </c:pt>
                <c:pt idx="78">
                  <c:v>2.5057185200833101</c:v>
                </c:pt>
                <c:pt idx="79">
                  <c:v>2.5333970684762179</c:v>
                </c:pt>
                <c:pt idx="80">
                  <c:v>2.6159166370572464</c:v>
                </c:pt>
                <c:pt idx="81">
                  <c:v>2.681567269710885</c:v>
                </c:pt>
                <c:pt idx="82">
                  <c:v>2.74646096179911</c:v>
                </c:pt>
                <c:pt idx="83">
                  <c:v>2.7713819960706325</c:v>
                </c:pt>
                <c:pt idx="84">
                  <c:v>2.7776625172890737</c:v>
                </c:pt>
                <c:pt idx="85">
                  <c:v>2.7023912304073412</c:v>
                </c:pt>
                <c:pt idx="86">
                  <c:v>2.598133062542999</c:v>
                </c:pt>
                <c:pt idx="87">
                  <c:v>2.4808125502063834</c:v>
                </c:pt>
                <c:pt idx="88">
                  <c:v>2.3664721980422443</c:v>
                </c:pt>
                <c:pt idx="89">
                  <c:v>2.5453632277432972</c:v>
                </c:pt>
                <c:pt idx="90">
                  <c:v>2.3806699063421912</c:v>
                </c:pt>
                <c:pt idx="91">
                  <c:v>2.4155119988264677</c:v>
                </c:pt>
                <c:pt idx="92">
                  <c:v>2.471855688007417</c:v>
                </c:pt>
                <c:pt idx="93">
                  <c:v>2.5096997299144408</c:v>
                </c:pt>
                <c:pt idx="94">
                  <c:v>2.5530494701964308</c:v>
                </c:pt>
                <c:pt idx="95">
                  <c:v>2.5670116387787343</c:v>
                </c:pt>
                <c:pt idx="96">
                  <c:v>2.711875603135276</c:v>
                </c:pt>
                <c:pt idx="97">
                  <c:v>2.9081339014307561</c:v>
                </c:pt>
                <c:pt idx="98">
                  <c:v>3.1253664143609519</c:v>
                </c:pt>
                <c:pt idx="99">
                  <c:v>3.2172225008455202</c:v>
                </c:pt>
                <c:pt idx="100">
                  <c:v>3.2851682135561791</c:v>
                </c:pt>
                <c:pt idx="101">
                  <c:v>3.5121578943449259</c:v>
                </c:pt>
                <c:pt idx="102">
                  <c:v>3.6740290578975925</c:v>
                </c:pt>
                <c:pt idx="103">
                  <c:v>3.7684590195816159</c:v>
                </c:pt>
                <c:pt idx="104">
                  <c:v>3.8440811307976155</c:v>
                </c:pt>
                <c:pt idx="105">
                  <c:v>3.9324124943853649</c:v>
                </c:pt>
                <c:pt idx="106">
                  <c:v>3.9157941077128013</c:v>
                </c:pt>
                <c:pt idx="107">
                  <c:v>3.8363957007873415</c:v>
                </c:pt>
                <c:pt idx="108">
                  <c:v>3.8642421723132458</c:v>
                </c:pt>
                <c:pt idx="109">
                  <c:v>3.9336077546316837</c:v>
                </c:pt>
                <c:pt idx="110">
                  <c:v>3.9471796715592276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AF-452E-9877-35C6C7EB4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600939"/>
        <c:axId val="13752257"/>
      </c:lineChart>
      <c:catAx>
        <c:axId val="796009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52257"/>
        <c:crosses val="autoZero"/>
        <c:auto val="1"/>
        <c:lblAlgn val="ctr"/>
        <c:lblOffset val="100"/>
        <c:noMultiLvlLbl val="0"/>
      </c:catAx>
      <c:valAx>
        <c:axId val="13752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009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US: effective interest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Fiscal Arithmetic'!$D$4</c:f>
              <c:strCache>
                <c:ptCount val="1"/>
                <c:pt idx="0">
                  <c:v>i_eff (% p.a.)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Fiscal Arithmetic'!$A$6:$A$115</c:f>
              <c:strCache>
                <c:ptCount val="110"/>
                <c:pt idx="0">
                  <c:v>1998-Q3</c:v>
                </c:pt>
                <c:pt idx="1">
                  <c:v>1998-Q4</c:v>
                </c:pt>
                <c:pt idx="2">
                  <c:v>1999-Q1</c:v>
                </c:pt>
                <c:pt idx="3">
                  <c:v>1999-Q2</c:v>
                </c:pt>
                <c:pt idx="4">
                  <c:v>1999-Q3</c:v>
                </c:pt>
                <c:pt idx="5">
                  <c:v>1999-Q4</c:v>
                </c:pt>
                <c:pt idx="6">
                  <c:v>2000-Q1</c:v>
                </c:pt>
                <c:pt idx="7">
                  <c:v>2000-Q2</c:v>
                </c:pt>
                <c:pt idx="8">
                  <c:v>2000-Q3</c:v>
                </c:pt>
                <c:pt idx="9">
                  <c:v>2000-Q4</c:v>
                </c:pt>
                <c:pt idx="10">
                  <c:v>2001-Q1</c:v>
                </c:pt>
                <c:pt idx="11">
                  <c:v>2001-Q2</c:v>
                </c:pt>
                <c:pt idx="12">
                  <c:v>2001-Q3</c:v>
                </c:pt>
                <c:pt idx="13">
                  <c:v>2001-Q4</c:v>
                </c:pt>
                <c:pt idx="14">
                  <c:v>2002-Q1</c:v>
                </c:pt>
                <c:pt idx="15">
                  <c:v>2002-Q2</c:v>
                </c:pt>
                <c:pt idx="16">
                  <c:v>2002-Q3</c:v>
                </c:pt>
                <c:pt idx="17">
                  <c:v>2002-Q4</c:v>
                </c:pt>
                <c:pt idx="18">
                  <c:v>2003-Q1</c:v>
                </c:pt>
                <c:pt idx="19">
                  <c:v>2003-Q2</c:v>
                </c:pt>
                <c:pt idx="20">
                  <c:v>2003-Q3</c:v>
                </c:pt>
                <c:pt idx="21">
                  <c:v>2003-Q4</c:v>
                </c:pt>
                <c:pt idx="22">
                  <c:v>2004-Q1</c:v>
                </c:pt>
                <c:pt idx="23">
                  <c:v>2004-Q2</c:v>
                </c:pt>
                <c:pt idx="24">
                  <c:v>2004-Q3</c:v>
                </c:pt>
                <c:pt idx="25">
                  <c:v>2004-Q4</c:v>
                </c:pt>
                <c:pt idx="26">
                  <c:v>2005-Q1</c:v>
                </c:pt>
                <c:pt idx="27">
                  <c:v>2005-Q2</c:v>
                </c:pt>
                <c:pt idx="28">
                  <c:v>2005-Q3</c:v>
                </c:pt>
                <c:pt idx="29">
                  <c:v>2005-Q4</c:v>
                </c:pt>
                <c:pt idx="30">
                  <c:v>2006-Q1</c:v>
                </c:pt>
                <c:pt idx="31">
                  <c:v>2006-Q2</c:v>
                </c:pt>
                <c:pt idx="32">
                  <c:v>2006-Q3</c:v>
                </c:pt>
                <c:pt idx="33">
                  <c:v>2006-Q4</c:v>
                </c:pt>
                <c:pt idx="34">
                  <c:v>2007-Q1</c:v>
                </c:pt>
                <c:pt idx="35">
                  <c:v>2007-Q2</c:v>
                </c:pt>
                <c:pt idx="36">
                  <c:v>2007-Q3</c:v>
                </c:pt>
                <c:pt idx="37">
                  <c:v>2007-Q4</c:v>
                </c:pt>
                <c:pt idx="38">
                  <c:v>2008-Q1</c:v>
                </c:pt>
                <c:pt idx="39">
                  <c:v>2008-Q2</c:v>
                </c:pt>
                <c:pt idx="40">
                  <c:v>2008-Q3</c:v>
                </c:pt>
                <c:pt idx="41">
                  <c:v>2008-Q4</c:v>
                </c:pt>
                <c:pt idx="42">
                  <c:v>2009-Q1</c:v>
                </c:pt>
                <c:pt idx="43">
                  <c:v>2009-Q2</c:v>
                </c:pt>
                <c:pt idx="44">
                  <c:v>2009-Q3</c:v>
                </c:pt>
                <c:pt idx="45">
                  <c:v>2009-Q4</c:v>
                </c:pt>
                <c:pt idx="46">
                  <c:v>2010-Q1</c:v>
                </c:pt>
                <c:pt idx="47">
                  <c:v>2010-Q2</c:v>
                </c:pt>
                <c:pt idx="48">
                  <c:v>2010-Q3</c:v>
                </c:pt>
                <c:pt idx="49">
                  <c:v>2010-Q4</c:v>
                </c:pt>
                <c:pt idx="50">
                  <c:v>2011-Q1</c:v>
                </c:pt>
                <c:pt idx="51">
                  <c:v>2011-Q2</c:v>
                </c:pt>
                <c:pt idx="52">
                  <c:v>2011-Q3</c:v>
                </c:pt>
                <c:pt idx="53">
                  <c:v>2011-Q4</c:v>
                </c:pt>
                <c:pt idx="54">
                  <c:v>2012-Q1</c:v>
                </c:pt>
                <c:pt idx="55">
                  <c:v>2012-Q2</c:v>
                </c:pt>
                <c:pt idx="56">
                  <c:v>2012-Q3</c:v>
                </c:pt>
                <c:pt idx="57">
                  <c:v>2012-Q4</c:v>
                </c:pt>
                <c:pt idx="58">
                  <c:v>2013-Q1</c:v>
                </c:pt>
                <c:pt idx="59">
                  <c:v>2013-Q2</c:v>
                </c:pt>
                <c:pt idx="60">
                  <c:v>2013-Q3</c:v>
                </c:pt>
                <c:pt idx="61">
                  <c:v>2013-Q4</c:v>
                </c:pt>
                <c:pt idx="62">
                  <c:v>2014-Q1</c:v>
                </c:pt>
                <c:pt idx="63">
                  <c:v>2014-Q2</c:v>
                </c:pt>
                <c:pt idx="64">
                  <c:v>2014-Q3</c:v>
                </c:pt>
                <c:pt idx="65">
                  <c:v>2014-Q4</c:v>
                </c:pt>
                <c:pt idx="66">
                  <c:v>2015-Q1</c:v>
                </c:pt>
                <c:pt idx="67">
                  <c:v>2015-Q2</c:v>
                </c:pt>
                <c:pt idx="68">
                  <c:v>2015-Q3</c:v>
                </c:pt>
                <c:pt idx="69">
                  <c:v>2015-Q4</c:v>
                </c:pt>
                <c:pt idx="70">
                  <c:v>2016-Q1</c:v>
                </c:pt>
                <c:pt idx="71">
                  <c:v>2016-Q2</c:v>
                </c:pt>
                <c:pt idx="72">
                  <c:v>2016-Q3</c:v>
                </c:pt>
                <c:pt idx="73">
                  <c:v>2016-Q4</c:v>
                </c:pt>
                <c:pt idx="74">
                  <c:v>2017-Q1</c:v>
                </c:pt>
                <c:pt idx="75">
                  <c:v>2017-Q2</c:v>
                </c:pt>
                <c:pt idx="76">
                  <c:v>2017-Q3</c:v>
                </c:pt>
                <c:pt idx="77">
                  <c:v>2017-Q4</c:v>
                </c:pt>
                <c:pt idx="78">
                  <c:v>2018-Q1</c:v>
                </c:pt>
                <c:pt idx="79">
                  <c:v>2018-Q2</c:v>
                </c:pt>
                <c:pt idx="80">
                  <c:v>2018-Q3</c:v>
                </c:pt>
                <c:pt idx="81">
                  <c:v>2018-Q4</c:v>
                </c:pt>
                <c:pt idx="82">
                  <c:v>2019-Q1</c:v>
                </c:pt>
                <c:pt idx="83">
                  <c:v>2019-Q2</c:v>
                </c:pt>
                <c:pt idx="84">
                  <c:v>2019-Q3</c:v>
                </c:pt>
                <c:pt idx="85">
                  <c:v>2019-Q4</c:v>
                </c:pt>
                <c:pt idx="86">
                  <c:v>2020-Q1</c:v>
                </c:pt>
                <c:pt idx="87">
                  <c:v>2020-Q2</c:v>
                </c:pt>
                <c:pt idx="88">
                  <c:v>2020-Q3</c:v>
                </c:pt>
                <c:pt idx="89">
                  <c:v>2020-Q4</c:v>
                </c:pt>
                <c:pt idx="90">
                  <c:v>2021-Q1</c:v>
                </c:pt>
                <c:pt idx="91">
                  <c:v>2021-Q2</c:v>
                </c:pt>
                <c:pt idx="92">
                  <c:v>2021-Q3</c:v>
                </c:pt>
                <c:pt idx="93">
                  <c:v>2021-Q4</c:v>
                </c:pt>
                <c:pt idx="94">
                  <c:v>2022-Q1</c:v>
                </c:pt>
                <c:pt idx="95">
                  <c:v>2022-Q2</c:v>
                </c:pt>
                <c:pt idx="96">
                  <c:v>2022-Q3</c:v>
                </c:pt>
                <c:pt idx="97">
                  <c:v>2022-Q4</c:v>
                </c:pt>
                <c:pt idx="98">
                  <c:v>2023-Q1</c:v>
                </c:pt>
                <c:pt idx="99">
                  <c:v>2023-Q2</c:v>
                </c:pt>
                <c:pt idx="100">
                  <c:v>2023-Q3</c:v>
                </c:pt>
                <c:pt idx="101">
                  <c:v>2023-Q4</c:v>
                </c:pt>
                <c:pt idx="102">
                  <c:v>2024-Q1</c:v>
                </c:pt>
                <c:pt idx="103">
                  <c:v>2024-Q2</c:v>
                </c:pt>
                <c:pt idx="104">
                  <c:v>2024-Q3</c:v>
                </c:pt>
                <c:pt idx="105">
                  <c:v>2024-Q4</c:v>
                </c:pt>
                <c:pt idx="106">
                  <c:v>2025-Q1</c:v>
                </c:pt>
                <c:pt idx="107">
                  <c:v>2025-Q2</c:v>
                </c:pt>
                <c:pt idx="108">
                  <c:v>2025-Q3</c:v>
                </c:pt>
                <c:pt idx="109">
                  <c:v>2025-Q4</c:v>
                </c:pt>
              </c:strCache>
            </c:strRef>
          </c:cat>
          <c:val>
            <c:numRef>
              <c:f>'US Fiscal Arithmetic'!$D$5:$D$115</c:f>
              <c:numCache>
                <c:formatCode>0.0000</c:formatCode>
                <c:ptCount val="111"/>
                <c:pt idx="0" formatCode="General">
                  <c:v>0</c:v>
                </c:pt>
                <c:pt idx="1">
                  <c:v>6.7385470853364975</c:v>
                </c:pt>
                <c:pt idx="2">
                  <c:v>6.516023282301294</c:v>
                </c:pt>
                <c:pt idx="3">
                  <c:v>6.2804122687039454</c:v>
                </c:pt>
                <c:pt idx="4">
                  <c:v>6.2308027480646535</c:v>
                </c:pt>
                <c:pt idx="5">
                  <c:v>6.2260454121040372</c:v>
                </c:pt>
                <c:pt idx="6">
                  <c:v>6.2395350260082862</c:v>
                </c:pt>
                <c:pt idx="7">
                  <c:v>6.142943129528855</c:v>
                </c:pt>
                <c:pt idx="8">
                  <c:v>6.1334656551368649</c:v>
                </c:pt>
                <c:pt idx="9">
                  <c:v>6.2061349667431704</c:v>
                </c:pt>
                <c:pt idx="10">
                  <c:v>6.2230151361271728</c:v>
                </c:pt>
                <c:pt idx="11">
                  <c:v>6.1014809014071547</c:v>
                </c:pt>
                <c:pt idx="12">
                  <c:v>5.7982523056720048</c:v>
                </c:pt>
                <c:pt idx="13">
                  <c:v>5.7069422317538523</c:v>
                </c:pt>
                <c:pt idx="14">
                  <c:v>5.4726299062852819</c:v>
                </c:pt>
                <c:pt idx="15">
                  <c:v>5.1305477210321282</c:v>
                </c:pt>
                <c:pt idx="16">
                  <c:v>5.0275788757640045</c:v>
                </c:pt>
                <c:pt idx="17">
                  <c:v>4.8998864813841756</c:v>
                </c:pt>
                <c:pt idx="18">
                  <c:v>4.7847574709513054</c:v>
                </c:pt>
                <c:pt idx="19">
                  <c:v>4.539608322177723</c:v>
                </c:pt>
                <c:pt idx="20">
                  <c:v>4.4936085731497277</c:v>
                </c:pt>
                <c:pt idx="21">
                  <c:v>4.3726192666328956</c:v>
                </c:pt>
                <c:pt idx="22">
                  <c:v>4.335752701114167</c:v>
                </c:pt>
                <c:pt idx="23">
                  <c:v>4.2566949437109836</c:v>
                </c:pt>
                <c:pt idx="24">
                  <c:v>4.2021897061124154</c:v>
                </c:pt>
                <c:pt idx="25">
                  <c:v>4.2362495984014155</c:v>
                </c:pt>
                <c:pt idx="26">
                  <c:v>4.3147269262282295</c:v>
                </c:pt>
                <c:pt idx="27">
                  <c:v>4.3365033850458357</c:v>
                </c:pt>
                <c:pt idx="28">
                  <c:v>4.4179590328627096</c:v>
                </c:pt>
                <c:pt idx="29">
                  <c:v>4.4564303479591443</c:v>
                </c:pt>
                <c:pt idx="30">
                  <c:v>4.4786967418747485</c:v>
                </c:pt>
                <c:pt idx="31">
                  <c:v>4.3842216988805607</c:v>
                </c:pt>
                <c:pt idx="32">
                  <c:v>4.3890592646687336</c:v>
                </c:pt>
                <c:pt idx="33">
                  <c:v>4.469087251852967</c:v>
                </c:pt>
                <c:pt idx="34">
                  <c:v>4.548326699052172</c:v>
                </c:pt>
                <c:pt idx="35">
                  <c:v>4.5621982926778042</c:v>
                </c:pt>
                <c:pt idx="36">
                  <c:v>4.6093722440009994</c:v>
                </c:pt>
                <c:pt idx="37">
                  <c:v>4.6704902119874214</c:v>
                </c:pt>
                <c:pt idx="38">
                  <c:v>4.5941490236053149</c:v>
                </c:pt>
                <c:pt idx="39">
                  <c:v>4.37171369495156</c:v>
                </c:pt>
                <c:pt idx="40">
                  <c:v>4.114936377090495</c:v>
                </c:pt>
                <c:pt idx="41">
                  <c:v>4.026040532584755</c:v>
                </c:pt>
                <c:pt idx="42">
                  <c:v>3.7867774080783159</c:v>
                </c:pt>
                <c:pt idx="43">
                  <c:v>3.3820150340934942</c:v>
                </c:pt>
                <c:pt idx="44">
                  <c:v>3.1646972263459872</c:v>
                </c:pt>
                <c:pt idx="45">
                  <c:v>3.0342889305169747</c:v>
                </c:pt>
                <c:pt idx="46">
                  <c:v>2.9707482801040896</c:v>
                </c:pt>
                <c:pt idx="47">
                  <c:v>2.9262267780325408</c:v>
                </c:pt>
                <c:pt idx="48">
                  <c:v>2.9509620709084063</c:v>
                </c:pt>
                <c:pt idx="49">
                  <c:v>2.948440541319751</c:v>
                </c:pt>
                <c:pt idx="50">
                  <c:v>2.9459159029824931</c:v>
                </c:pt>
                <c:pt idx="51">
                  <c:v>2.929046158204454</c:v>
                </c:pt>
                <c:pt idx="52">
                  <c:v>2.9781613170187589</c:v>
                </c:pt>
                <c:pt idx="53">
                  <c:v>3.0162615508198534</c:v>
                </c:pt>
                <c:pt idx="54">
                  <c:v>2.9299528330017619</c:v>
                </c:pt>
                <c:pt idx="55">
                  <c:v>2.8137993006083875</c:v>
                </c:pt>
                <c:pt idx="56">
                  <c:v>2.7190241339291332</c:v>
                </c:pt>
                <c:pt idx="57">
                  <c:v>2.6551436832676978</c:v>
                </c:pt>
                <c:pt idx="58">
                  <c:v>2.5944713063722871</c:v>
                </c:pt>
                <c:pt idx="59">
                  <c:v>2.5014225591584407</c:v>
                </c:pt>
                <c:pt idx="60">
                  <c:v>2.4595947688295356</c:v>
                </c:pt>
                <c:pt idx="61">
                  <c:v>2.4897481675990538</c:v>
                </c:pt>
                <c:pt idx="62">
                  <c:v>2.5391111674078628</c:v>
                </c:pt>
                <c:pt idx="63">
                  <c:v>2.5177722853191731</c:v>
                </c:pt>
                <c:pt idx="64">
                  <c:v>2.4999792387142246</c:v>
                </c:pt>
                <c:pt idx="65">
                  <c:v>2.5073264776164033</c:v>
                </c:pt>
                <c:pt idx="66">
                  <c:v>2.4813804021671868</c:v>
                </c:pt>
                <c:pt idx="67">
                  <c:v>2.3630369201895722</c:v>
                </c:pt>
                <c:pt idx="68">
                  <c:v>2.3461639117523787</c:v>
                </c:pt>
                <c:pt idx="69">
                  <c:v>2.3572116717463798</c:v>
                </c:pt>
                <c:pt idx="70">
                  <c:v>2.3948605228690552</c:v>
                </c:pt>
                <c:pt idx="71">
                  <c:v>2.3582115469184486</c:v>
                </c:pt>
                <c:pt idx="72">
                  <c:v>2.3529323365482564</c:v>
                </c:pt>
                <c:pt idx="73">
                  <c:v>2.3605596507538733</c:v>
                </c:pt>
                <c:pt idx="74">
                  <c:v>2.3510629182812774</c:v>
                </c:pt>
                <c:pt idx="75">
                  <c:v>2.3060168607549678</c:v>
                </c:pt>
                <c:pt idx="76">
                  <c:v>2.3743023729342596</c:v>
                </c:pt>
                <c:pt idx="77">
                  <c:v>2.4261415897022243</c:v>
                </c:pt>
                <c:pt idx="78">
                  <c:v>2.4373596014919854</c:v>
                </c:pt>
                <c:pt idx="79">
                  <c:v>2.4770665925092827</c:v>
                </c:pt>
                <c:pt idx="80">
                  <c:v>2.521512470902878</c:v>
                </c:pt>
                <c:pt idx="81">
                  <c:v>2.6038650717192051</c:v>
                </c:pt>
                <c:pt idx="82">
                  <c:v>2.6548962451984606</c:v>
                </c:pt>
                <c:pt idx="83">
                  <c:v>2.6381699774140879</c:v>
                </c:pt>
                <c:pt idx="84">
                  <c:v>2.6621219011710195</c:v>
                </c:pt>
                <c:pt idx="85">
                  <c:v>2.6256576970401904</c:v>
                </c:pt>
                <c:pt idx="86">
                  <c:v>2.4835205748310081</c:v>
                </c:pt>
                <c:pt idx="87">
                  <c:v>2.3452139228376558</c:v>
                </c:pt>
                <c:pt idx="88">
                  <c:v>2.2164190751605242</c:v>
                </c:pt>
                <c:pt idx="89">
                  <c:v>1.9186704069822227</c:v>
                </c:pt>
                <c:pt idx="90">
                  <c:v>1.9176230117849007</c:v>
                </c:pt>
                <c:pt idx="91">
                  <c:v>1.9227399093283728</c:v>
                </c:pt>
                <c:pt idx="92">
                  <c:v>1.992829014968549</c:v>
                </c:pt>
                <c:pt idx="93">
                  <c:v>2.060748722564286</c:v>
                </c:pt>
                <c:pt idx="94">
                  <c:v>2.1537294990068663</c:v>
                </c:pt>
                <c:pt idx="95">
                  <c:v>2.1506681022084124</c:v>
                </c:pt>
                <c:pt idx="96">
                  <c:v>2.2524222358619141</c:v>
                </c:pt>
                <c:pt idx="97">
                  <c:v>2.4603070838190533</c:v>
                </c:pt>
                <c:pt idx="98">
                  <c:v>2.6612833139651109</c:v>
                </c:pt>
                <c:pt idx="99">
                  <c:v>2.7411696059528259</c:v>
                </c:pt>
                <c:pt idx="100">
                  <c:v>2.8421817819646704</c:v>
                </c:pt>
                <c:pt idx="101">
                  <c:v>2.9905072644218653</c:v>
                </c:pt>
                <c:pt idx="102">
                  <c:v>3.1099213560923991</c:v>
                </c:pt>
                <c:pt idx="103">
                  <c:v>3.1503734004954511</c:v>
                </c:pt>
                <c:pt idx="104">
                  <c:v>3.1907361130147627</c:v>
                </c:pt>
                <c:pt idx="105">
                  <c:v>3.290635287395264</c:v>
                </c:pt>
                <c:pt idx="106">
                  <c:v>3.2584988445807399</c:v>
                </c:pt>
                <c:pt idx="107">
                  <c:v>3.1591828415658982</c:v>
                </c:pt>
                <c:pt idx="108">
                  <c:v>3.2056388600563737</c:v>
                </c:pt>
                <c:pt idx="109">
                  <c:v>3.3116274842580422</c:v>
                </c:pt>
                <c:pt idx="110">
                  <c:v>3.2613570507496998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83-4545-B2D2-0C54A249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418653"/>
        <c:axId val="99294318"/>
      </c:lineChart>
      <c:catAx>
        <c:axId val="13418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94318"/>
        <c:crosses val="autoZero"/>
        <c:auto val="1"/>
        <c:lblAlgn val="ctr"/>
        <c:lblOffset val="100"/>
        <c:noMultiLvlLbl val="0"/>
      </c:catAx>
      <c:valAx>
        <c:axId val="99294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18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US: PROJECTED debt service DSVC with 16/84 band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Projection'!$D$4</c:f>
              <c:strCache>
                <c:ptCount val="1"/>
                <c:pt idx="0">
                  <c:v>DSVC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Projection'!$D$5:$D$25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3.95743</c:v>
                </c:pt>
                <c:pt idx="2">
                  <c:v>3.9495499999999999</c:v>
                </c:pt>
                <c:pt idx="3">
                  <c:v>3.9568099999999999</c:v>
                </c:pt>
                <c:pt idx="4">
                  <c:v>3.9784000000000002</c:v>
                </c:pt>
                <c:pt idx="5">
                  <c:v>4.0120199999999997</c:v>
                </c:pt>
                <c:pt idx="6">
                  <c:v>4.0564400000000003</c:v>
                </c:pt>
                <c:pt idx="7">
                  <c:v>4.1093000000000002</c:v>
                </c:pt>
                <c:pt idx="8">
                  <c:v>4.1685699999999999</c:v>
                </c:pt>
                <c:pt idx="9">
                  <c:v>4.2320799999999998</c:v>
                </c:pt>
                <c:pt idx="10">
                  <c:v>4.2980999999999998</c:v>
                </c:pt>
                <c:pt idx="11">
                  <c:v>4.3654000000000002</c:v>
                </c:pt>
                <c:pt idx="12">
                  <c:v>4.4327399999999999</c:v>
                </c:pt>
                <c:pt idx="13">
                  <c:v>4.4994699999999996</c:v>
                </c:pt>
                <c:pt idx="14">
                  <c:v>4.56515</c:v>
                </c:pt>
                <c:pt idx="15">
                  <c:v>4.6293499999999996</c:v>
                </c:pt>
                <c:pt idx="16">
                  <c:v>4.6917999999999997</c:v>
                </c:pt>
                <c:pt idx="17">
                  <c:v>4.7523299999999997</c:v>
                </c:pt>
                <c:pt idx="18">
                  <c:v>4.8109299999999999</c:v>
                </c:pt>
                <c:pt idx="19">
                  <c:v>4.8676700000000004</c:v>
                </c:pt>
                <c:pt idx="20">
                  <c:v>4.9227600000000002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CE-43E6-AD7B-F0AB85F9BC26}"/>
            </c:ext>
          </c:extLst>
        </c:ser>
        <c:ser>
          <c:idx val="1"/>
          <c:order val="1"/>
          <c:tx>
            <c:strRef>
              <c:f>'US Projection'!$E$4</c:f>
              <c:strCache>
                <c:ptCount val="1"/>
                <c:pt idx="0">
                  <c:v>DSVC q16 (% GDP)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Projection'!$E$5:$E$25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3.9191500000000001</c:v>
                </c:pt>
                <c:pt idx="2">
                  <c:v>3.8819499999999998</c:v>
                </c:pt>
                <c:pt idx="3">
                  <c:v>3.8511700000000002</c:v>
                </c:pt>
                <c:pt idx="4">
                  <c:v>3.8356400000000002</c:v>
                </c:pt>
                <c:pt idx="5">
                  <c:v>3.8221500000000002</c:v>
                </c:pt>
                <c:pt idx="6">
                  <c:v>3.81616</c:v>
                </c:pt>
                <c:pt idx="7">
                  <c:v>3.84083</c:v>
                </c:pt>
                <c:pt idx="8">
                  <c:v>3.8625699999999998</c:v>
                </c:pt>
                <c:pt idx="9">
                  <c:v>3.88557</c:v>
                </c:pt>
                <c:pt idx="10">
                  <c:v>3.8928600000000002</c:v>
                </c:pt>
                <c:pt idx="11">
                  <c:v>3.9090400000000001</c:v>
                </c:pt>
                <c:pt idx="12">
                  <c:v>3.94096</c:v>
                </c:pt>
                <c:pt idx="13">
                  <c:v>3.96408</c:v>
                </c:pt>
                <c:pt idx="14">
                  <c:v>3.9800399999999998</c:v>
                </c:pt>
                <c:pt idx="15">
                  <c:v>3.9914999999999998</c:v>
                </c:pt>
                <c:pt idx="16">
                  <c:v>4.0096100000000003</c:v>
                </c:pt>
                <c:pt idx="17">
                  <c:v>4.0153999999999996</c:v>
                </c:pt>
                <c:pt idx="18">
                  <c:v>4.0372000000000003</c:v>
                </c:pt>
                <c:pt idx="19">
                  <c:v>4.0344899999999999</c:v>
                </c:pt>
                <c:pt idx="20">
                  <c:v>4.0274099999999997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CE-43E6-AD7B-F0AB85F9BC26}"/>
            </c:ext>
          </c:extLst>
        </c:ser>
        <c:ser>
          <c:idx val="2"/>
          <c:order val="2"/>
          <c:tx>
            <c:strRef>
              <c:f>'US Projection'!$F$4</c:f>
              <c:strCache>
                <c:ptCount val="1"/>
                <c:pt idx="0">
                  <c:v>DSVC q84 (% GDP)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Projection'!$F$5:$F$25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3.9938400000000001</c:v>
                </c:pt>
                <c:pt idx="2">
                  <c:v>4.0130600000000003</c:v>
                </c:pt>
                <c:pt idx="3">
                  <c:v>4.0511100000000004</c:v>
                </c:pt>
                <c:pt idx="4">
                  <c:v>4.1041699999999999</c:v>
                </c:pt>
                <c:pt idx="5">
                  <c:v>4.1820300000000001</c:v>
                </c:pt>
                <c:pt idx="6">
                  <c:v>4.2591700000000001</c:v>
                </c:pt>
                <c:pt idx="7">
                  <c:v>4.3462899999999998</c:v>
                </c:pt>
                <c:pt idx="8">
                  <c:v>4.4306599999999996</c:v>
                </c:pt>
                <c:pt idx="9">
                  <c:v>4.5319000000000003</c:v>
                </c:pt>
                <c:pt idx="10">
                  <c:v>4.6364099999999997</c:v>
                </c:pt>
                <c:pt idx="11">
                  <c:v>4.7416099999999997</c:v>
                </c:pt>
                <c:pt idx="12">
                  <c:v>4.8580899999999998</c:v>
                </c:pt>
                <c:pt idx="13">
                  <c:v>4.9929600000000001</c:v>
                </c:pt>
                <c:pt idx="14">
                  <c:v>5.0787699999999996</c:v>
                </c:pt>
                <c:pt idx="15">
                  <c:v>5.1841699999999999</c:v>
                </c:pt>
                <c:pt idx="16">
                  <c:v>5.3003799999999996</c:v>
                </c:pt>
                <c:pt idx="17">
                  <c:v>5.4033300000000004</c:v>
                </c:pt>
                <c:pt idx="18">
                  <c:v>5.5002199999999997</c:v>
                </c:pt>
                <c:pt idx="19">
                  <c:v>5.6071600000000004</c:v>
                </c:pt>
                <c:pt idx="20">
                  <c:v>5.7359900000000001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8CE-43E6-AD7B-F0AB85F9B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418505"/>
        <c:axId val="34862698"/>
      </c:lineChart>
      <c:catAx>
        <c:axId val="87418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862698"/>
        <c:crosses val="autoZero"/>
        <c:auto val="1"/>
        <c:lblAlgn val="ctr"/>
        <c:lblOffset val="100"/>
        <c:noMultiLvlLbl val="0"/>
      </c:catAx>
      <c:valAx>
        <c:axId val="34862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18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US: PROJECTED debt/GDP (col M) ahead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Projection'!$M$4</c:f>
              <c:strCache>
                <c:ptCount val="1"/>
                <c:pt idx="0">
                  <c:v>d_t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Projection'!$M$5:$M$25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122.31172518752658</c:v>
                </c:pt>
                <c:pt idx="2">
                  <c:v>121.77026720828518</c:v>
                </c:pt>
                <c:pt idx="3">
                  <c:v>121.29009486146198</c:v>
                </c:pt>
                <c:pt idx="4">
                  <c:v>120.80626346288447</c:v>
                </c:pt>
                <c:pt idx="5">
                  <c:v>120.25454629211504</c:v>
                </c:pt>
                <c:pt idx="6">
                  <c:v>119.60136533483764</c:v>
                </c:pt>
                <c:pt idx="7">
                  <c:v>118.81450654851288</c:v>
                </c:pt>
                <c:pt idx="8">
                  <c:v>117.91681542538777</c:v>
                </c:pt>
                <c:pt idx="9">
                  <c:v>116.89918447673161</c:v>
                </c:pt>
                <c:pt idx="10">
                  <c:v>115.77599820280643</c:v>
                </c:pt>
                <c:pt idx="11">
                  <c:v>114.53564999490587</c:v>
                </c:pt>
                <c:pt idx="12">
                  <c:v>113.18603012265757</c:v>
                </c:pt>
                <c:pt idx="13">
                  <c:v>111.74431408867555</c:v>
                </c:pt>
                <c:pt idx="14">
                  <c:v>110.22313930240755</c:v>
                </c:pt>
                <c:pt idx="15">
                  <c:v>108.6241118031511</c:v>
                </c:pt>
                <c:pt idx="16">
                  <c:v>106.9635724085682</c:v>
                </c:pt>
                <c:pt idx="17">
                  <c:v>105.23443369286446</c:v>
                </c:pt>
                <c:pt idx="18">
                  <c:v>103.45374927029424</c:v>
                </c:pt>
                <c:pt idx="19">
                  <c:v>101.62422812443083</c:v>
                </c:pt>
                <c:pt idx="20">
                  <c:v>99.752801150951484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4D-4637-928D-2A6A042FA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343956"/>
        <c:axId val="58777130"/>
      </c:lineChart>
      <c:catAx>
        <c:axId val="46343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777130"/>
        <c:crosses val="autoZero"/>
        <c:auto val="1"/>
        <c:lblAlgn val="ctr"/>
        <c:lblOffset val="100"/>
        <c:noMultiLvlLbl val="0"/>
      </c:catAx>
      <c:valAx>
        <c:axId val="58777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43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US: PROJECTED effective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Projection'!$K$4</c:f>
              <c:strCache>
                <c:ptCount val="1"/>
                <c:pt idx="0">
                  <c:v>i_eff (% p.a.)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'US Projection'!$K$5:$K$25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3.2287588578272577</c:v>
                </c:pt>
                <c:pt idx="2">
                  <c:v>3.2290853505210615</c:v>
                </c:pt>
                <c:pt idx="3">
                  <c:v>3.2494056970672238</c:v>
                </c:pt>
                <c:pt idx="4">
                  <c:v>3.2800699880267588</c:v>
                </c:pt>
                <c:pt idx="5">
                  <c:v>3.3210364140039976</c:v>
                </c:pt>
                <c:pt idx="6">
                  <c:v>3.3732113463272668</c:v>
                </c:pt>
                <c:pt idx="7">
                  <c:v>3.4358303423172027</c:v>
                </c:pt>
                <c:pt idx="8">
                  <c:v>3.5084688907898132</c:v>
                </c:pt>
                <c:pt idx="9">
                  <c:v>3.5890385817600894</c:v>
                </c:pt>
                <c:pt idx="10">
                  <c:v>3.6767578997572241</c:v>
                </c:pt>
                <c:pt idx="11">
                  <c:v>3.7705569960649945</c:v>
                </c:pt>
                <c:pt idx="12">
                  <c:v>3.8701836504155276</c:v>
                </c:pt>
                <c:pt idx="13">
                  <c:v>3.9752874052778497</c:v>
                </c:pt>
                <c:pt idx="14">
                  <c:v>4.0853532792525717</c:v>
                </c:pt>
                <c:pt idx="15">
                  <c:v>4.1999801759401381</c:v>
                </c:pt>
                <c:pt idx="16">
                  <c:v>4.3192988390114451</c:v>
                </c:pt>
                <c:pt idx="17">
                  <c:v>4.4429424831171023</c:v>
                </c:pt>
                <c:pt idx="18">
                  <c:v>4.5716310062931527</c:v>
                </c:pt>
                <c:pt idx="19">
                  <c:v>4.7051653848544523</c:v>
                </c:pt>
                <c:pt idx="20">
                  <c:v>4.8440810728446273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A1-4EAF-9625-7D74A8859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385380"/>
        <c:axId val="28292761"/>
      </c:lineChart>
      <c:catAx>
        <c:axId val="613853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92761"/>
        <c:crosses val="autoZero"/>
        <c:auto val="1"/>
        <c:lblAlgn val="ctr"/>
        <c:lblOffset val="100"/>
        <c:noMultiLvlLbl val="0"/>
      </c:catAx>
      <c:valAx>
        <c:axId val="28292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853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revenue (GBPm, q-level)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Raw Data'!$B$3</c:f>
              <c:strCache>
                <c:ptCount val="1"/>
                <c:pt idx="0">
                  <c:v>revenue (GBPm, q-level)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Data'!$B$4:$B$108</c:f>
              <c:numCache>
                <c:formatCode>#,##0</c:formatCode>
                <c:ptCount val="105"/>
                <c:pt idx="0" formatCode="General">
                  <c:v>0</c:v>
                </c:pt>
                <c:pt idx="1">
                  <c:v>106101</c:v>
                </c:pt>
                <c:pt idx="2">
                  <c:v>97108</c:v>
                </c:pt>
                <c:pt idx="3">
                  <c:v>101376</c:v>
                </c:pt>
                <c:pt idx="4">
                  <c:v>95606</c:v>
                </c:pt>
                <c:pt idx="5">
                  <c:v>112322</c:v>
                </c:pt>
                <c:pt idx="6">
                  <c:v>99956</c:v>
                </c:pt>
                <c:pt idx="7">
                  <c:v>103742</c:v>
                </c:pt>
                <c:pt idx="8">
                  <c:v>96971</c:v>
                </c:pt>
                <c:pt idx="9">
                  <c:v>111742</c:v>
                </c:pt>
                <c:pt idx="10">
                  <c:v>99718</c:v>
                </c:pt>
                <c:pt idx="11">
                  <c:v>105076</c:v>
                </c:pt>
                <c:pt idx="12">
                  <c:v>99790</c:v>
                </c:pt>
                <c:pt idx="13">
                  <c:v>113199</c:v>
                </c:pt>
                <c:pt idx="14">
                  <c:v>106726</c:v>
                </c:pt>
                <c:pt idx="15">
                  <c:v>110923</c:v>
                </c:pt>
                <c:pt idx="16">
                  <c:v>108465</c:v>
                </c:pt>
                <c:pt idx="17">
                  <c:v>124761</c:v>
                </c:pt>
                <c:pt idx="18">
                  <c:v>112132</c:v>
                </c:pt>
                <c:pt idx="19">
                  <c:v>119468</c:v>
                </c:pt>
                <c:pt idx="20">
                  <c:v>117490</c:v>
                </c:pt>
                <c:pt idx="21">
                  <c:v>134125</c:v>
                </c:pt>
                <c:pt idx="22">
                  <c:v>120296</c:v>
                </c:pt>
                <c:pt idx="23">
                  <c:v>129579</c:v>
                </c:pt>
                <c:pt idx="24">
                  <c:v>124953</c:v>
                </c:pt>
                <c:pt idx="25">
                  <c:v>144900</c:v>
                </c:pt>
                <c:pt idx="26">
                  <c:v>128312</c:v>
                </c:pt>
                <c:pt idx="27">
                  <c:v>136232</c:v>
                </c:pt>
                <c:pt idx="28">
                  <c:v>131759</c:v>
                </c:pt>
                <c:pt idx="29">
                  <c:v>155198</c:v>
                </c:pt>
                <c:pt idx="30">
                  <c:v>135241</c:v>
                </c:pt>
                <c:pt idx="31">
                  <c:v>144396</c:v>
                </c:pt>
                <c:pt idx="32">
                  <c:v>140980</c:v>
                </c:pt>
                <c:pt idx="33">
                  <c:v>166774</c:v>
                </c:pt>
                <c:pt idx="34">
                  <c:v>139719</c:v>
                </c:pt>
                <c:pt idx="35">
                  <c:v>146934</c:v>
                </c:pt>
                <c:pt idx="36">
                  <c:v>168497</c:v>
                </c:pt>
                <c:pt idx="37">
                  <c:v>169588</c:v>
                </c:pt>
                <c:pt idx="38">
                  <c:v>148534</c:v>
                </c:pt>
                <c:pt idx="39">
                  <c:v>153070</c:v>
                </c:pt>
                <c:pt idx="40">
                  <c:v>147703</c:v>
                </c:pt>
                <c:pt idx="41">
                  <c:v>172789</c:v>
                </c:pt>
                <c:pt idx="42">
                  <c:v>156881</c:v>
                </c:pt>
                <c:pt idx="43">
                  <c:v>160802</c:v>
                </c:pt>
                <c:pt idx="44">
                  <c:v>153696</c:v>
                </c:pt>
                <c:pt idx="45">
                  <c:v>185303</c:v>
                </c:pt>
                <c:pt idx="46">
                  <c:v>164301</c:v>
                </c:pt>
                <c:pt idx="47">
                  <c:v>169995</c:v>
                </c:pt>
                <c:pt idx="48">
                  <c:v>162306</c:v>
                </c:pt>
                <c:pt idx="49">
                  <c:v>184006</c:v>
                </c:pt>
                <c:pt idx="50">
                  <c:v>163695</c:v>
                </c:pt>
                <c:pt idx="51">
                  <c:v>171789</c:v>
                </c:pt>
                <c:pt idx="52">
                  <c:v>164675</c:v>
                </c:pt>
                <c:pt idx="53">
                  <c:v>184883</c:v>
                </c:pt>
                <c:pt idx="54">
                  <c:v>169551</c:v>
                </c:pt>
                <c:pt idx="55">
                  <c:v>174097</c:v>
                </c:pt>
                <c:pt idx="56">
                  <c:v>168838</c:v>
                </c:pt>
                <c:pt idx="57">
                  <c:v>188592</c:v>
                </c:pt>
                <c:pt idx="58">
                  <c:v>168730</c:v>
                </c:pt>
                <c:pt idx="59">
                  <c:v>175793</c:v>
                </c:pt>
                <c:pt idx="60">
                  <c:v>172128</c:v>
                </c:pt>
                <c:pt idx="61">
                  <c:v>195428</c:v>
                </c:pt>
                <c:pt idx="62">
                  <c:v>173839</c:v>
                </c:pt>
                <c:pt idx="63">
                  <c:v>180785</c:v>
                </c:pt>
                <c:pt idx="64">
                  <c:v>174942</c:v>
                </c:pt>
                <c:pt idx="65">
                  <c:v>203924</c:v>
                </c:pt>
                <c:pt idx="66">
                  <c:v>181122</c:v>
                </c:pt>
                <c:pt idx="67">
                  <c:v>190795</c:v>
                </c:pt>
                <c:pt idx="68">
                  <c:v>184943</c:v>
                </c:pt>
                <c:pt idx="69">
                  <c:v>221243</c:v>
                </c:pt>
                <c:pt idx="70">
                  <c:v>191875</c:v>
                </c:pt>
                <c:pt idx="71">
                  <c:v>198612</c:v>
                </c:pt>
                <c:pt idx="72">
                  <c:v>194097</c:v>
                </c:pt>
                <c:pt idx="73">
                  <c:v>219476</c:v>
                </c:pt>
                <c:pt idx="74">
                  <c:v>195710</c:v>
                </c:pt>
                <c:pt idx="75">
                  <c:v>205591</c:v>
                </c:pt>
                <c:pt idx="76">
                  <c:v>200171</c:v>
                </c:pt>
                <c:pt idx="77">
                  <c:v>233241</c:v>
                </c:pt>
                <c:pt idx="78">
                  <c:v>200264</c:v>
                </c:pt>
                <c:pt idx="79">
                  <c:v>211136</c:v>
                </c:pt>
                <c:pt idx="80">
                  <c:v>201244</c:v>
                </c:pt>
                <c:pt idx="81">
                  <c:v>233890</c:v>
                </c:pt>
                <c:pt idx="82">
                  <c:v>174040</c:v>
                </c:pt>
                <c:pt idx="83">
                  <c:v>195662</c:v>
                </c:pt>
                <c:pt idx="84">
                  <c:v>203676</c:v>
                </c:pt>
                <c:pt idx="85">
                  <c:v>239942</c:v>
                </c:pt>
                <c:pt idx="86">
                  <c:v>209864</c:v>
                </c:pt>
                <c:pt idx="87">
                  <c:v>226382</c:v>
                </c:pt>
                <c:pt idx="88">
                  <c:v>231558</c:v>
                </c:pt>
                <c:pt idx="89">
                  <c:v>275087</c:v>
                </c:pt>
                <c:pt idx="90">
                  <c:v>239908</c:v>
                </c:pt>
                <c:pt idx="91">
                  <c:v>259573</c:v>
                </c:pt>
                <c:pt idx="92">
                  <c:v>258335</c:v>
                </c:pt>
                <c:pt idx="93">
                  <c:v>306222</c:v>
                </c:pt>
                <c:pt idx="94">
                  <c:v>262912</c:v>
                </c:pt>
                <c:pt idx="95">
                  <c:v>276977</c:v>
                </c:pt>
                <c:pt idx="96">
                  <c:v>274005</c:v>
                </c:pt>
                <c:pt idx="97">
                  <c:v>319070</c:v>
                </c:pt>
                <c:pt idx="98">
                  <c:v>267063</c:v>
                </c:pt>
                <c:pt idx="99">
                  <c:v>275787</c:v>
                </c:pt>
                <c:pt idx="100">
                  <c:v>273783</c:v>
                </c:pt>
                <c:pt idx="101">
                  <c:v>328100</c:v>
                </c:pt>
                <c:pt idx="102">
                  <c:v>277246</c:v>
                </c:pt>
                <c:pt idx="103">
                  <c:v>298338</c:v>
                </c:pt>
                <c:pt idx="104">
                  <c:v>294399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DF-46A5-A96C-BF0CE54E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158028"/>
        <c:axId val="28814149"/>
      </c:lineChart>
      <c:catAx>
        <c:axId val="44158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814149"/>
        <c:crosses val="autoZero"/>
        <c:auto val="1"/>
        <c:lblAlgn val="ctr"/>
        <c:lblOffset val="100"/>
        <c:noMultiLvlLbl val="0"/>
      </c:catAx>
      <c:valAx>
        <c:axId val="28814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58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total expenditure (GBPm)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Raw Data'!$C$3</c:f>
              <c:strCache>
                <c:ptCount val="1"/>
                <c:pt idx="0">
                  <c:v>total_expenditure (GBPm)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Data'!$C$4:$C$108</c:f>
              <c:numCache>
                <c:formatCode>#,##0</c:formatCode>
                <c:ptCount val="105"/>
                <c:pt idx="0" formatCode="General">
                  <c:v>0</c:v>
                </c:pt>
                <c:pt idx="1">
                  <c:v>88583</c:v>
                </c:pt>
                <c:pt idx="2">
                  <c:v>87401</c:v>
                </c:pt>
                <c:pt idx="3">
                  <c:v>90818</c:v>
                </c:pt>
                <c:pt idx="4">
                  <c:v>93164</c:v>
                </c:pt>
                <c:pt idx="5">
                  <c:v>94677</c:v>
                </c:pt>
                <c:pt idx="6">
                  <c:v>94300</c:v>
                </c:pt>
                <c:pt idx="7">
                  <c:v>95848</c:v>
                </c:pt>
                <c:pt idx="8">
                  <c:v>100049</c:v>
                </c:pt>
                <c:pt idx="9">
                  <c:v>102469</c:v>
                </c:pt>
                <c:pt idx="10">
                  <c:v>102328</c:v>
                </c:pt>
                <c:pt idx="11">
                  <c:v>104237</c:v>
                </c:pt>
                <c:pt idx="12">
                  <c:v>106936</c:v>
                </c:pt>
                <c:pt idx="13">
                  <c:v>112361</c:v>
                </c:pt>
                <c:pt idx="14">
                  <c:v>113608</c:v>
                </c:pt>
                <c:pt idx="15">
                  <c:v>115734</c:v>
                </c:pt>
                <c:pt idx="16">
                  <c:v>116439</c:v>
                </c:pt>
                <c:pt idx="17">
                  <c:v>120822</c:v>
                </c:pt>
                <c:pt idx="18">
                  <c:v>120895</c:v>
                </c:pt>
                <c:pt idx="19">
                  <c:v>125190</c:v>
                </c:pt>
                <c:pt idx="20">
                  <c:v>126638</c:v>
                </c:pt>
                <c:pt idx="21">
                  <c:v>132852</c:v>
                </c:pt>
                <c:pt idx="22">
                  <c:v>125944</c:v>
                </c:pt>
                <c:pt idx="23">
                  <c:v>132490</c:v>
                </c:pt>
                <c:pt idx="24">
                  <c:v>135184</c:v>
                </c:pt>
                <c:pt idx="25">
                  <c:v>139980</c:v>
                </c:pt>
                <c:pt idx="26">
                  <c:v>133238</c:v>
                </c:pt>
                <c:pt idx="27">
                  <c:v>139430</c:v>
                </c:pt>
                <c:pt idx="28">
                  <c:v>139105</c:v>
                </c:pt>
                <c:pt idx="29">
                  <c:v>147198</c:v>
                </c:pt>
                <c:pt idx="30">
                  <c:v>138819</c:v>
                </c:pt>
                <c:pt idx="31">
                  <c:v>146914</c:v>
                </c:pt>
                <c:pt idx="32">
                  <c:v>149885</c:v>
                </c:pt>
                <c:pt idx="33">
                  <c:v>161380</c:v>
                </c:pt>
                <c:pt idx="34">
                  <c:v>151089</c:v>
                </c:pt>
                <c:pt idx="35">
                  <c:v>162474</c:v>
                </c:pt>
                <c:pt idx="36">
                  <c:v>188062</c:v>
                </c:pt>
                <c:pt idx="37">
                  <c:v>186831</c:v>
                </c:pt>
                <c:pt idx="38">
                  <c:v>174504</c:v>
                </c:pt>
                <c:pt idx="39">
                  <c:v>175367</c:v>
                </c:pt>
                <c:pt idx="40">
                  <c:v>182703</c:v>
                </c:pt>
                <c:pt idx="41">
                  <c:v>190041</c:v>
                </c:pt>
                <c:pt idx="42">
                  <c:v>177328</c:v>
                </c:pt>
                <c:pt idx="43">
                  <c:v>182960</c:v>
                </c:pt>
                <c:pt idx="44">
                  <c:v>185330</c:v>
                </c:pt>
                <c:pt idx="45">
                  <c:v>191840</c:v>
                </c:pt>
                <c:pt idx="46">
                  <c:v>178245</c:v>
                </c:pt>
                <c:pt idx="47">
                  <c:v>182851</c:v>
                </c:pt>
                <c:pt idx="48">
                  <c:v>184918</c:v>
                </c:pt>
                <c:pt idx="49">
                  <c:v>193007</c:v>
                </c:pt>
                <c:pt idx="50">
                  <c:v>191934</c:v>
                </c:pt>
                <c:pt idx="51">
                  <c:v>182412</c:v>
                </c:pt>
                <c:pt idx="52">
                  <c:v>187821</c:v>
                </c:pt>
                <c:pt idx="53">
                  <c:v>188413</c:v>
                </c:pt>
                <c:pt idx="54">
                  <c:v>184528</c:v>
                </c:pt>
                <c:pt idx="55">
                  <c:v>183949</c:v>
                </c:pt>
                <c:pt idx="56">
                  <c:v>188148</c:v>
                </c:pt>
                <c:pt idx="57">
                  <c:v>190761</c:v>
                </c:pt>
                <c:pt idx="58">
                  <c:v>185463</c:v>
                </c:pt>
                <c:pt idx="59">
                  <c:v>186652</c:v>
                </c:pt>
                <c:pt idx="60">
                  <c:v>190367</c:v>
                </c:pt>
                <c:pt idx="61">
                  <c:v>191054</c:v>
                </c:pt>
                <c:pt idx="62">
                  <c:v>187082</c:v>
                </c:pt>
                <c:pt idx="63">
                  <c:v>189070</c:v>
                </c:pt>
                <c:pt idx="64">
                  <c:v>188183</c:v>
                </c:pt>
                <c:pt idx="65">
                  <c:v>194041</c:v>
                </c:pt>
                <c:pt idx="66">
                  <c:v>190863</c:v>
                </c:pt>
                <c:pt idx="67">
                  <c:v>195310</c:v>
                </c:pt>
                <c:pt idx="68">
                  <c:v>190707</c:v>
                </c:pt>
                <c:pt idx="69">
                  <c:v>197524</c:v>
                </c:pt>
                <c:pt idx="70">
                  <c:v>200454</c:v>
                </c:pt>
                <c:pt idx="71">
                  <c:v>198847</c:v>
                </c:pt>
                <c:pt idx="72">
                  <c:v>197785</c:v>
                </c:pt>
                <c:pt idx="73">
                  <c:v>203338</c:v>
                </c:pt>
                <c:pt idx="74">
                  <c:v>199683</c:v>
                </c:pt>
                <c:pt idx="75">
                  <c:v>203608</c:v>
                </c:pt>
                <c:pt idx="76">
                  <c:v>205212</c:v>
                </c:pt>
                <c:pt idx="77">
                  <c:v>209825</c:v>
                </c:pt>
                <c:pt idx="78">
                  <c:v>208406</c:v>
                </c:pt>
                <c:pt idx="79">
                  <c:v>209119</c:v>
                </c:pt>
                <c:pt idx="80">
                  <c:v>208375</c:v>
                </c:pt>
                <c:pt idx="81">
                  <c:v>218511</c:v>
                </c:pt>
                <c:pt idx="82">
                  <c:v>290360</c:v>
                </c:pt>
                <c:pt idx="83">
                  <c:v>253616</c:v>
                </c:pt>
                <c:pt idx="84">
                  <c:v>250989</c:v>
                </c:pt>
                <c:pt idx="85">
                  <c:v>265488</c:v>
                </c:pt>
                <c:pt idx="86">
                  <c:v>253226</c:v>
                </c:pt>
                <c:pt idx="87">
                  <c:v>245635</c:v>
                </c:pt>
                <c:pt idx="88">
                  <c:v>240691</c:v>
                </c:pt>
                <c:pt idx="89">
                  <c:v>258644</c:v>
                </c:pt>
                <c:pt idx="90">
                  <c:v>264045</c:v>
                </c:pt>
                <c:pt idx="91">
                  <c:v>266057</c:v>
                </c:pt>
                <c:pt idx="92">
                  <c:v>282334</c:v>
                </c:pt>
                <c:pt idx="93">
                  <c:v>307321</c:v>
                </c:pt>
                <c:pt idx="94">
                  <c:v>298725</c:v>
                </c:pt>
                <c:pt idx="95">
                  <c:v>287447</c:v>
                </c:pt>
                <c:pt idx="96">
                  <c:v>294124</c:v>
                </c:pt>
                <c:pt idx="97">
                  <c:v>310824</c:v>
                </c:pt>
                <c:pt idx="98">
                  <c:v>300023</c:v>
                </c:pt>
                <c:pt idx="99">
                  <c:v>296104</c:v>
                </c:pt>
                <c:pt idx="100">
                  <c:v>307809</c:v>
                </c:pt>
                <c:pt idx="101">
                  <c:v>322093</c:v>
                </c:pt>
                <c:pt idx="102">
                  <c:v>321288</c:v>
                </c:pt>
                <c:pt idx="103">
                  <c:v>318952</c:v>
                </c:pt>
                <c:pt idx="104">
                  <c:v>314524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DD-46A8-8AD0-AC2E1228A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801125"/>
        <c:axId val="39411423"/>
      </c:lineChart>
      <c:catAx>
        <c:axId val="69801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11423"/>
        <c:crosses val="autoZero"/>
        <c:auto val="1"/>
        <c:lblAlgn val="ctr"/>
        <c:lblOffset val="100"/>
        <c:noMultiLvlLbl val="0"/>
      </c:catAx>
      <c:valAx>
        <c:axId val="39411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01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debt interest (GBPm)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Raw Data'!$D$3</c:f>
              <c:strCache>
                <c:ptCount val="1"/>
                <c:pt idx="0">
                  <c:v>interest (GBPm, q-level)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Data'!$D$4:$D$108</c:f>
              <c:numCache>
                <c:formatCode>#,##0</c:formatCode>
                <c:ptCount val="105"/>
                <c:pt idx="0" formatCode="General">
                  <c:v>0</c:v>
                </c:pt>
                <c:pt idx="1">
                  <c:v>7941</c:v>
                </c:pt>
                <c:pt idx="2">
                  <c:v>8806</c:v>
                </c:pt>
                <c:pt idx="3">
                  <c:v>8408</c:v>
                </c:pt>
                <c:pt idx="4">
                  <c:v>9090</c:v>
                </c:pt>
                <c:pt idx="5">
                  <c:v>8353</c:v>
                </c:pt>
                <c:pt idx="6">
                  <c:v>8130</c:v>
                </c:pt>
                <c:pt idx="7">
                  <c:v>7608</c:v>
                </c:pt>
                <c:pt idx="8">
                  <c:v>8185</c:v>
                </c:pt>
                <c:pt idx="9">
                  <c:v>7375</c:v>
                </c:pt>
                <c:pt idx="10">
                  <c:v>8018</c:v>
                </c:pt>
                <c:pt idx="11">
                  <c:v>6825</c:v>
                </c:pt>
                <c:pt idx="12">
                  <c:v>8443</c:v>
                </c:pt>
                <c:pt idx="13">
                  <c:v>7411</c:v>
                </c:pt>
                <c:pt idx="14">
                  <c:v>8376</c:v>
                </c:pt>
                <c:pt idx="15">
                  <c:v>7653</c:v>
                </c:pt>
                <c:pt idx="16">
                  <c:v>8867</c:v>
                </c:pt>
                <c:pt idx="17">
                  <c:v>7771</c:v>
                </c:pt>
                <c:pt idx="18">
                  <c:v>8743</c:v>
                </c:pt>
                <c:pt idx="19">
                  <c:v>8627</c:v>
                </c:pt>
                <c:pt idx="20">
                  <c:v>9820</c:v>
                </c:pt>
                <c:pt idx="21">
                  <c:v>9222</c:v>
                </c:pt>
                <c:pt idx="22">
                  <c:v>9822</c:v>
                </c:pt>
                <c:pt idx="23">
                  <c:v>9241</c:v>
                </c:pt>
                <c:pt idx="24">
                  <c:v>10499</c:v>
                </c:pt>
                <c:pt idx="25">
                  <c:v>9444</c:v>
                </c:pt>
                <c:pt idx="26">
                  <c:v>10203</c:v>
                </c:pt>
                <c:pt idx="27">
                  <c:v>9945</c:v>
                </c:pt>
                <c:pt idx="28">
                  <c:v>11505</c:v>
                </c:pt>
                <c:pt idx="29">
                  <c:v>10962</c:v>
                </c:pt>
                <c:pt idx="30">
                  <c:v>11652</c:v>
                </c:pt>
                <c:pt idx="31">
                  <c:v>10982</c:v>
                </c:pt>
                <c:pt idx="32">
                  <c:v>14427</c:v>
                </c:pt>
                <c:pt idx="33">
                  <c:v>12415</c:v>
                </c:pt>
                <c:pt idx="34">
                  <c:v>13965</c:v>
                </c:pt>
                <c:pt idx="35">
                  <c:v>13373</c:v>
                </c:pt>
                <c:pt idx="36">
                  <c:v>38880</c:v>
                </c:pt>
                <c:pt idx="37">
                  <c:v>23728</c:v>
                </c:pt>
                <c:pt idx="38">
                  <c:v>25354</c:v>
                </c:pt>
                <c:pt idx="39">
                  <c:v>17377</c:v>
                </c:pt>
                <c:pt idx="40">
                  <c:v>22144</c:v>
                </c:pt>
                <c:pt idx="41">
                  <c:v>21709</c:v>
                </c:pt>
                <c:pt idx="42">
                  <c:v>24144</c:v>
                </c:pt>
                <c:pt idx="43">
                  <c:v>21311</c:v>
                </c:pt>
                <c:pt idx="44">
                  <c:v>24065</c:v>
                </c:pt>
                <c:pt idx="45">
                  <c:v>23073</c:v>
                </c:pt>
                <c:pt idx="46">
                  <c:v>25806</c:v>
                </c:pt>
                <c:pt idx="47">
                  <c:v>22738</c:v>
                </c:pt>
                <c:pt idx="48">
                  <c:v>25797</c:v>
                </c:pt>
                <c:pt idx="49">
                  <c:v>21730</c:v>
                </c:pt>
                <c:pt idx="50">
                  <c:v>25693</c:v>
                </c:pt>
                <c:pt idx="51">
                  <c:v>20391</c:v>
                </c:pt>
                <c:pt idx="52">
                  <c:v>24517</c:v>
                </c:pt>
                <c:pt idx="53">
                  <c:v>20919</c:v>
                </c:pt>
                <c:pt idx="54">
                  <c:v>24474</c:v>
                </c:pt>
                <c:pt idx="55">
                  <c:v>19448</c:v>
                </c:pt>
                <c:pt idx="56">
                  <c:v>22701</c:v>
                </c:pt>
                <c:pt idx="57">
                  <c:v>17609</c:v>
                </c:pt>
                <c:pt idx="58">
                  <c:v>21146</c:v>
                </c:pt>
                <c:pt idx="59">
                  <c:v>15887</c:v>
                </c:pt>
                <c:pt idx="60">
                  <c:v>17835</c:v>
                </c:pt>
                <c:pt idx="61">
                  <c:v>12709</c:v>
                </c:pt>
                <c:pt idx="62">
                  <c:v>18725</c:v>
                </c:pt>
                <c:pt idx="63">
                  <c:v>16047</c:v>
                </c:pt>
                <c:pt idx="64">
                  <c:v>17164</c:v>
                </c:pt>
                <c:pt idx="65">
                  <c:v>15008</c:v>
                </c:pt>
                <c:pt idx="66">
                  <c:v>18892</c:v>
                </c:pt>
                <c:pt idx="67">
                  <c:v>17387</c:v>
                </c:pt>
                <c:pt idx="68">
                  <c:v>17126</c:v>
                </c:pt>
                <c:pt idx="69">
                  <c:v>15433</c:v>
                </c:pt>
                <c:pt idx="70">
                  <c:v>21227</c:v>
                </c:pt>
                <c:pt idx="71">
                  <c:v>17571</c:v>
                </c:pt>
                <c:pt idx="72">
                  <c:v>18854</c:v>
                </c:pt>
                <c:pt idx="73">
                  <c:v>15567</c:v>
                </c:pt>
                <c:pt idx="74">
                  <c:v>19417</c:v>
                </c:pt>
                <c:pt idx="75">
                  <c:v>17448</c:v>
                </c:pt>
                <c:pt idx="76">
                  <c:v>19298</c:v>
                </c:pt>
                <c:pt idx="77">
                  <c:v>13048</c:v>
                </c:pt>
                <c:pt idx="78">
                  <c:v>21609</c:v>
                </c:pt>
                <c:pt idx="79">
                  <c:v>15280</c:v>
                </c:pt>
                <c:pt idx="80">
                  <c:v>16167</c:v>
                </c:pt>
                <c:pt idx="81">
                  <c:v>13881</c:v>
                </c:pt>
                <c:pt idx="82">
                  <c:v>15086</c:v>
                </c:pt>
                <c:pt idx="83">
                  <c:v>13916</c:v>
                </c:pt>
                <c:pt idx="84">
                  <c:v>11892</c:v>
                </c:pt>
                <c:pt idx="85">
                  <c:v>12295</c:v>
                </c:pt>
                <c:pt idx="86">
                  <c:v>21448</c:v>
                </c:pt>
                <c:pt idx="87">
                  <c:v>18420</c:v>
                </c:pt>
                <c:pt idx="88">
                  <c:v>22562</c:v>
                </c:pt>
                <c:pt idx="89">
                  <c:v>22756</c:v>
                </c:pt>
                <c:pt idx="90">
                  <c:v>41185</c:v>
                </c:pt>
                <c:pt idx="91">
                  <c:v>32093</c:v>
                </c:pt>
                <c:pt idx="92">
                  <c:v>43583</c:v>
                </c:pt>
                <c:pt idx="93">
                  <c:v>33326</c:v>
                </c:pt>
                <c:pt idx="94">
                  <c:v>48265</c:v>
                </c:pt>
                <c:pt idx="95">
                  <c:v>33302</c:v>
                </c:pt>
                <c:pt idx="96">
                  <c:v>38616</c:v>
                </c:pt>
                <c:pt idx="97">
                  <c:v>32729</c:v>
                </c:pt>
                <c:pt idx="98">
                  <c:v>41284</c:v>
                </c:pt>
                <c:pt idx="99">
                  <c:v>29834</c:v>
                </c:pt>
                <c:pt idx="100">
                  <c:v>31663</c:v>
                </c:pt>
                <c:pt idx="101">
                  <c:v>28072</c:v>
                </c:pt>
                <c:pt idx="102">
                  <c:v>43519</c:v>
                </c:pt>
                <c:pt idx="103">
                  <c:v>33335</c:v>
                </c:pt>
                <c:pt idx="104">
                  <c:v>28690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0A-443F-80D8-56735E861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990385"/>
        <c:axId val="53356400"/>
      </c:lineChart>
      <c:catAx>
        <c:axId val="3699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56400"/>
        <c:crosses val="autoZero"/>
        <c:auto val="1"/>
        <c:lblAlgn val="ctr"/>
        <c:lblOffset val="100"/>
        <c:noMultiLvlLbl val="0"/>
      </c:catAx>
      <c:valAx>
        <c:axId val="53356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90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gross debt stock (GBPm)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Raw Data'!$E$3</c:f>
              <c:strCache>
                <c:ptCount val="1"/>
                <c:pt idx="0">
                  <c:v>gross_debt (GBPm, stock)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Data'!$E$4:$E$108</c:f>
              <c:numCache>
                <c:formatCode>#,##0</c:formatCode>
                <c:ptCount val="105"/>
                <c:pt idx="0" formatCode="General">
                  <c:v>0</c:v>
                </c:pt>
                <c:pt idx="1">
                  <c:v>353300</c:v>
                </c:pt>
                <c:pt idx="2">
                  <c:v>341800</c:v>
                </c:pt>
                <c:pt idx="3">
                  <c:v>326600</c:v>
                </c:pt>
                <c:pt idx="4">
                  <c:v>333300</c:v>
                </c:pt>
                <c:pt idx="5">
                  <c:v>322000</c:v>
                </c:pt>
                <c:pt idx="6">
                  <c:v>330300</c:v>
                </c:pt>
                <c:pt idx="7">
                  <c:v>324600</c:v>
                </c:pt>
                <c:pt idx="8">
                  <c:v>335500</c:v>
                </c:pt>
                <c:pt idx="9">
                  <c:v>330600</c:v>
                </c:pt>
                <c:pt idx="10">
                  <c:v>339100</c:v>
                </c:pt>
                <c:pt idx="11">
                  <c:v>343600</c:v>
                </c:pt>
                <c:pt idx="12">
                  <c:v>368700</c:v>
                </c:pt>
                <c:pt idx="13">
                  <c:v>369200</c:v>
                </c:pt>
                <c:pt idx="14">
                  <c:v>375500</c:v>
                </c:pt>
                <c:pt idx="15">
                  <c:v>383400</c:v>
                </c:pt>
                <c:pt idx="16">
                  <c:v>404600</c:v>
                </c:pt>
                <c:pt idx="17">
                  <c:v>404500</c:v>
                </c:pt>
                <c:pt idx="18">
                  <c:v>430200</c:v>
                </c:pt>
                <c:pt idx="19">
                  <c:v>438000</c:v>
                </c:pt>
                <c:pt idx="20">
                  <c:v>463800</c:v>
                </c:pt>
                <c:pt idx="21">
                  <c:v>460900</c:v>
                </c:pt>
                <c:pt idx="22">
                  <c:v>473300</c:v>
                </c:pt>
                <c:pt idx="23">
                  <c:v>483300</c:v>
                </c:pt>
                <c:pt idx="24">
                  <c:v>503500</c:v>
                </c:pt>
                <c:pt idx="25">
                  <c:v>499400</c:v>
                </c:pt>
                <c:pt idx="26">
                  <c:v>520000</c:v>
                </c:pt>
                <c:pt idx="27">
                  <c:v>524600</c:v>
                </c:pt>
                <c:pt idx="28">
                  <c:v>539000</c:v>
                </c:pt>
                <c:pt idx="29">
                  <c:v>535200</c:v>
                </c:pt>
                <c:pt idx="30">
                  <c:v>551200</c:v>
                </c:pt>
                <c:pt idx="31">
                  <c:v>553000</c:v>
                </c:pt>
                <c:pt idx="32">
                  <c:v>574700</c:v>
                </c:pt>
                <c:pt idx="33">
                  <c:v>567200</c:v>
                </c:pt>
                <c:pt idx="34">
                  <c:v>600100</c:v>
                </c:pt>
                <c:pt idx="35">
                  <c:v>681200</c:v>
                </c:pt>
                <c:pt idx="36">
                  <c:v>749900</c:v>
                </c:pt>
                <c:pt idx="37">
                  <c:v>787200</c:v>
                </c:pt>
                <c:pt idx="38">
                  <c:v>849700</c:v>
                </c:pt>
                <c:pt idx="39">
                  <c:v>877500</c:v>
                </c:pt>
                <c:pt idx="40">
                  <c:v>958600</c:v>
                </c:pt>
                <c:pt idx="41">
                  <c:v>1027900</c:v>
                </c:pt>
                <c:pt idx="42">
                  <c:v>1068100</c:v>
                </c:pt>
                <c:pt idx="43">
                  <c:v>1106900</c:v>
                </c:pt>
                <c:pt idx="44">
                  <c:v>1152500</c:v>
                </c:pt>
                <c:pt idx="45">
                  <c:v>1168700</c:v>
                </c:pt>
                <c:pt idx="46">
                  <c:v>1202900</c:v>
                </c:pt>
                <c:pt idx="47">
                  <c:v>1219100</c:v>
                </c:pt>
                <c:pt idx="48">
                  <c:v>1250600</c:v>
                </c:pt>
                <c:pt idx="49">
                  <c:v>1261100</c:v>
                </c:pt>
                <c:pt idx="50">
                  <c:v>1290100</c:v>
                </c:pt>
                <c:pt idx="51">
                  <c:v>1308900</c:v>
                </c:pt>
                <c:pt idx="52">
                  <c:v>1354300</c:v>
                </c:pt>
                <c:pt idx="53">
                  <c:v>1366200</c:v>
                </c:pt>
                <c:pt idx="54">
                  <c:v>1397700</c:v>
                </c:pt>
                <c:pt idx="55">
                  <c:v>1415400</c:v>
                </c:pt>
                <c:pt idx="56">
                  <c:v>1452600</c:v>
                </c:pt>
                <c:pt idx="57">
                  <c:v>1461100</c:v>
                </c:pt>
                <c:pt idx="58">
                  <c:v>1497900</c:v>
                </c:pt>
                <c:pt idx="59">
                  <c:v>1513900</c:v>
                </c:pt>
                <c:pt idx="60">
                  <c:v>1550800</c:v>
                </c:pt>
                <c:pt idx="61">
                  <c:v>1551900</c:v>
                </c:pt>
                <c:pt idx="62">
                  <c:v>1577900</c:v>
                </c:pt>
                <c:pt idx="63">
                  <c:v>1583500</c:v>
                </c:pt>
                <c:pt idx="64">
                  <c:v>1602900</c:v>
                </c:pt>
                <c:pt idx="65">
                  <c:v>1595000</c:v>
                </c:pt>
                <c:pt idx="66">
                  <c:v>1620000</c:v>
                </c:pt>
                <c:pt idx="67">
                  <c:v>1628700</c:v>
                </c:pt>
                <c:pt idx="68">
                  <c:v>1690600</c:v>
                </c:pt>
                <c:pt idx="69">
                  <c:v>1714500</c:v>
                </c:pt>
                <c:pt idx="70">
                  <c:v>1750100</c:v>
                </c:pt>
                <c:pt idx="71">
                  <c:v>1773500</c:v>
                </c:pt>
                <c:pt idx="72">
                  <c:v>1744600</c:v>
                </c:pt>
                <c:pt idx="73">
                  <c:v>1757800</c:v>
                </c:pt>
                <c:pt idx="74">
                  <c:v>1779900</c:v>
                </c:pt>
                <c:pt idx="75">
                  <c:v>1775700</c:v>
                </c:pt>
                <c:pt idx="76">
                  <c:v>1798600</c:v>
                </c:pt>
                <c:pt idx="77">
                  <c:v>1776000</c:v>
                </c:pt>
                <c:pt idx="78">
                  <c:v>1808700</c:v>
                </c:pt>
                <c:pt idx="79">
                  <c:v>1808000</c:v>
                </c:pt>
                <c:pt idx="80">
                  <c:v>1837500</c:v>
                </c:pt>
                <c:pt idx="81">
                  <c:v>1815800</c:v>
                </c:pt>
                <c:pt idx="82">
                  <c:v>2024400</c:v>
                </c:pt>
                <c:pt idx="83">
                  <c:v>2069000</c:v>
                </c:pt>
                <c:pt idx="84">
                  <c:v>2152500</c:v>
                </c:pt>
                <c:pt idx="85">
                  <c:v>2155100</c:v>
                </c:pt>
                <c:pt idx="86">
                  <c:v>2225400</c:v>
                </c:pt>
                <c:pt idx="87">
                  <c:v>2236600</c:v>
                </c:pt>
                <c:pt idx="88">
                  <c:v>2364700</c:v>
                </c:pt>
                <c:pt idx="89">
                  <c:v>2380800</c:v>
                </c:pt>
                <c:pt idx="90">
                  <c:v>2425900</c:v>
                </c:pt>
                <c:pt idx="91">
                  <c:v>2443800</c:v>
                </c:pt>
                <c:pt idx="92">
                  <c:v>2501300</c:v>
                </c:pt>
                <c:pt idx="93">
                  <c:v>2545500</c:v>
                </c:pt>
                <c:pt idx="94">
                  <c:v>2610400</c:v>
                </c:pt>
                <c:pt idx="95">
                  <c:v>2609700</c:v>
                </c:pt>
                <c:pt idx="96">
                  <c:v>2695700</c:v>
                </c:pt>
                <c:pt idx="97">
                  <c:v>2685600</c:v>
                </c:pt>
                <c:pt idx="98">
                  <c:v>2730900</c:v>
                </c:pt>
                <c:pt idx="99">
                  <c:v>2757800</c:v>
                </c:pt>
                <c:pt idx="100">
                  <c:v>2815400</c:v>
                </c:pt>
                <c:pt idx="101">
                  <c:v>2804800</c:v>
                </c:pt>
                <c:pt idx="102">
                  <c:v>2867600</c:v>
                </c:pt>
                <c:pt idx="103">
                  <c:v>2913400</c:v>
                </c:pt>
                <c:pt idx="104">
                  <c:v>2925600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22-4239-9F44-C60EC76C4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085162"/>
        <c:axId val="28112326"/>
      </c:lineChart>
      <c:catAx>
        <c:axId val="22085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112326"/>
        <c:crosses val="autoZero"/>
        <c:auto val="1"/>
        <c:lblAlgn val="ctr"/>
        <c:lblOffset val="100"/>
        <c:noMultiLvlLbl val="0"/>
      </c:catAx>
      <c:valAx>
        <c:axId val="28112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85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nominal GDP (GBPm, q-level)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Raw Data'!$F$3</c:f>
              <c:strCache>
                <c:ptCount val="1"/>
                <c:pt idx="0">
                  <c:v>nominal_gdp (GBPm, q-level)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Raw Data'!$A$5:$A$108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Raw Data'!$F$4:$F$108</c:f>
              <c:numCache>
                <c:formatCode>#,##0</c:formatCode>
                <c:ptCount val="105"/>
                <c:pt idx="0" formatCode="General">
                  <c:v>0</c:v>
                </c:pt>
                <c:pt idx="1">
                  <c:v>273551</c:v>
                </c:pt>
                <c:pt idx="2">
                  <c:v>275103</c:v>
                </c:pt>
                <c:pt idx="3">
                  <c:v>277076</c:v>
                </c:pt>
                <c:pt idx="4">
                  <c:v>279029</c:v>
                </c:pt>
                <c:pt idx="5">
                  <c:v>283724</c:v>
                </c:pt>
                <c:pt idx="6">
                  <c:v>287603</c:v>
                </c:pt>
                <c:pt idx="7">
                  <c:v>289333</c:v>
                </c:pt>
                <c:pt idx="8">
                  <c:v>289882</c:v>
                </c:pt>
                <c:pt idx="9">
                  <c:v>293878</c:v>
                </c:pt>
                <c:pt idx="10">
                  <c:v>297001</c:v>
                </c:pt>
                <c:pt idx="11">
                  <c:v>299863</c:v>
                </c:pt>
                <c:pt idx="12">
                  <c:v>303904</c:v>
                </c:pt>
                <c:pt idx="13">
                  <c:v>307576</c:v>
                </c:pt>
                <c:pt idx="14">
                  <c:v>313623</c:v>
                </c:pt>
                <c:pt idx="15">
                  <c:v>318875</c:v>
                </c:pt>
                <c:pt idx="16">
                  <c:v>322428</c:v>
                </c:pt>
                <c:pt idx="17">
                  <c:v>324300</c:v>
                </c:pt>
                <c:pt idx="18">
                  <c:v>331067</c:v>
                </c:pt>
                <c:pt idx="19">
                  <c:v>332518</c:v>
                </c:pt>
                <c:pt idx="20">
                  <c:v>339258</c:v>
                </c:pt>
                <c:pt idx="21">
                  <c:v>341839</c:v>
                </c:pt>
                <c:pt idx="22">
                  <c:v>349602</c:v>
                </c:pt>
                <c:pt idx="23">
                  <c:v>353424</c:v>
                </c:pt>
                <c:pt idx="24">
                  <c:v>358384</c:v>
                </c:pt>
                <c:pt idx="25">
                  <c:v>362595</c:v>
                </c:pt>
                <c:pt idx="26">
                  <c:v>368522</c:v>
                </c:pt>
                <c:pt idx="27">
                  <c:v>372582</c:v>
                </c:pt>
                <c:pt idx="28">
                  <c:v>374381</c:v>
                </c:pt>
                <c:pt idx="29">
                  <c:v>378672</c:v>
                </c:pt>
                <c:pt idx="30">
                  <c:v>387949</c:v>
                </c:pt>
                <c:pt idx="31">
                  <c:v>390894</c:v>
                </c:pt>
                <c:pt idx="32">
                  <c:v>394214</c:v>
                </c:pt>
                <c:pt idx="33">
                  <c:v>399716</c:v>
                </c:pt>
                <c:pt idx="34">
                  <c:v>402687</c:v>
                </c:pt>
                <c:pt idx="35">
                  <c:v>402137</c:v>
                </c:pt>
                <c:pt idx="36">
                  <c:v>397677</c:v>
                </c:pt>
                <c:pt idx="37">
                  <c:v>389775</c:v>
                </c:pt>
                <c:pt idx="38">
                  <c:v>389151</c:v>
                </c:pt>
                <c:pt idx="39">
                  <c:v>391179</c:v>
                </c:pt>
                <c:pt idx="40">
                  <c:v>389300</c:v>
                </c:pt>
                <c:pt idx="41">
                  <c:v>398126</c:v>
                </c:pt>
                <c:pt idx="42">
                  <c:v>402937</c:v>
                </c:pt>
                <c:pt idx="43">
                  <c:v>406177</c:v>
                </c:pt>
                <c:pt idx="44">
                  <c:v>408599</c:v>
                </c:pt>
                <c:pt idx="45">
                  <c:v>416521</c:v>
                </c:pt>
                <c:pt idx="46">
                  <c:v>414040</c:v>
                </c:pt>
                <c:pt idx="47">
                  <c:v>418119</c:v>
                </c:pt>
                <c:pt idx="48">
                  <c:v>421265</c:v>
                </c:pt>
                <c:pt idx="49">
                  <c:v>426653</c:v>
                </c:pt>
                <c:pt idx="50">
                  <c:v>426698</c:v>
                </c:pt>
                <c:pt idx="51">
                  <c:v>433287</c:v>
                </c:pt>
                <c:pt idx="52">
                  <c:v>435070</c:v>
                </c:pt>
                <c:pt idx="53">
                  <c:v>440038</c:v>
                </c:pt>
                <c:pt idx="54">
                  <c:v>443626</c:v>
                </c:pt>
                <c:pt idx="55">
                  <c:v>450725</c:v>
                </c:pt>
                <c:pt idx="56">
                  <c:v>454683</c:v>
                </c:pt>
                <c:pt idx="57">
                  <c:v>460682</c:v>
                </c:pt>
                <c:pt idx="58">
                  <c:v>464667</c:v>
                </c:pt>
                <c:pt idx="59">
                  <c:v>474115</c:v>
                </c:pt>
                <c:pt idx="60">
                  <c:v>475602</c:v>
                </c:pt>
                <c:pt idx="61">
                  <c:v>478016</c:v>
                </c:pt>
                <c:pt idx="62">
                  <c:v>479382</c:v>
                </c:pt>
                <c:pt idx="63">
                  <c:v>482690</c:v>
                </c:pt>
                <c:pt idx="64">
                  <c:v>487928</c:v>
                </c:pt>
                <c:pt idx="65">
                  <c:v>492644</c:v>
                </c:pt>
                <c:pt idx="66">
                  <c:v>497056</c:v>
                </c:pt>
                <c:pt idx="67">
                  <c:v>504373</c:v>
                </c:pt>
                <c:pt idx="68">
                  <c:v>510682</c:v>
                </c:pt>
                <c:pt idx="69">
                  <c:v>517306</c:v>
                </c:pt>
                <c:pt idx="70">
                  <c:v>521616</c:v>
                </c:pt>
                <c:pt idx="71">
                  <c:v>525161</c:v>
                </c:pt>
                <c:pt idx="72">
                  <c:v>533139</c:v>
                </c:pt>
                <c:pt idx="73">
                  <c:v>535163</c:v>
                </c:pt>
                <c:pt idx="74">
                  <c:v>540719</c:v>
                </c:pt>
                <c:pt idx="75">
                  <c:v>545160</c:v>
                </c:pt>
                <c:pt idx="76">
                  <c:v>550517</c:v>
                </c:pt>
                <c:pt idx="77">
                  <c:v>553984</c:v>
                </c:pt>
                <c:pt idx="78">
                  <c:v>560995</c:v>
                </c:pt>
                <c:pt idx="79">
                  <c:v>567451</c:v>
                </c:pt>
                <c:pt idx="80">
                  <c:v>570531</c:v>
                </c:pt>
                <c:pt idx="81">
                  <c:v>559365</c:v>
                </c:pt>
                <c:pt idx="82">
                  <c:v>481227</c:v>
                </c:pt>
                <c:pt idx="83">
                  <c:v>540319</c:v>
                </c:pt>
                <c:pt idx="84">
                  <c:v>543809</c:v>
                </c:pt>
                <c:pt idx="85">
                  <c:v>545116</c:v>
                </c:pt>
                <c:pt idx="86">
                  <c:v>576525</c:v>
                </c:pt>
                <c:pt idx="87">
                  <c:v>592707</c:v>
                </c:pt>
                <c:pt idx="88">
                  <c:v>608304</c:v>
                </c:pt>
                <c:pt idx="89">
                  <c:v>623014</c:v>
                </c:pt>
                <c:pt idx="90">
                  <c:v>639293</c:v>
                </c:pt>
                <c:pt idx="91">
                  <c:v>650233</c:v>
                </c:pt>
                <c:pt idx="92">
                  <c:v>668409</c:v>
                </c:pt>
                <c:pt idx="93">
                  <c:v>679194</c:v>
                </c:pt>
                <c:pt idx="94">
                  <c:v>689618</c:v>
                </c:pt>
                <c:pt idx="95">
                  <c:v>692982</c:v>
                </c:pt>
                <c:pt idx="96">
                  <c:v>690370</c:v>
                </c:pt>
                <c:pt idx="97">
                  <c:v>705573</c:v>
                </c:pt>
                <c:pt idx="98">
                  <c:v>717865</c:v>
                </c:pt>
                <c:pt idx="99">
                  <c:v>729877</c:v>
                </c:pt>
                <c:pt idx="100">
                  <c:v>738129</c:v>
                </c:pt>
                <c:pt idx="101">
                  <c:v>748000</c:v>
                </c:pt>
                <c:pt idx="102">
                  <c:v>757927</c:v>
                </c:pt>
                <c:pt idx="103">
                  <c:v>764673</c:v>
                </c:pt>
                <c:pt idx="104">
                  <c:v>769261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A5-428F-8041-A6225B5CD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390502"/>
        <c:axId val="32515014"/>
      </c:lineChart>
      <c:catAx>
        <c:axId val="82390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15014"/>
        <c:crosses val="autoZero"/>
        <c:auto val="1"/>
        <c:lblAlgn val="ctr"/>
        <c:lblOffset val="100"/>
        <c:noMultiLvlLbl val="0"/>
      </c:catAx>
      <c:valAx>
        <c:axId val="325150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90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DEBT SERVICE 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Construction'!$J$4</c:f>
              <c:strCache>
                <c:ptCount val="1"/>
                <c:pt idx="0">
                  <c:v>DSVC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Construction'!$J$5:$J$109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11.611728708723419</c:v>
                </c:pt>
                <c:pt idx="2">
                  <c:v>12.876575117619748</c:v>
                </c:pt>
                <c:pt idx="3">
                  <c:v>6.1299106540734236</c:v>
                </c:pt>
                <c:pt idx="4">
                  <c:v>4.4033764063313665</c:v>
                </c:pt>
                <c:pt idx="5">
                  <c:v>3.0243700209728996</c:v>
                </c:pt>
                <c:pt idx="6">
                  <c:v>2.9167698119705956</c:v>
                </c:pt>
                <c:pt idx="7">
                  <c:v>2.699231527932505</c:v>
                </c:pt>
                <c:pt idx="8">
                  <c:v>2.8727135209693171</c:v>
                </c:pt>
                <c:pt idx="9">
                  <c:v>2.564008962732347</c:v>
                </c:pt>
                <c:pt idx="10">
                  <c:v>2.7631696843962588</c:v>
                </c:pt>
                <c:pt idx="11">
                  <c:v>2.3331458840059001</c:v>
                </c:pt>
                <c:pt idx="12">
                  <c:v>2.8605212158993885</c:v>
                </c:pt>
                <c:pt idx="13">
                  <c:v>2.4814045332257426</c:v>
                </c:pt>
                <c:pt idx="14">
                  <c:v>2.7727203511582799</c:v>
                </c:pt>
                <c:pt idx="15">
                  <c:v>2.4990081357360121</c:v>
                </c:pt>
                <c:pt idx="16">
                  <c:v>2.8511758246528474</c:v>
                </c:pt>
                <c:pt idx="17">
                  <c:v>2.4620951095523016</c:v>
                </c:pt>
                <c:pt idx="18">
                  <c:v>2.7338406192494524</c:v>
                </c:pt>
                <c:pt idx="19">
                  <c:v>2.6612785057107824</c:v>
                </c:pt>
                <c:pt idx="20">
                  <c:v>2.9977570244666731</c:v>
                </c:pt>
                <c:pt idx="21">
                  <c:v>2.7795045447250222</c:v>
                </c:pt>
                <c:pt idx="22">
                  <c:v>2.9217316807988807</c:v>
                </c:pt>
                <c:pt idx="23">
                  <c:v>2.7115272183372126</c:v>
                </c:pt>
                <c:pt idx="24">
                  <c:v>3.0341234124423915</c:v>
                </c:pt>
                <c:pt idx="25">
                  <c:v>2.6920382626319355</c:v>
                </c:pt>
                <c:pt idx="26">
                  <c:v>2.8660011727486916</c:v>
                </c:pt>
                <c:pt idx="27">
                  <c:v>2.756900046779978</c:v>
                </c:pt>
                <c:pt idx="28">
                  <c:v>3.147564125976432</c:v>
                </c:pt>
                <c:pt idx="29">
                  <c:v>2.9665512015587789</c:v>
                </c:pt>
                <c:pt idx="30">
                  <c:v>3.1193509115842577</c:v>
                </c:pt>
                <c:pt idx="31">
                  <c:v>2.9022505523314197</c:v>
                </c:pt>
                <c:pt idx="32">
                  <c:v>3.7670964608563504</c:v>
                </c:pt>
                <c:pt idx="33">
                  <c:v>3.2003010835010492</c:v>
                </c:pt>
                <c:pt idx="34">
                  <c:v>3.551688641653945</c:v>
                </c:pt>
                <c:pt idx="35">
                  <c:v>3.369551455076532</c:v>
                </c:pt>
                <c:pt idx="36">
                  <c:v>9.7275753493032706</c:v>
                </c:pt>
                <c:pt idx="37">
                  <c:v>5.9237918459234926</c:v>
                </c:pt>
                <c:pt idx="38">
                  <c:v>6.3692475425114745</c:v>
                </c:pt>
                <c:pt idx="39">
                  <c:v>4.4027515613717263</c:v>
                </c:pt>
                <c:pt idx="40">
                  <c:v>5.6497650821351444</c:v>
                </c:pt>
                <c:pt idx="41">
                  <c:v>5.568534152449172</c:v>
                </c:pt>
                <c:pt idx="42">
                  <c:v>6.1601422670364521</c:v>
                </c:pt>
                <c:pt idx="43">
                  <c:v>5.3899295750602905</c:v>
                </c:pt>
                <c:pt idx="44">
                  <c:v>6.0292883360266583</c:v>
                </c:pt>
                <c:pt idx="45">
                  <c:v>5.7117076639442423</c:v>
                </c:pt>
                <c:pt idx="46">
                  <c:v>6.3163537167871926</c:v>
                </c:pt>
                <c:pt idx="47">
                  <c:v>5.5278645043538202</c:v>
                </c:pt>
                <c:pt idx="48">
                  <c:v>6.2263505420632246</c:v>
                </c:pt>
                <c:pt idx="49">
                  <c:v>5.2049618400606015</c:v>
                </c:pt>
                <c:pt idx="50">
                  <c:v>6.1171005852707934</c:v>
                </c:pt>
                <c:pt idx="51">
                  <c:v>4.8184742443442126</c:v>
                </c:pt>
                <c:pt idx="52">
                  <c:v>5.7420122805569171</c:v>
                </c:pt>
                <c:pt idx="53">
                  <c:v>4.8600575707378955</c:v>
                </c:pt>
                <c:pt idx="54">
                  <c:v>5.6421183187298887</c:v>
                </c:pt>
                <c:pt idx="55">
                  <c:v>4.4401294276723853</c:v>
                </c:pt>
                <c:pt idx="56">
                  <c:v>5.131738005797251</c:v>
                </c:pt>
                <c:pt idx="57">
                  <c:v>3.9370131554235939</c:v>
                </c:pt>
                <c:pt idx="58">
                  <c:v>4.6738825318447752</c:v>
                </c:pt>
                <c:pt idx="59">
                  <c:v>3.4711324331956672</c:v>
                </c:pt>
                <c:pt idx="60">
                  <c:v>3.847591372205116</c:v>
                </c:pt>
                <c:pt idx="61">
                  <c:v>2.7111579005752331</c:v>
                </c:pt>
                <c:pt idx="62">
                  <c:v>3.9579370112027061</c:v>
                </c:pt>
                <c:pt idx="63">
                  <c:v>3.3657120834349263</c:v>
                </c:pt>
                <c:pt idx="64">
                  <c:v>3.5838783936858256</c:v>
                </c:pt>
                <c:pt idx="65">
                  <c:v>3.1136671064970414</c:v>
                </c:pt>
                <c:pt idx="66">
                  <c:v>3.8899561628378643</c:v>
                </c:pt>
                <c:pt idx="67">
                  <c:v>3.5477917358306148</c:v>
                </c:pt>
                <c:pt idx="68">
                  <c:v>3.4563050170004965</c:v>
                </c:pt>
                <c:pt idx="69">
                  <c:v>3.0792790141438728</c:v>
                </c:pt>
                <c:pt idx="70">
                  <c:v>4.183861670617719</c:v>
                </c:pt>
                <c:pt idx="71">
                  <c:v>3.4218494170090521</c:v>
                </c:pt>
                <c:pt idx="72">
                  <c:v>3.6349176894732658</c:v>
                </c:pt>
                <c:pt idx="73">
                  <c:v>2.9690705132789947</c:v>
                </c:pt>
                <c:pt idx="74">
                  <c:v>3.6721087013771112</c:v>
                </c:pt>
                <c:pt idx="75">
                  <c:v>3.2701990739309021</c:v>
                </c:pt>
                <c:pt idx="76">
                  <c:v>3.5833572016464732</c:v>
                </c:pt>
                <c:pt idx="77">
                  <c:v>2.4034345831727344</c:v>
                </c:pt>
                <c:pt idx="78">
                  <c:v>3.9461645924451467</c:v>
                </c:pt>
                <c:pt idx="79">
                  <c:v>2.7647901799284922</c:v>
                </c:pt>
                <c:pt idx="80">
                  <c:v>2.8960830686980032</c:v>
                </c:pt>
                <c:pt idx="81">
                  <c:v>2.4644900644085719</c:v>
                </c:pt>
                <c:pt idx="82">
                  <c:v>2.6720487862334399</c:v>
                </c:pt>
                <c:pt idx="83">
                  <c:v>2.5550658366436023</c:v>
                </c:pt>
                <c:pt idx="84">
                  <c:v>2.210982215648853</c:v>
                </c:pt>
                <c:pt idx="85">
                  <c:v>2.3146579313980196</c:v>
                </c:pt>
                <c:pt idx="86">
                  <c:v>4.0650641491875508</c:v>
                </c:pt>
                <c:pt idx="87">
                  <c:v>3.3403316485089776</c:v>
                </c:pt>
                <c:pt idx="88">
                  <c:v>3.9965334562654413</c:v>
                </c:pt>
                <c:pt idx="89">
                  <c:v>3.9189684894680732</c:v>
                </c:pt>
                <c:pt idx="90">
                  <c:v>6.86259398887755</c:v>
                </c:pt>
                <c:pt idx="91">
                  <c:v>5.2113450232572482</c:v>
                </c:pt>
                <c:pt idx="92">
                  <c:v>6.9156203239867287</c:v>
                </c:pt>
                <c:pt idx="93">
                  <c:v>5.1649218950083853</c:v>
                </c:pt>
                <c:pt idx="94">
                  <c:v>7.3208402015980258</c:v>
                </c:pt>
                <c:pt idx="95">
                  <c:v>4.9566615837889687</c:v>
                </c:pt>
                <c:pt idx="96">
                  <c:v>5.6576012845931238</c:v>
                </c:pt>
                <c:pt idx="97">
                  <c:v>4.756838618628831</c:v>
                </c:pt>
                <c:pt idx="98">
                  <c:v>5.9432587510792523</c:v>
                </c:pt>
                <c:pt idx="99">
                  <c:v>4.2516896525924635</c:v>
                </c:pt>
                <c:pt idx="100">
                  <c:v>4.4537985044053752</c:v>
                </c:pt>
                <c:pt idx="101">
                  <c:v>3.8834575388629351</c:v>
                </c:pt>
                <c:pt idx="102">
                  <c:v>5.9333215400404447</c:v>
                </c:pt>
                <c:pt idx="103">
                  <c:v>4.4836248832774643</c:v>
                </c:pt>
                <c:pt idx="104">
                  <c:v>3.8142351803701824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77-468C-8B59-C065C7F82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554015"/>
        <c:axId val="50400449"/>
      </c:lineChart>
      <c:catAx>
        <c:axId val="4155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00449"/>
        <c:crosses val="autoZero"/>
        <c:auto val="1"/>
        <c:lblAlgn val="ctr"/>
        <c:lblOffset val="100"/>
        <c:noMultiLvlLbl val="0"/>
      </c:catAx>
      <c:valAx>
        <c:axId val="50400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54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EFFECTIVE INTEREST RATE  EFFI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Construction'!$G$4</c:f>
              <c:strCache>
                <c:ptCount val="1"/>
                <c:pt idx="0">
                  <c:v>EFFI (% p.a.)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Construction'!$G$5:$G$109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8.9906594961788855</c:v>
                </c:pt>
                <c:pt idx="2">
                  <c:v>9.9699971695442962</c:v>
                </c:pt>
                <c:pt idx="3">
                  <c:v>9.839672322995904</c:v>
                </c:pt>
                <c:pt idx="4">
                  <c:v>11.132884262094304</c:v>
                </c:pt>
                <c:pt idx="5">
                  <c:v>10.024602460246024</c:v>
                </c:pt>
                <c:pt idx="6">
                  <c:v>10.099378881987578</c:v>
                </c:pt>
                <c:pt idx="7">
                  <c:v>9.2134423251589457</c:v>
                </c:pt>
                <c:pt idx="8">
                  <c:v>10.086260012322859</c:v>
                </c:pt>
                <c:pt idx="9">
                  <c:v>8.7928464977645309</c:v>
                </c:pt>
                <c:pt idx="10">
                  <c:v>9.7011494252873565</c:v>
                </c:pt>
                <c:pt idx="11">
                  <c:v>8.0507225007372458</c:v>
                </c:pt>
                <c:pt idx="12">
                  <c:v>9.8288707799767163</c:v>
                </c:pt>
                <c:pt idx="13">
                  <c:v>8.0401410360726882</c:v>
                </c:pt>
                <c:pt idx="14">
                  <c:v>9.0747562296858071</c:v>
                </c:pt>
                <c:pt idx="15">
                  <c:v>8.1523302263648461</c:v>
                </c:pt>
                <c:pt idx="16">
                  <c:v>9.2509128847157012</c:v>
                </c:pt>
                <c:pt idx="17">
                  <c:v>7.6826495304003952</c:v>
                </c:pt>
                <c:pt idx="18">
                  <c:v>8.6457354758961689</c:v>
                </c:pt>
                <c:pt idx="19">
                  <c:v>8.0213854021385398</c:v>
                </c:pt>
                <c:pt idx="20">
                  <c:v>8.968036529680365</c:v>
                </c:pt>
                <c:pt idx="21">
                  <c:v>7.9534282018111258</c:v>
                </c:pt>
                <c:pt idx="22">
                  <c:v>8.5241917986548064</c:v>
                </c:pt>
                <c:pt idx="23">
                  <c:v>7.809845763786182</c:v>
                </c:pt>
                <c:pt idx="24">
                  <c:v>8.6894268570246229</c:v>
                </c:pt>
                <c:pt idx="25">
                  <c:v>7.5026812313803379</c:v>
                </c:pt>
                <c:pt idx="26">
                  <c:v>8.172206647977573</c:v>
                </c:pt>
                <c:pt idx="27">
                  <c:v>7.65</c:v>
                </c:pt>
                <c:pt idx="28">
                  <c:v>8.7723980175371707</c:v>
                </c:pt>
                <c:pt idx="29">
                  <c:v>8.1350649350649356</c:v>
                </c:pt>
                <c:pt idx="30">
                  <c:v>8.7085201793721971</c:v>
                </c:pt>
                <c:pt idx="31">
                  <c:v>7.9695210449927432</c:v>
                </c:pt>
                <c:pt idx="32">
                  <c:v>10.435443037974684</c:v>
                </c:pt>
                <c:pt idx="33">
                  <c:v>8.641030102662258</c:v>
                </c:pt>
                <c:pt idx="34">
                  <c:v>9.8483779971791261</c:v>
                </c:pt>
                <c:pt idx="35">
                  <c:v>8.9138476920513252</c:v>
                </c:pt>
                <c:pt idx="36">
                  <c:v>22.830299471520846</c:v>
                </c:pt>
                <c:pt idx="37">
                  <c:v>12.656620882784372</c:v>
                </c:pt>
                <c:pt idx="38">
                  <c:v>12.883130081300813</c:v>
                </c:pt>
                <c:pt idx="39">
                  <c:v>8.1802989290337766</c:v>
                </c:pt>
                <c:pt idx="40">
                  <c:v>10.094131054131054</c:v>
                </c:pt>
                <c:pt idx="41">
                  <c:v>9.0586271646150642</c:v>
                </c:pt>
                <c:pt idx="42">
                  <c:v>9.3954664850666401</c:v>
                </c:pt>
                <c:pt idx="43">
                  <c:v>7.9809006647317666</c:v>
                </c:pt>
                <c:pt idx="44">
                  <c:v>8.6963592013732036</c:v>
                </c:pt>
                <c:pt idx="45">
                  <c:v>8.0079826464208246</c:v>
                </c:pt>
                <c:pt idx="46">
                  <c:v>8.8323778557371444</c:v>
                </c:pt>
                <c:pt idx="47">
                  <c:v>7.5610607698063017</c:v>
                </c:pt>
                <c:pt idx="48">
                  <c:v>8.4642769256008528</c:v>
                </c:pt>
                <c:pt idx="49">
                  <c:v>6.9502638733407966</c:v>
                </c:pt>
                <c:pt idx="50">
                  <c:v>8.1493933867258743</c:v>
                </c:pt>
                <c:pt idx="51">
                  <c:v>6.3223005968529575</c:v>
                </c:pt>
                <c:pt idx="52">
                  <c:v>7.4923981969592788</c:v>
                </c:pt>
                <c:pt idx="53">
                  <c:v>6.1785424204386032</c:v>
                </c:pt>
                <c:pt idx="54">
                  <c:v>7.1655687307861218</c:v>
                </c:pt>
                <c:pt idx="55">
                  <c:v>5.5657151033841314</c:v>
                </c:pt>
                <c:pt idx="56">
                  <c:v>6.4154302670623142</c:v>
                </c:pt>
                <c:pt idx="57">
                  <c:v>4.8489604846482166</c:v>
                </c:pt>
                <c:pt idx="58">
                  <c:v>5.7890630346998835</c:v>
                </c:pt>
                <c:pt idx="59">
                  <c:v>4.2424727952466785</c:v>
                </c:pt>
                <c:pt idx="60">
                  <c:v>4.7123323865512914</c:v>
                </c:pt>
                <c:pt idx="61">
                  <c:v>3.2780500386897087</c:v>
                </c:pt>
                <c:pt idx="62">
                  <c:v>4.8263419034731623</c:v>
                </c:pt>
                <c:pt idx="63">
                  <c:v>4.0679383991380949</c:v>
                </c:pt>
                <c:pt idx="64">
                  <c:v>4.3357120303125987</c:v>
                </c:pt>
                <c:pt idx="65">
                  <c:v>3.7452118036059643</c:v>
                </c:pt>
                <c:pt idx="66">
                  <c:v>4.7378056426332291</c:v>
                </c:pt>
                <c:pt idx="67">
                  <c:v>4.2930864197530862</c:v>
                </c:pt>
                <c:pt idx="68">
                  <c:v>4.2060539080248054</c:v>
                </c:pt>
                <c:pt idx="69">
                  <c:v>3.651484679995268</c:v>
                </c:pt>
                <c:pt idx="70">
                  <c:v>4.9523476232137646</c:v>
                </c:pt>
                <c:pt idx="71">
                  <c:v>4.015999085766528</c:v>
                </c:pt>
                <c:pt idx="72">
                  <c:v>4.252382294897096</c:v>
                </c:pt>
                <c:pt idx="73">
                  <c:v>3.5691849134472085</c:v>
                </c:pt>
                <c:pt idx="74">
                  <c:v>4.4184776425076802</c:v>
                </c:pt>
                <c:pt idx="75">
                  <c:v>3.9211191639979774</c:v>
                </c:pt>
                <c:pt idx="76">
                  <c:v>4.3471307090161631</c:v>
                </c:pt>
                <c:pt idx="77">
                  <c:v>2.9018125208495498</c:v>
                </c:pt>
                <c:pt idx="78">
                  <c:v>4.8668918918918918</c:v>
                </c:pt>
                <c:pt idx="79">
                  <c:v>3.3792226460994086</c:v>
                </c:pt>
                <c:pt idx="80">
                  <c:v>3.5767699115044249</c:v>
                </c:pt>
                <c:pt idx="81">
                  <c:v>3.0217142857142858</c:v>
                </c:pt>
                <c:pt idx="82">
                  <c:v>3.3232734882696331</c:v>
                </c:pt>
                <c:pt idx="83">
                  <c:v>2.7496542185338866</c:v>
                </c:pt>
                <c:pt idx="84">
                  <c:v>2.2990816819719671</c:v>
                </c:pt>
                <c:pt idx="85">
                  <c:v>2.2847851335656215</c:v>
                </c:pt>
                <c:pt idx="86">
                  <c:v>3.9808825576539371</c:v>
                </c:pt>
                <c:pt idx="87">
                  <c:v>3.3108654623887839</c:v>
                </c:pt>
                <c:pt idx="88">
                  <c:v>4.0350532057587412</c:v>
                </c:pt>
                <c:pt idx="89">
                  <c:v>3.849283207172157</c:v>
                </c:pt>
                <c:pt idx="90">
                  <c:v>6.919522849462366</c:v>
                </c:pt>
                <c:pt idx="91">
                  <c:v>5.291726781812935</c:v>
                </c:pt>
                <c:pt idx="92">
                  <c:v>7.1336443244128001</c:v>
                </c:pt>
                <c:pt idx="93">
                  <c:v>5.329388717866709</c:v>
                </c:pt>
                <c:pt idx="94">
                  <c:v>7.5843645649184834</c:v>
                </c:pt>
                <c:pt idx="95">
                  <c:v>5.1029727244866683</c:v>
                </c:pt>
                <c:pt idx="96">
                  <c:v>5.9188412461202438</c:v>
                </c:pt>
                <c:pt idx="97">
                  <c:v>4.856475127054197</c:v>
                </c:pt>
                <c:pt idx="98">
                  <c:v>6.1489425081918379</c:v>
                </c:pt>
                <c:pt idx="99">
                  <c:v>4.3698414442125308</c:v>
                </c:pt>
                <c:pt idx="100">
                  <c:v>4.5925012691275651</c:v>
                </c:pt>
                <c:pt idx="101">
                  <c:v>3.9883497904383036</c:v>
                </c:pt>
                <c:pt idx="102">
                  <c:v>6.2063605248146034</c:v>
                </c:pt>
                <c:pt idx="103">
                  <c:v>4.6498814339517365</c:v>
                </c:pt>
                <c:pt idx="104">
                  <c:v>3.9390402965607194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3F-4017-8C5A-14C21B6A4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025592"/>
        <c:axId val="16071652"/>
      </c:lineChart>
      <c:catAx>
        <c:axId val="8002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71652"/>
        <c:crosses val="autoZero"/>
        <c:auto val="1"/>
        <c:lblAlgn val="ctr"/>
        <c:lblOffset val="100"/>
        <c:noMultiLvlLbl val="0"/>
      </c:catAx>
      <c:valAx>
        <c:axId val="16071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025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 FREV_GDP &amp; FPEXP_GDP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Construction'!$E$4</c:f>
              <c:strCache>
                <c:ptCount val="1"/>
                <c:pt idx="0">
                  <c:v>FREV_GDP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Construction'!$E$5:$E$109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38.786551685060559</c:v>
                </c:pt>
                <c:pt idx="2">
                  <c:v>37.037732341329871</c:v>
                </c:pt>
                <c:pt idx="3">
                  <c:v>36.886754750342121</c:v>
                </c:pt>
                <c:pt idx="4">
                  <c:v>36.224280589703277</c:v>
                </c:pt>
                <c:pt idx="5">
                  <c:v>36.451729791592669</c:v>
                </c:pt>
                <c:pt idx="6">
                  <c:v>36.300193714565488</c:v>
                </c:pt>
                <c:pt idx="7">
                  <c:v>36.117396938989494</c:v>
                </c:pt>
                <c:pt idx="8">
                  <c:v>35.895343238230332</c:v>
                </c:pt>
                <c:pt idx="9">
                  <c:v>35.531353601632127</c:v>
                </c:pt>
                <c:pt idx="10">
                  <c:v>35.225631444995017</c:v>
                </c:pt>
                <c:pt idx="11">
                  <c:v>35.024444700429605</c:v>
                </c:pt>
                <c:pt idx="12">
                  <c:v>34.84931937996695</c:v>
                </c:pt>
                <c:pt idx="13">
                  <c:v>34.574839615208916</c:v>
                </c:pt>
                <c:pt idx="14">
                  <c:v>34.677778811820083</c:v>
                </c:pt>
                <c:pt idx="15">
                  <c:v>34.617814784505832</c:v>
                </c:pt>
                <c:pt idx="16">
                  <c:v>34.797014182947827</c:v>
                </c:pt>
                <c:pt idx="17">
                  <c:v>35.245922143546174</c:v>
                </c:pt>
                <c:pt idx="18">
                  <c:v>35.188675607517716</c:v>
                </c:pt>
                <c:pt idx="19">
                  <c:v>35.474424813002692</c:v>
                </c:pt>
                <c:pt idx="20">
                  <c:v>35.704592496814584</c:v>
                </c:pt>
                <c:pt idx="21">
                  <c:v>35.935262017339419</c:v>
                </c:pt>
                <c:pt idx="22">
                  <c:v>36.045545206669225</c:v>
                </c:pt>
                <c:pt idx="23">
                  <c:v>36.23160658409693</c:v>
                </c:pt>
                <c:pt idx="24">
                  <c:v>36.269614302237166</c:v>
                </c:pt>
                <c:pt idx="25">
                  <c:v>36.497624657216797</c:v>
                </c:pt>
                <c:pt idx="26">
                  <c:v>36.574596739262262</c:v>
                </c:pt>
                <c:pt idx="27">
                  <c:v>36.550387358310026</c:v>
                </c:pt>
                <c:pt idx="28">
                  <c:v>36.615271162589302</c:v>
                </c:pt>
                <c:pt idx="29">
                  <c:v>36.910512081394394</c:v>
                </c:pt>
                <c:pt idx="30">
                  <c:v>36.894549625260311</c:v>
                </c:pt>
                <c:pt idx="31">
                  <c:v>36.986453388480683</c:v>
                </c:pt>
                <c:pt idx="32">
                  <c:v>37.107961506165061</c:v>
                </c:pt>
                <c:pt idx="33">
                  <c:v>37.347474810414475</c:v>
                </c:pt>
                <c:pt idx="34">
                  <c:v>37.282828276465487</c:v>
                </c:pt>
                <c:pt idx="35">
                  <c:v>37.17939095070286</c:v>
                </c:pt>
                <c:pt idx="36">
                  <c:v>38.816464935773368</c:v>
                </c:pt>
                <c:pt idx="37">
                  <c:v>39.235534543006366</c:v>
                </c:pt>
                <c:pt idx="38">
                  <c:v>40.130293778582917</c:v>
                </c:pt>
                <c:pt idx="39">
                  <c:v>40.802165096933116</c:v>
                </c:pt>
                <c:pt idx="40">
                  <c:v>39.68789377999942</c:v>
                </c:pt>
                <c:pt idx="41">
                  <c:v>39.680664593214757</c:v>
                </c:pt>
                <c:pt idx="42">
                  <c:v>39.862551863940382</c:v>
                </c:pt>
                <c:pt idx="43">
                  <c:v>39.972377766920964</c:v>
                </c:pt>
                <c:pt idx="44">
                  <c:v>39.865852971737901</c:v>
                </c:pt>
                <c:pt idx="45">
                  <c:v>40.182862429737725</c:v>
                </c:pt>
                <c:pt idx="46">
                  <c:v>40.362673421919034</c:v>
                </c:pt>
                <c:pt idx="47">
                  <c:v>40.626533009831178</c:v>
                </c:pt>
                <c:pt idx="48">
                  <c:v>40.833979562201151</c:v>
                </c:pt>
                <c:pt idx="49">
                  <c:v>40.510524220020869</c:v>
                </c:pt>
                <c:pt idx="50">
                  <c:v>40.171792985907423</c:v>
                </c:pt>
                <c:pt idx="51">
                  <c:v>39.920065718017945</c:v>
                </c:pt>
                <c:pt idx="52">
                  <c:v>39.737574548065062</c:v>
                </c:pt>
                <c:pt idx="53">
                  <c:v>39.481572457499396</c:v>
                </c:pt>
                <c:pt idx="54">
                  <c:v>39.434344679658523</c:v>
                </c:pt>
                <c:pt idx="55">
                  <c:v>39.176154971660829</c:v>
                </c:pt>
                <c:pt idx="56">
                  <c:v>38.979370310417913</c:v>
                </c:pt>
                <c:pt idx="57">
                  <c:v>38.739669649823512</c:v>
                </c:pt>
                <c:pt idx="58">
                  <c:v>38.249587465731388</c:v>
                </c:pt>
                <c:pt idx="59">
                  <c:v>37.85854088160216</c:v>
                </c:pt>
                <c:pt idx="60">
                  <c:v>37.61163607041032</c:v>
                </c:pt>
                <c:pt idx="61">
                  <c:v>37.628355527372648</c:v>
                </c:pt>
                <c:pt idx="62">
                  <c:v>37.605912595727055</c:v>
                </c:pt>
                <c:pt idx="63">
                  <c:v>37.698166195992044</c:v>
                </c:pt>
                <c:pt idx="64">
                  <c:v>37.603111177500601</c:v>
                </c:pt>
                <c:pt idx="65">
                  <c:v>37.757303963052415</c:v>
                </c:pt>
                <c:pt idx="66">
                  <c:v>37.788409839628059</c:v>
                </c:pt>
                <c:pt idx="67">
                  <c:v>37.880051523687428</c:v>
                </c:pt>
                <c:pt idx="68">
                  <c:v>37.948976308825763</c:v>
                </c:pt>
                <c:pt idx="69">
                  <c:v>38.341208337172695</c:v>
                </c:pt>
                <c:pt idx="70">
                  <c:v>38.406272319505035</c:v>
                </c:pt>
                <c:pt idx="71">
                  <c:v>38.398228233076999</c:v>
                </c:pt>
                <c:pt idx="72">
                  <c:v>38.423543144216495</c:v>
                </c:pt>
                <c:pt idx="73">
                  <c:v>38.015601308509041</c:v>
                </c:pt>
                <c:pt idx="74">
                  <c:v>37.855018925283787</c:v>
                </c:pt>
                <c:pt idx="75">
                  <c:v>37.827554880485899</c:v>
                </c:pt>
                <c:pt idx="76">
                  <c:v>37.804545029630788</c:v>
                </c:pt>
                <c:pt idx="77">
                  <c:v>38.108136487732722</c:v>
                </c:pt>
                <c:pt idx="78">
                  <c:v>37.964613218881638</c:v>
                </c:pt>
                <c:pt idx="79">
                  <c:v>37.833947693339788</c:v>
                </c:pt>
                <c:pt idx="80">
                  <c:v>37.545479038474255</c:v>
                </c:pt>
                <c:pt idx="81">
                  <c:v>37.484756516063555</c:v>
                </c:pt>
                <c:pt idx="82">
                  <c:v>37.653529326981776</c:v>
                </c:pt>
                <c:pt idx="83">
                  <c:v>37.409142333374547</c:v>
                </c:pt>
                <c:pt idx="84">
                  <c:v>37.994088632855153</c:v>
                </c:pt>
                <c:pt idx="85">
                  <c:v>38.537369146508055</c:v>
                </c:pt>
                <c:pt idx="86">
                  <c:v>38.496506207132299</c:v>
                </c:pt>
                <c:pt idx="87">
                  <c:v>38.963809867958695</c:v>
                </c:pt>
                <c:pt idx="88">
                  <c:v>39.082307637993125</c:v>
                </c:pt>
                <c:pt idx="89">
                  <c:v>39.278123763304244</c:v>
                </c:pt>
                <c:pt idx="90">
                  <c:v>39.496930562761285</c:v>
                </c:pt>
                <c:pt idx="91">
                  <c:v>39.91226747866984</c:v>
                </c:pt>
                <c:pt idx="92">
                  <c:v>40.020279362358572</c:v>
                </c:pt>
                <c:pt idx="93">
                  <c:v>40.34834852599171</c:v>
                </c:pt>
                <c:pt idx="94">
                  <c:v>40.44876675098439</c:v>
                </c:pt>
                <c:pt idx="95">
                  <c:v>40.452889400531753</c:v>
                </c:pt>
                <c:pt idx="96">
                  <c:v>40.699464130771275</c:v>
                </c:pt>
                <c:pt idx="97">
                  <c:v>40.775471173201204</c:v>
                </c:pt>
                <c:pt idx="98">
                  <c:v>40.513005960545676</c:v>
                </c:pt>
                <c:pt idx="99">
                  <c:v>39.945528425265103</c:v>
                </c:pt>
                <c:pt idx="100">
                  <c:v>39.278056223810665</c:v>
                </c:pt>
                <c:pt idx="101">
                  <c:v>39.017836844223893</c:v>
                </c:pt>
                <c:pt idx="102">
                  <c:v>38.834634136007772</c:v>
                </c:pt>
                <c:pt idx="103">
                  <c:v>39.135030107397512</c:v>
                </c:pt>
                <c:pt idx="104">
                  <c:v>39.412427081369842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97-4D0D-9BDD-89EB9AF1F5C2}"/>
            </c:ext>
          </c:extLst>
        </c:ser>
        <c:ser>
          <c:idx val="1"/>
          <c:order val="1"/>
          <c:tx>
            <c:strRef>
              <c:f>'UK Construction'!$F$4</c:f>
              <c:strCache>
                <c:ptCount val="1"/>
                <c:pt idx="0">
                  <c:v>FPEXP_GDP (% GDP)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Construction'!$A$6:$A$109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Construction'!$F$5:$F$109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29.479694828386663</c:v>
                </c:pt>
                <c:pt idx="2">
                  <c:v>29.023209527315942</c:v>
                </c:pt>
                <c:pt idx="3">
                  <c:v>29.26465067273806</c:v>
                </c:pt>
                <c:pt idx="4">
                  <c:v>29.483443900434395</c:v>
                </c:pt>
                <c:pt idx="5">
                  <c:v>29.724054919941306</c:v>
                </c:pt>
                <c:pt idx="6">
                  <c:v>30.066380943595711</c:v>
                </c:pt>
                <c:pt idx="7">
                  <c:v>30.254569448331956</c:v>
                </c:pt>
                <c:pt idx="8">
                  <c:v>30.646251940389835</c:v>
                </c:pt>
                <c:pt idx="9">
                  <c:v>31.133733552971666</c:v>
                </c:pt>
                <c:pt idx="10">
                  <c:v>31.579343198067846</c:v>
                </c:pt>
                <c:pt idx="11">
                  <c:v>32.074563959397743</c:v>
                </c:pt>
                <c:pt idx="12">
                  <c:v>32.252985403207312</c:v>
                </c:pt>
                <c:pt idx="13">
                  <c:v>32.703021656084694</c:v>
                </c:pt>
                <c:pt idx="14">
                  <c:v>33.1508792897109</c:v>
                </c:pt>
                <c:pt idx="15">
                  <c:v>33.501878650587066</c:v>
                </c:pt>
                <c:pt idx="16">
                  <c:v>33.729451517700568</c:v>
                </c:pt>
                <c:pt idx="17">
                  <c:v>33.921762065498982</c:v>
                </c:pt>
                <c:pt idx="18">
                  <c:v>33.999089976632447</c:v>
                </c:pt>
                <c:pt idx="19">
                  <c:v>34.29241715529038</c:v>
                </c:pt>
                <c:pt idx="20">
                  <c:v>34.554226635712958</c:v>
                </c:pt>
                <c:pt idx="21">
                  <c:v>34.890256581109881</c:v>
                </c:pt>
                <c:pt idx="22">
                  <c:v>34.707093588181486</c:v>
                </c:pt>
                <c:pt idx="23">
                  <c:v>34.665922031495754</c:v>
                </c:pt>
                <c:pt idx="24">
                  <c:v>34.754060042088042</c:v>
                </c:pt>
                <c:pt idx="25">
                  <c:v>34.732462315792432</c:v>
                </c:pt>
                <c:pt idx="26">
                  <c:v>34.756137706394995</c:v>
                </c:pt>
                <c:pt idx="27">
                  <c:v>34.727235047531501</c:v>
                </c:pt>
                <c:pt idx="28">
                  <c:v>34.548603593851482</c:v>
                </c:pt>
                <c:pt idx="29">
                  <c:v>34.558349624570909</c:v>
                </c:pt>
                <c:pt idx="30">
                  <c:v>34.3877842260489</c:v>
                </c:pt>
                <c:pt idx="31">
                  <c:v>34.397570070030866</c:v>
                </c:pt>
                <c:pt idx="32">
                  <c:v>34.464329789544436</c:v>
                </c:pt>
                <c:pt idx="33">
                  <c:v>34.812525393047821</c:v>
                </c:pt>
                <c:pt idx="34">
                  <c:v>35.116544074340275</c:v>
                </c:pt>
                <c:pt idx="35">
                  <c:v>35.693296154380221</c:v>
                </c:pt>
                <c:pt idx="36">
                  <c:v>36.472712497745313</c:v>
                </c:pt>
                <c:pt idx="37">
                  <c:v>37.588332675993357</c:v>
                </c:pt>
                <c:pt idx="38">
                  <c:v>38.67235896981137</c:v>
                </c:pt>
                <c:pt idx="39">
                  <c:v>39.509638457387574</c:v>
                </c:pt>
                <c:pt idx="40">
                  <c:v>40.451454240559698</c:v>
                </c:pt>
                <c:pt idx="41">
                  <c:v>40.569514643860394</c:v>
                </c:pt>
                <c:pt idx="42">
                  <c:v>40.470945444382764</c:v>
                </c:pt>
                <c:pt idx="43">
                  <c:v>40.319941874303183</c:v>
                </c:pt>
                <c:pt idx="44">
                  <c:v>39.88206745845347</c:v>
                </c:pt>
                <c:pt idx="45">
                  <c:v>39.459771366891154</c:v>
                </c:pt>
                <c:pt idx="46">
                  <c:v>39.148210974408279</c:v>
                </c:pt>
                <c:pt idx="47">
                  <c:v>38.773435251397018</c:v>
                </c:pt>
                <c:pt idx="48">
                  <c:v>38.350963654491615</c:v>
                </c:pt>
                <c:pt idx="49">
                  <c:v>38.269079333863864</c:v>
                </c:pt>
                <c:pt idx="50">
                  <c:v>38.798276162541683</c:v>
                </c:pt>
                <c:pt idx="51">
                  <c:v>38.56542204094729</c:v>
                </c:pt>
                <c:pt idx="52">
                  <c:v>38.499153166506751</c:v>
                </c:pt>
                <c:pt idx="53">
                  <c:v>37.984131109975088</c:v>
                </c:pt>
                <c:pt idx="54">
                  <c:v>37.263993981807296</c:v>
                </c:pt>
                <c:pt idx="55">
                  <c:v>37.036913542500841</c:v>
                </c:pt>
                <c:pt idx="56">
                  <c:v>36.750672974592412</c:v>
                </c:pt>
                <c:pt idx="57">
                  <c:v>36.644092222205032</c:v>
                </c:pt>
                <c:pt idx="58">
                  <c:v>36.455793969379883</c:v>
                </c:pt>
                <c:pt idx="59">
                  <c:v>36.33374268598984</c:v>
                </c:pt>
                <c:pt idx="60">
                  <c:v>36.306242020280884</c:v>
                </c:pt>
                <c:pt idx="61">
                  <c:v>36.248097653772987</c:v>
                </c:pt>
                <c:pt idx="62">
                  <c:v>36.180251322023054</c:v>
                </c:pt>
                <c:pt idx="63">
                  <c:v>36.136170257191928</c:v>
                </c:pt>
                <c:pt idx="64">
                  <c:v>35.826673637563175</c:v>
                </c:pt>
                <c:pt idx="65">
                  <c:v>35.592316451187145</c:v>
                </c:pt>
                <c:pt idx="66">
                  <c:v>35.455778093146115</c:v>
                </c:pt>
                <c:pt idx="67">
                  <c:v>35.315118408113818</c:v>
                </c:pt>
                <c:pt idx="68">
                  <c:v>35.042087437118255</c:v>
                </c:pt>
                <c:pt idx="69">
                  <c:v>34.766930601251495</c:v>
                </c:pt>
                <c:pt idx="70">
                  <c:v>34.704478190359481</c:v>
                </c:pt>
                <c:pt idx="71">
                  <c:v>34.518367140374934</c:v>
                </c:pt>
                <c:pt idx="72">
                  <c:v>34.403844705043149</c:v>
                </c:pt>
                <c:pt idx="73">
                  <c:v>34.381930887687886</c:v>
                </c:pt>
                <c:pt idx="74">
                  <c:v>34.122862998563384</c:v>
                </c:pt>
                <c:pt idx="75">
                  <c:v>34.032794830146585</c:v>
                </c:pt>
                <c:pt idx="76">
                  <c:v>34.082012047565826</c:v>
                </c:pt>
                <c:pt idx="77">
                  <c:v>34.200321405418237</c:v>
                </c:pt>
                <c:pt idx="78">
                  <c:v>34.182070842320108</c:v>
                </c:pt>
                <c:pt idx="79">
                  <c:v>34.184734344344044</c:v>
                </c:pt>
                <c:pt idx="80">
                  <c:v>34.160422661555174</c:v>
                </c:pt>
                <c:pt idx="81">
                  <c:v>34.426760871471195</c:v>
                </c:pt>
                <c:pt idx="82">
                  <c:v>39.748523575513154</c:v>
                </c:pt>
                <c:pt idx="83">
                  <c:v>42.381435334998571</c:v>
                </c:pt>
                <c:pt idx="84">
                  <c:v>45.121286569524457</c:v>
                </c:pt>
                <c:pt idx="85">
                  <c:v>47.726976584847648</c:v>
                </c:pt>
                <c:pt idx="86">
                  <c:v>43.693061240773623</c:v>
                </c:pt>
                <c:pt idx="87">
                  <c:v>42.126521760887307</c:v>
                </c:pt>
                <c:pt idx="88">
                  <c:v>40.053998618820209</c:v>
                </c:pt>
                <c:pt idx="89">
                  <c:v>38.033367353314866</c:v>
                </c:pt>
                <c:pt idx="90">
                  <c:v>36.702204100323222</c:v>
                </c:pt>
                <c:pt idx="91">
                  <c:v>36.132382646446985</c:v>
                </c:pt>
                <c:pt idx="92">
                  <c:v>36.089942110440774</c:v>
                </c:pt>
                <c:pt idx="93">
                  <c:v>36.766119518612854</c:v>
                </c:pt>
                <c:pt idx="94">
                  <c:v>37.104635093289041</c:v>
                </c:pt>
                <c:pt idx="95">
                  <c:v>37.262833569518456</c:v>
                </c:pt>
                <c:pt idx="96">
                  <c:v>37.574359667519815</c:v>
                </c:pt>
                <c:pt idx="97">
                  <c:v>37.365194636181627</c:v>
                </c:pt>
                <c:pt idx="98">
                  <c:v>37.284121719116854</c:v>
                </c:pt>
                <c:pt idx="99">
                  <c:v>37.226767381056625</c:v>
                </c:pt>
                <c:pt idx="100">
                  <c:v>37.32564075250982</c:v>
                </c:pt>
                <c:pt idx="101">
                  <c:v>37.328703272911454</c:v>
                </c:pt>
                <c:pt idx="102">
                  <c:v>37.465739813237221</c:v>
                </c:pt>
                <c:pt idx="103">
                  <c:v>37.675476920653203</c:v>
                </c:pt>
                <c:pt idx="104">
                  <c:v>37.608331433575415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97-4D0D-9BDD-89EB9AF1F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298196"/>
        <c:axId val="29472798"/>
      </c:lineChart>
      <c:catAx>
        <c:axId val="152981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72798"/>
        <c:crosses val="autoZero"/>
        <c:auto val="1"/>
        <c:lblAlgn val="ctr"/>
        <c:lblOffset val="100"/>
        <c:noMultiLvlLbl val="0"/>
      </c:catAx>
      <c:valAx>
        <c:axId val="29472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981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UK: reconstructed vs OBSERVED debt/GDP (back-cast)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Fiscal Arithmetic'!$I$4</c:f>
              <c:strCache>
                <c:ptCount val="1"/>
                <c:pt idx="0">
                  <c:v>d_t RATIO form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Arithmetic'!$I$5:$I$109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129.15324747487671</c:v>
                </c:pt>
                <c:pt idx="2">
                  <c:v>62.297914532656279</c:v>
                </c:pt>
                <c:pt idx="3">
                  <c:v>39.552880481513327</c:v>
                </c:pt>
                <c:pt idx="4">
                  <c:v>30.169475876639162</c:v>
                </c:pt>
                <c:pt idx="5">
                  <c:v>28.880685100077852</c:v>
                </c:pt>
                <c:pt idx="6">
                  <c:v>29.296667116065535</c:v>
                </c:pt>
                <c:pt idx="7">
                  <c:v>28.481454151088592</c:v>
                </c:pt>
                <c:pt idx="8">
                  <c:v>29.160169728701774</c:v>
                </c:pt>
                <c:pt idx="9">
                  <c:v>28.482910253847695</c:v>
                </c:pt>
                <c:pt idx="10">
                  <c:v>28.980577628805886</c:v>
                </c:pt>
                <c:pt idx="11">
                  <c:v>29.103253872528427</c:v>
                </c:pt>
                <c:pt idx="12">
                  <c:v>30.862699075709454</c:v>
                </c:pt>
                <c:pt idx="13">
                  <c:v>30.554213038671108</c:v>
                </c:pt>
                <c:pt idx="14">
                  <c:v>30.653912026946056</c:v>
                </c:pt>
                <c:pt idx="15">
                  <c:v>30.820480748051814</c:v>
                </c:pt>
                <c:pt idx="16">
                  <c:v>32.047473984199627</c:v>
                </c:pt>
                <c:pt idx="17">
                  <c:v>31.620683131831271</c:v>
                </c:pt>
                <c:pt idx="18">
                  <c:v>33.177292603360918</c:v>
                </c:pt>
                <c:pt idx="19">
                  <c:v>33.427127716812699</c:v>
                </c:pt>
                <c:pt idx="20">
                  <c:v>34.947251351210831</c:v>
                </c:pt>
                <c:pt idx="21">
                  <c:v>34.275761852988289</c:v>
                </c:pt>
                <c:pt idx="22">
                  <c:v>34.719344022264984</c:v>
                </c:pt>
                <c:pt idx="23">
                  <c:v>34.917417021464132</c:v>
                </c:pt>
                <c:pt idx="24">
                  <c:v>35.881016127572515</c:v>
                </c:pt>
                <c:pt idx="25">
                  <c:v>35.070101579699511</c:v>
                </c:pt>
                <c:pt idx="26">
                  <c:v>36.037909108235013</c:v>
                </c:pt>
                <c:pt idx="27">
                  <c:v>35.88031596017462</c:v>
                </c:pt>
                <c:pt idx="28">
                  <c:v>36.466226455942852</c:v>
                </c:pt>
                <c:pt idx="29">
                  <c:v>35.819529005318728</c:v>
                </c:pt>
                <c:pt idx="30">
                  <c:v>36.416875442657954</c:v>
                </c:pt>
                <c:pt idx="31">
                  <c:v>36.099056332805873</c:v>
                </c:pt>
                <c:pt idx="32">
                  <c:v>37.036106175756203</c:v>
                </c:pt>
                <c:pt idx="33">
                  <c:v>36.06369132735621</c:v>
                </c:pt>
                <c:pt idx="34">
                  <c:v>37.801312872792693</c:v>
                </c:pt>
                <c:pt idx="35">
                  <c:v>42.60818112104802</c:v>
                </c:pt>
                <c:pt idx="36">
                  <c:v>46.803897349734775</c:v>
                </c:pt>
                <c:pt idx="37">
                  <c:v>49.438665156040784</c:v>
                </c:pt>
                <c:pt idx="38">
                  <c:v>53.821401877446583</c:v>
                </c:pt>
                <c:pt idx="39">
                  <c:v>55.970791857541428</c:v>
                </c:pt>
                <c:pt idx="40">
                  <c:v>61.472164062575153</c:v>
                </c:pt>
                <c:pt idx="41">
                  <c:v>65.565049663340474</c:v>
                </c:pt>
                <c:pt idx="42">
                  <c:v>67.535354736074055</c:v>
                </c:pt>
                <c:pt idx="43">
                  <c:v>69.331178673882263</c:v>
                </c:pt>
                <c:pt idx="44">
                  <c:v>71.325175342345375</c:v>
                </c:pt>
                <c:pt idx="45">
                  <c:v>71.513626567553985</c:v>
                </c:pt>
                <c:pt idx="46">
                  <c:v>73.109642583859724</c:v>
                </c:pt>
                <c:pt idx="47">
                  <c:v>73.560335948262164</c:v>
                </c:pt>
                <c:pt idx="48">
                  <c:v>74.888693939021934</c:v>
                </c:pt>
                <c:pt idx="49">
                  <c:v>75.062035847166527</c:v>
                </c:pt>
                <c:pt idx="50">
                  <c:v>76.213937798887599</c:v>
                </c:pt>
                <c:pt idx="51">
                  <c:v>76.637841844648065</c:v>
                </c:pt>
                <c:pt idx="52">
                  <c:v>78.660260624914329</c:v>
                </c:pt>
                <c:pt idx="53">
                  <c:v>78.73929524238757</c:v>
                </c:pt>
                <c:pt idx="54">
                  <c:v>79.776441035809498</c:v>
                </c:pt>
                <c:pt idx="55">
                  <c:v>79.990550784166231</c:v>
                </c:pt>
                <c:pt idx="56">
                  <c:v>81.192931307404038</c:v>
                </c:pt>
                <c:pt idx="57">
                  <c:v>80.736424941814079</c:v>
                </c:pt>
                <c:pt idx="58">
                  <c:v>81.818613830235279</c:v>
                </c:pt>
                <c:pt idx="59">
                  <c:v>81.649405359984939</c:v>
                </c:pt>
                <c:pt idx="60">
                  <c:v>82.706422067276563</c:v>
                </c:pt>
                <c:pt idx="61">
                  <c:v>82.006975269499065</c:v>
                </c:pt>
                <c:pt idx="62">
                  <c:v>82.737538113852594</c:v>
                </c:pt>
                <c:pt idx="63">
                  <c:v>82.659511716405049</c:v>
                </c:pt>
                <c:pt idx="64">
                  <c:v>83.137276869071641</c:v>
                </c:pt>
                <c:pt idx="65">
                  <c:v>82.104595592398809</c:v>
                </c:pt>
                <c:pt idx="66">
                  <c:v>82.639653362362637</c:v>
                </c:pt>
                <c:pt idx="67">
                  <c:v>82.174529679853848</c:v>
                </c:pt>
                <c:pt idx="68">
                  <c:v>84.329506598063105</c:v>
                </c:pt>
                <c:pt idx="69">
                  <c:v>84.482390755571672</c:v>
                </c:pt>
                <c:pt idx="70">
                  <c:v>85.205433166973165</c:v>
                </c:pt>
                <c:pt idx="71">
                  <c:v>85.479560335748872</c:v>
                </c:pt>
                <c:pt idx="72">
                  <c:v>83.186233979998306</c:v>
                </c:pt>
                <c:pt idx="73">
                  <c:v>83.108006840406432</c:v>
                </c:pt>
                <c:pt idx="74">
                  <c:v>83.399635082668681</c:v>
                </c:pt>
                <c:pt idx="75">
                  <c:v>82.430399302565576</c:v>
                </c:pt>
                <c:pt idx="76">
                  <c:v>82.825288191571133</c:v>
                </c:pt>
                <c:pt idx="77">
                  <c:v>81.081821419114505</c:v>
                </c:pt>
                <c:pt idx="78">
                  <c:v>81.817342906359016</c:v>
                </c:pt>
                <c:pt idx="79">
                  <c:v>80.969230348951399</c:v>
                </c:pt>
                <c:pt idx="80">
                  <c:v>81.5593345823563</c:v>
                </c:pt>
                <c:pt idx="81">
                  <c:v>80.404119482345877</c:v>
                </c:pt>
                <c:pt idx="82">
                  <c:v>92.923169008718531</c:v>
                </c:pt>
                <c:pt idx="83">
                  <c:v>96.168058446381536</c:v>
                </c:pt>
                <c:pt idx="84">
                  <c:v>101.30746639557212</c:v>
                </c:pt>
                <c:pt idx="85">
                  <c:v>102.11464644621982</c:v>
                </c:pt>
                <c:pt idx="86">
                  <c:v>100.88998439999838</c:v>
                </c:pt>
                <c:pt idx="87">
                  <c:v>99.045371955980031</c:v>
                </c:pt>
                <c:pt idx="88">
                  <c:v>101.81034438219758</c:v>
                </c:pt>
                <c:pt idx="89">
                  <c:v>99.17727187519526</c:v>
                </c:pt>
                <c:pt idx="90">
                  <c:v>98.480991897919793</c:v>
                </c:pt>
                <c:pt idx="91">
                  <c:v>96.943722023258871</c:v>
                </c:pt>
                <c:pt idx="92">
                  <c:v>96.913964592093834</c:v>
                </c:pt>
                <c:pt idx="93">
                  <c:v>96.525425946171012</c:v>
                </c:pt>
                <c:pt idx="94">
                  <c:v>97.132825343243084</c:v>
                </c:pt>
                <c:pt idx="95">
                  <c:v>95.586298894258036</c:v>
                </c:pt>
                <c:pt idx="96">
                  <c:v>97.948378076306511</c:v>
                </c:pt>
                <c:pt idx="97">
                  <c:v>96.654973487903561</c:v>
                </c:pt>
                <c:pt idx="98">
                  <c:v>97.296199573177901</c:v>
                </c:pt>
                <c:pt idx="99">
                  <c:v>96.979799098704689</c:v>
                </c:pt>
                <c:pt idx="100">
                  <c:v>97.370033796262334</c:v>
                </c:pt>
                <c:pt idx="101">
                  <c:v>95.600658651999353</c:v>
                </c:pt>
                <c:pt idx="102">
                  <c:v>96.424499139691449</c:v>
                </c:pt>
                <c:pt idx="103">
                  <c:v>96.831585696152757</c:v>
                </c:pt>
                <c:pt idx="104">
                  <c:v>96.241242609448264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56-4AB7-9BA4-4E97B23A5641}"/>
            </c:ext>
          </c:extLst>
        </c:ser>
        <c:ser>
          <c:idx val="1"/>
          <c:order val="1"/>
          <c:tx>
            <c:strRef>
              <c:f>'UK Fiscal Arithmetic'!$L$4</c:f>
              <c:strCache>
                <c:ptCount val="1"/>
                <c:pt idx="0">
                  <c:v>OBSERVED d_t (% GDP)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Arithmetic'!$L$5:$L$109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129.15324747487671</c:v>
                </c:pt>
                <c:pt idx="2">
                  <c:v>62.297914532656286</c:v>
                </c:pt>
                <c:pt idx="3">
                  <c:v>39.552880481513327</c:v>
                </c:pt>
                <c:pt idx="4">
                  <c:v>30.169475876639158</c:v>
                </c:pt>
                <c:pt idx="5">
                  <c:v>28.880685100077852</c:v>
                </c:pt>
                <c:pt idx="6">
                  <c:v>29.296667116065535</c:v>
                </c:pt>
                <c:pt idx="7">
                  <c:v>28.481454151088588</c:v>
                </c:pt>
                <c:pt idx="8">
                  <c:v>29.160169728701778</c:v>
                </c:pt>
                <c:pt idx="9">
                  <c:v>28.482910253847692</c:v>
                </c:pt>
                <c:pt idx="10">
                  <c:v>28.980577628805889</c:v>
                </c:pt>
                <c:pt idx="11">
                  <c:v>29.103253872528427</c:v>
                </c:pt>
                <c:pt idx="12">
                  <c:v>30.862699075709457</c:v>
                </c:pt>
                <c:pt idx="13">
                  <c:v>30.554213038671108</c:v>
                </c:pt>
                <c:pt idx="14">
                  <c:v>30.653912026946053</c:v>
                </c:pt>
                <c:pt idx="15">
                  <c:v>30.820480748051814</c:v>
                </c:pt>
                <c:pt idx="16">
                  <c:v>32.047473984199627</c:v>
                </c:pt>
                <c:pt idx="17">
                  <c:v>31.620683131831278</c:v>
                </c:pt>
                <c:pt idx="18">
                  <c:v>33.177292603360918</c:v>
                </c:pt>
                <c:pt idx="19">
                  <c:v>33.427127716812699</c:v>
                </c:pt>
                <c:pt idx="20">
                  <c:v>34.947251351210831</c:v>
                </c:pt>
                <c:pt idx="21">
                  <c:v>34.275761852988289</c:v>
                </c:pt>
                <c:pt idx="22">
                  <c:v>34.719344022264984</c:v>
                </c:pt>
                <c:pt idx="23">
                  <c:v>34.917417021464132</c:v>
                </c:pt>
                <c:pt idx="24">
                  <c:v>35.881016127572515</c:v>
                </c:pt>
                <c:pt idx="25">
                  <c:v>35.070101579699511</c:v>
                </c:pt>
                <c:pt idx="26">
                  <c:v>36.037909108235006</c:v>
                </c:pt>
                <c:pt idx="27">
                  <c:v>35.880315960174627</c:v>
                </c:pt>
                <c:pt idx="28">
                  <c:v>36.466226455942845</c:v>
                </c:pt>
                <c:pt idx="29">
                  <c:v>35.819529005318721</c:v>
                </c:pt>
                <c:pt idx="30">
                  <c:v>36.416875442657954</c:v>
                </c:pt>
                <c:pt idx="31">
                  <c:v>36.09905633280588</c:v>
                </c:pt>
                <c:pt idx="32">
                  <c:v>37.036106175756203</c:v>
                </c:pt>
                <c:pt idx="33">
                  <c:v>36.063691327356203</c:v>
                </c:pt>
                <c:pt idx="34">
                  <c:v>37.801312872792693</c:v>
                </c:pt>
                <c:pt idx="35">
                  <c:v>42.60818112104802</c:v>
                </c:pt>
                <c:pt idx="36">
                  <c:v>46.803897349734775</c:v>
                </c:pt>
                <c:pt idx="37">
                  <c:v>49.438665156040784</c:v>
                </c:pt>
                <c:pt idx="38">
                  <c:v>53.821401877446569</c:v>
                </c:pt>
                <c:pt idx="39">
                  <c:v>55.970791857541421</c:v>
                </c:pt>
                <c:pt idx="40">
                  <c:v>61.472164062575146</c:v>
                </c:pt>
                <c:pt idx="41">
                  <c:v>65.565049663340474</c:v>
                </c:pt>
                <c:pt idx="42">
                  <c:v>67.535354736074041</c:v>
                </c:pt>
                <c:pt idx="43">
                  <c:v>69.331178673882278</c:v>
                </c:pt>
                <c:pt idx="44">
                  <c:v>71.325175342345375</c:v>
                </c:pt>
                <c:pt idx="45">
                  <c:v>71.51362656755397</c:v>
                </c:pt>
                <c:pt idx="46">
                  <c:v>73.109642583859724</c:v>
                </c:pt>
                <c:pt idx="47">
                  <c:v>73.560335948262178</c:v>
                </c:pt>
                <c:pt idx="48">
                  <c:v>74.888693939021948</c:v>
                </c:pt>
                <c:pt idx="49">
                  <c:v>75.062035847166527</c:v>
                </c:pt>
                <c:pt idx="50">
                  <c:v>76.213937798887599</c:v>
                </c:pt>
                <c:pt idx="51">
                  <c:v>76.637841844648079</c:v>
                </c:pt>
                <c:pt idx="52">
                  <c:v>78.660260624914329</c:v>
                </c:pt>
                <c:pt idx="53">
                  <c:v>78.739295242387584</c:v>
                </c:pt>
                <c:pt idx="54">
                  <c:v>79.776441035809498</c:v>
                </c:pt>
                <c:pt idx="55">
                  <c:v>79.990550784166231</c:v>
                </c:pt>
                <c:pt idx="56">
                  <c:v>81.192931307404066</c:v>
                </c:pt>
                <c:pt idx="57">
                  <c:v>80.736424941814079</c:v>
                </c:pt>
                <c:pt idx="58">
                  <c:v>81.81861383023525</c:v>
                </c:pt>
                <c:pt idx="59">
                  <c:v>81.649405359984939</c:v>
                </c:pt>
                <c:pt idx="60">
                  <c:v>82.706422067276563</c:v>
                </c:pt>
                <c:pt idx="61">
                  <c:v>82.006975269499051</c:v>
                </c:pt>
                <c:pt idx="62">
                  <c:v>82.737538113852594</c:v>
                </c:pt>
                <c:pt idx="63">
                  <c:v>82.659511716405049</c:v>
                </c:pt>
                <c:pt idx="64">
                  <c:v>83.137276869071627</c:v>
                </c:pt>
                <c:pt idx="65">
                  <c:v>82.104595592398809</c:v>
                </c:pt>
                <c:pt idx="66">
                  <c:v>82.639653362362637</c:v>
                </c:pt>
                <c:pt idx="67">
                  <c:v>82.174529679853848</c:v>
                </c:pt>
                <c:pt idx="68">
                  <c:v>84.329506598063105</c:v>
                </c:pt>
                <c:pt idx="69">
                  <c:v>84.482390755571672</c:v>
                </c:pt>
                <c:pt idx="70">
                  <c:v>85.205433166973151</c:v>
                </c:pt>
                <c:pt idx="71">
                  <c:v>85.479560335748872</c:v>
                </c:pt>
                <c:pt idx="72">
                  <c:v>83.186233979998306</c:v>
                </c:pt>
                <c:pt idx="73">
                  <c:v>83.108006840406432</c:v>
                </c:pt>
                <c:pt idx="74">
                  <c:v>83.399635082668681</c:v>
                </c:pt>
                <c:pt idx="75">
                  <c:v>82.430399302565576</c:v>
                </c:pt>
                <c:pt idx="76">
                  <c:v>82.825288191571119</c:v>
                </c:pt>
                <c:pt idx="77">
                  <c:v>81.08182141911449</c:v>
                </c:pt>
                <c:pt idx="78">
                  <c:v>81.817342906359016</c:v>
                </c:pt>
                <c:pt idx="79">
                  <c:v>80.969230348951413</c:v>
                </c:pt>
                <c:pt idx="80">
                  <c:v>81.559334582356286</c:v>
                </c:pt>
                <c:pt idx="81">
                  <c:v>80.404119482345891</c:v>
                </c:pt>
                <c:pt idx="82">
                  <c:v>92.923169008718546</c:v>
                </c:pt>
                <c:pt idx="83">
                  <c:v>96.168058446381536</c:v>
                </c:pt>
                <c:pt idx="84">
                  <c:v>101.30746639557212</c:v>
                </c:pt>
                <c:pt idx="85">
                  <c:v>102.11464644621982</c:v>
                </c:pt>
                <c:pt idx="86">
                  <c:v>100.88998439999837</c:v>
                </c:pt>
                <c:pt idx="87">
                  <c:v>99.045371955980031</c:v>
                </c:pt>
                <c:pt idx="88">
                  <c:v>101.81034438219758</c:v>
                </c:pt>
                <c:pt idx="89">
                  <c:v>99.177271875195274</c:v>
                </c:pt>
                <c:pt idx="90">
                  <c:v>98.480991897919793</c:v>
                </c:pt>
                <c:pt idx="91">
                  <c:v>96.943722023258871</c:v>
                </c:pt>
                <c:pt idx="92">
                  <c:v>96.913964592093834</c:v>
                </c:pt>
                <c:pt idx="93">
                  <c:v>96.525425946171012</c:v>
                </c:pt>
                <c:pt idx="94">
                  <c:v>97.132825343243084</c:v>
                </c:pt>
                <c:pt idx="95">
                  <c:v>95.58629889425805</c:v>
                </c:pt>
                <c:pt idx="96">
                  <c:v>97.948378076306497</c:v>
                </c:pt>
                <c:pt idx="97">
                  <c:v>96.654973487903547</c:v>
                </c:pt>
                <c:pt idx="98">
                  <c:v>97.296199573177901</c:v>
                </c:pt>
                <c:pt idx="99">
                  <c:v>96.979799098704675</c:v>
                </c:pt>
                <c:pt idx="100">
                  <c:v>97.370033796262348</c:v>
                </c:pt>
                <c:pt idx="101">
                  <c:v>95.600658651999353</c:v>
                </c:pt>
                <c:pt idx="102">
                  <c:v>96.424499139691449</c:v>
                </c:pt>
                <c:pt idx="103">
                  <c:v>96.831585696152757</c:v>
                </c:pt>
                <c:pt idx="104">
                  <c:v>96.241242609448264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56-4AB7-9BA4-4E97B23A5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725421"/>
        <c:axId val="32491062"/>
      </c:lineChart>
      <c:catAx>
        <c:axId val="327254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91062"/>
        <c:crosses val="autoZero"/>
        <c:auto val="1"/>
        <c:lblAlgn val="ctr"/>
        <c:lblOffset val="100"/>
        <c:noMultiLvlLbl val="0"/>
      </c:catAx>
      <c:valAx>
        <c:axId val="32491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25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UK: debt service DSVC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Fiscal Arithmetic'!$C$4</c:f>
              <c:strCache>
                <c:ptCount val="1"/>
                <c:pt idx="0">
                  <c:v>DSVC = interest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Arithmetic'!$C$5:$C$109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11.611728708723419</c:v>
                </c:pt>
                <c:pt idx="2">
                  <c:v>12.876575117619748</c:v>
                </c:pt>
                <c:pt idx="3">
                  <c:v>6.1299106540734236</c:v>
                </c:pt>
                <c:pt idx="4">
                  <c:v>4.4033764063313665</c:v>
                </c:pt>
                <c:pt idx="5">
                  <c:v>3.0243700209728996</c:v>
                </c:pt>
                <c:pt idx="6">
                  <c:v>2.9167698119705956</c:v>
                </c:pt>
                <c:pt idx="7">
                  <c:v>2.699231527932505</c:v>
                </c:pt>
                <c:pt idx="8">
                  <c:v>2.8727135209693171</c:v>
                </c:pt>
                <c:pt idx="9">
                  <c:v>2.564008962732347</c:v>
                </c:pt>
                <c:pt idx="10">
                  <c:v>2.7631696843962588</c:v>
                </c:pt>
                <c:pt idx="11">
                  <c:v>2.3331458840059001</c:v>
                </c:pt>
                <c:pt idx="12">
                  <c:v>2.8605212158993885</c:v>
                </c:pt>
                <c:pt idx="13">
                  <c:v>2.4814045332257426</c:v>
                </c:pt>
                <c:pt idx="14">
                  <c:v>2.7727203511582799</c:v>
                </c:pt>
                <c:pt idx="15">
                  <c:v>2.4990081357360121</c:v>
                </c:pt>
                <c:pt idx="16">
                  <c:v>2.8511758246528474</c:v>
                </c:pt>
                <c:pt idx="17">
                  <c:v>2.4620951095523016</c:v>
                </c:pt>
                <c:pt idx="18">
                  <c:v>2.7338406192494524</c:v>
                </c:pt>
                <c:pt idx="19">
                  <c:v>2.6612785057107824</c:v>
                </c:pt>
                <c:pt idx="20">
                  <c:v>2.9977570244666731</c:v>
                </c:pt>
                <c:pt idx="21">
                  <c:v>2.7795045447250222</c:v>
                </c:pt>
                <c:pt idx="22">
                  <c:v>2.9217316807988807</c:v>
                </c:pt>
                <c:pt idx="23">
                  <c:v>2.7115272183372126</c:v>
                </c:pt>
                <c:pt idx="24">
                  <c:v>3.0341234124423915</c:v>
                </c:pt>
                <c:pt idx="25">
                  <c:v>2.6920382626319355</c:v>
                </c:pt>
                <c:pt idx="26">
                  <c:v>2.8660011727486916</c:v>
                </c:pt>
                <c:pt idx="27">
                  <c:v>2.756900046779978</c:v>
                </c:pt>
                <c:pt idx="28">
                  <c:v>3.147564125976432</c:v>
                </c:pt>
                <c:pt idx="29">
                  <c:v>2.9665512015587789</c:v>
                </c:pt>
                <c:pt idx="30">
                  <c:v>3.1193509115842577</c:v>
                </c:pt>
                <c:pt idx="31">
                  <c:v>2.9022505523314197</c:v>
                </c:pt>
                <c:pt idx="32">
                  <c:v>3.7670964608563504</c:v>
                </c:pt>
                <c:pt idx="33">
                  <c:v>3.2003010835010492</c:v>
                </c:pt>
                <c:pt idx="34">
                  <c:v>3.551688641653945</c:v>
                </c:pt>
                <c:pt idx="35">
                  <c:v>3.369551455076532</c:v>
                </c:pt>
                <c:pt idx="36">
                  <c:v>9.7275753493032706</c:v>
                </c:pt>
                <c:pt idx="37">
                  <c:v>5.9237918459234926</c:v>
                </c:pt>
                <c:pt idx="38">
                  <c:v>6.3692475425114745</c:v>
                </c:pt>
                <c:pt idx="39">
                  <c:v>4.4027515613717263</c:v>
                </c:pt>
                <c:pt idx="40">
                  <c:v>5.6497650821351444</c:v>
                </c:pt>
                <c:pt idx="41">
                  <c:v>5.568534152449172</c:v>
                </c:pt>
                <c:pt idx="42">
                  <c:v>6.1601422670364521</c:v>
                </c:pt>
                <c:pt idx="43">
                  <c:v>5.3899295750602905</c:v>
                </c:pt>
                <c:pt idx="44">
                  <c:v>6.0292883360266583</c:v>
                </c:pt>
                <c:pt idx="45">
                  <c:v>5.7117076639442423</c:v>
                </c:pt>
                <c:pt idx="46">
                  <c:v>6.3163537167871926</c:v>
                </c:pt>
                <c:pt idx="47">
                  <c:v>5.5278645043538202</c:v>
                </c:pt>
                <c:pt idx="48">
                  <c:v>6.2263505420632246</c:v>
                </c:pt>
                <c:pt idx="49">
                  <c:v>5.2049618400606015</c:v>
                </c:pt>
                <c:pt idx="50">
                  <c:v>6.1171005852707934</c:v>
                </c:pt>
                <c:pt idx="51">
                  <c:v>4.8184742443442126</c:v>
                </c:pt>
                <c:pt idx="52">
                  <c:v>5.7420122805569171</c:v>
                </c:pt>
                <c:pt idx="53">
                  <c:v>4.8600575707378955</c:v>
                </c:pt>
                <c:pt idx="54">
                  <c:v>5.6421183187298887</c:v>
                </c:pt>
                <c:pt idx="55">
                  <c:v>4.4401294276723853</c:v>
                </c:pt>
                <c:pt idx="56">
                  <c:v>5.131738005797251</c:v>
                </c:pt>
                <c:pt idx="57">
                  <c:v>3.9370131554235939</c:v>
                </c:pt>
                <c:pt idx="58">
                  <c:v>4.6738825318447752</c:v>
                </c:pt>
                <c:pt idx="59">
                  <c:v>3.4711324331956672</c:v>
                </c:pt>
                <c:pt idx="60">
                  <c:v>3.847591372205116</c:v>
                </c:pt>
                <c:pt idx="61">
                  <c:v>2.7111579005752331</c:v>
                </c:pt>
                <c:pt idx="62">
                  <c:v>3.9579370112027061</c:v>
                </c:pt>
                <c:pt idx="63">
                  <c:v>3.3657120834349263</c:v>
                </c:pt>
                <c:pt idx="64">
                  <c:v>3.5838783936858256</c:v>
                </c:pt>
                <c:pt idx="65">
                  <c:v>3.1136671064970414</c:v>
                </c:pt>
                <c:pt idx="66">
                  <c:v>3.8899561628378643</c:v>
                </c:pt>
                <c:pt idx="67">
                  <c:v>3.5477917358306148</c:v>
                </c:pt>
                <c:pt idx="68">
                  <c:v>3.4563050170004965</c:v>
                </c:pt>
                <c:pt idx="69">
                  <c:v>3.0792790141438728</c:v>
                </c:pt>
                <c:pt idx="70">
                  <c:v>4.183861670617719</c:v>
                </c:pt>
                <c:pt idx="71">
                  <c:v>3.4218494170090521</c:v>
                </c:pt>
                <c:pt idx="72">
                  <c:v>3.6349176894732658</c:v>
                </c:pt>
                <c:pt idx="73">
                  <c:v>2.9690705132789947</c:v>
                </c:pt>
                <c:pt idx="74">
                  <c:v>3.6721087013771112</c:v>
                </c:pt>
                <c:pt idx="75">
                  <c:v>3.2701990739309021</c:v>
                </c:pt>
                <c:pt idx="76">
                  <c:v>3.5833572016464732</c:v>
                </c:pt>
                <c:pt idx="77">
                  <c:v>2.4034345831727344</c:v>
                </c:pt>
                <c:pt idx="78">
                  <c:v>3.9461645924451467</c:v>
                </c:pt>
                <c:pt idx="79">
                  <c:v>2.7647901799284922</c:v>
                </c:pt>
                <c:pt idx="80">
                  <c:v>2.8960830686980032</c:v>
                </c:pt>
                <c:pt idx="81">
                  <c:v>2.4644900644085719</c:v>
                </c:pt>
                <c:pt idx="82">
                  <c:v>2.6720487862334399</c:v>
                </c:pt>
                <c:pt idx="83">
                  <c:v>2.5550658366436023</c:v>
                </c:pt>
                <c:pt idx="84">
                  <c:v>2.210982215648853</c:v>
                </c:pt>
                <c:pt idx="85">
                  <c:v>2.3146579313980196</c:v>
                </c:pt>
                <c:pt idx="86">
                  <c:v>4.0650641491875508</c:v>
                </c:pt>
                <c:pt idx="87">
                  <c:v>3.3403316485089776</c:v>
                </c:pt>
                <c:pt idx="88">
                  <c:v>3.9965334562654413</c:v>
                </c:pt>
                <c:pt idx="89">
                  <c:v>3.9189684894680732</c:v>
                </c:pt>
                <c:pt idx="90">
                  <c:v>6.86259398887755</c:v>
                </c:pt>
                <c:pt idx="91">
                  <c:v>5.2113450232572482</c:v>
                </c:pt>
                <c:pt idx="92">
                  <c:v>6.9156203239867287</c:v>
                </c:pt>
                <c:pt idx="93">
                  <c:v>5.1649218950083853</c:v>
                </c:pt>
                <c:pt idx="94">
                  <c:v>7.3208402015980258</c:v>
                </c:pt>
                <c:pt idx="95">
                  <c:v>4.9566615837889687</c:v>
                </c:pt>
                <c:pt idx="96">
                  <c:v>5.6576012845931238</c:v>
                </c:pt>
                <c:pt idx="97">
                  <c:v>4.756838618628831</c:v>
                </c:pt>
                <c:pt idx="98">
                  <c:v>5.9432587510792523</c:v>
                </c:pt>
                <c:pt idx="99">
                  <c:v>4.2516896525924635</c:v>
                </c:pt>
                <c:pt idx="100">
                  <c:v>4.4537985044053752</c:v>
                </c:pt>
                <c:pt idx="101">
                  <c:v>3.8834575388629351</c:v>
                </c:pt>
                <c:pt idx="102">
                  <c:v>5.9333215400404447</c:v>
                </c:pt>
                <c:pt idx="103">
                  <c:v>4.4836248832774643</c:v>
                </c:pt>
                <c:pt idx="104">
                  <c:v>3.8142351803701824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34-4BAC-BC81-82E743865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528454"/>
        <c:axId val="67856652"/>
      </c:lineChart>
      <c:catAx>
        <c:axId val="11528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856652"/>
        <c:crosses val="autoZero"/>
        <c:auto val="1"/>
        <c:lblAlgn val="ctr"/>
        <c:lblOffset val="100"/>
        <c:noMultiLvlLbl val="0"/>
      </c:catAx>
      <c:valAx>
        <c:axId val="67856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28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UK: effective interest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Fiscal Arithmetic'!$D$4</c:f>
              <c:strCache>
                <c:ptCount val="1"/>
                <c:pt idx="0">
                  <c:v>i_eff (% p.a.)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Fiscal Arithmetic'!$A$6:$A$109</c:f>
              <c:strCache>
                <c:ptCount val="104"/>
                <c:pt idx="0">
                  <c:v>2000-Q1</c:v>
                </c:pt>
                <c:pt idx="1">
                  <c:v>2000-Q2</c:v>
                </c:pt>
                <c:pt idx="2">
                  <c:v>2000-Q3</c:v>
                </c:pt>
                <c:pt idx="3">
                  <c:v>2000-Q4</c:v>
                </c:pt>
                <c:pt idx="4">
                  <c:v>2001-Q1</c:v>
                </c:pt>
                <c:pt idx="5">
                  <c:v>2001-Q2</c:v>
                </c:pt>
                <c:pt idx="6">
                  <c:v>2001-Q3</c:v>
                </c:pt>
                <c:pt idx="7">
                  <c:v>2001-Q4</c:v>
                </c:pt>
                <c:pt idx="8">
                  <c:v>2002-Q1</c:v>
                </c:pt>
                <c:pt idx="9">
                  <c:v>2002-Q2</c:v>
                </c:pt>
                <c:pt idx="10">
                  <c:v>2002-Q3</c:v>
                </c:pt>
                <c:pt idx="11">
                  <c:v>2002-Q4</c:v>
                </c:pt>
                <c:pt idx="12">
                  <c:v>2003-Q1</c:v>
                </c:pt>
                <c:pt idx="13">
                  <c:v>2003-Q2</c:v>
                </c:pt>
                <c:pt idx="14">
                  <c:v>2003-Q3</c:v>
                </c:pt>
                <c:pt idx="15">
                  <c:v>2003-Q4</c:v>
                </c:pt>
                <c:pt idx="16">
                  <c:v>2004-Q1</c:v>
                </c:pt>
                <c:pt idx="17">
                  <c:v>2004-Q2</c:v>
                </c:pt>
                <c:pt idx="18">
                  <c:v>2004-Q3</c:v>
                </c:pt>
                <c:pt idx="19">
                  <c:v>2004-Q4</c:v>
                </c:pt>
                <c:pt idx="20">
                  <c:v>2005-Q1</c:v>
                </c:pt>
                <c:pt idx="21">
                  <c:v>2005-Q2</c:v>
                </c:pt>
                <c:pt idx="22">
                  <c:v>2005-Q3</c:v>
                </c:pt>
                <c:pt idx="23">
                  <c:v>2005-Q4</c:v>
                </c:pt>
                <c:pt idx="24">
                  <c:v>2006-Q1</c:v>
                </c:pt>
                <c:pt idx="25">
                  <c:v>2006-Q2</c:v>
                </c:pt>
                <c:pt idx="26">
                  <c:v>2006-Q3</c:v>
                </c:pt>
                <c:pt idx="27">
                  <c:v>2006-Q4</c:v>
                </c:pt>
                <c:pt idx="28">
                  <c:v>2007-Q1</c:v>
                </c:pt>
                <c:pt idx="29">
                  <c:v>2007-Q2</c:v>
                </c:pt>
                <c:pt idx="30">
                  <c:v>2007-Q3</c:v>
                </c:pt>
                <c:pt idx="31">
                  <c:v>2007-Q4</c:v>
                </c:pt>
                <c:pt idx="32">
                  <c:v>2008-Q1</c:v>
                </c:pt>
                <c:pt idx="33">
                  <c:v>2008-Q2</c:v>
                </c:pt>
                <c:pt idx="34">
                  <c:v>2008-Q3</c:v>
                </c:pt>
                <c:pt idx="35">
                  <c:v>2008-Q4</c:v>
                </c:pt>
                <c:pt idx="36">
                  <c:v>2009-Q1</c:v>
                </c:pt>
                <c:pt idx="37">
                  <c:v>2009-Q2</c:v>
                </c:pt>
                <c:pt idx="38">
                  <c:v>2009-Q3</c:v>
                </c:pt>
                <c:pt idx="39">
                  <c:v>2009-Q4</c:v>
                </c:pt>
                <c:pt idx="40">
                  <c:v>2010-Q1</c:v>
                </c:pt>
                <c:pt idx="41">
                  <c:v>2010-Q2</c:v>
                </c:pt>
                <c:pt idx="42">
                  <c:v>2010-Q3</c:v>
                </c:pt>
                <c:pt idx="43">
                  <c:v>2010-Q4</c:v>
                </c:pt>
                <c:pt idx="44">
                  <c:v>2011-Q1</c:v>
                </c:pt>
                <c:pt idx="45">
                  <c:v>2011-Q2</c:v>
                </c:pt>
                <c:pt idx="46">
                  <c:v>2011-Q3</c:v>
                </c:pt>
                <c:pt idx="47">
                  <c:v>2011-Q4</c:v>
                </c:pt>
                <c:pt idx="48">
                  <c:v>2012-Q1</c:v>
                </c:pt>
                <c:pt idx="49">
                  <c:v>2012-Q2</c:v>
                </c:pt>
                <c:pt idx="50">
                  <c:v>2012-Q3</c:v>
                </c:pt>
                <c:pt idx="51">
                  <c:v>2012-Q4</c:v>
                </c:pt>
                <c:pt idx="52">
                  <c:v>2013-Q1</c:v>
                </c:pt>
                <c:pt idx="53">
                  <c:v>2013-Q2</c:v>
                </c:pt>
                <c:pt idx="54">
                  <c:v>2013-Q3</c:v>
                </c:pt>
                <c:pt idx="55">
                  <c:v>2013-Q4</c:v>
                </c:pt>
                <c:pt idx="56">
                  <c:v>2014-Q1</c:v>
                </c:pt>
                <c:pt idx="57">
                  <c:v>2014-Q2</c:v>
                </c:pt>
                <c:pt idx="58">
                  <c:v>2014-Q3</c:v>
                </c:pt>
                <c:pt idx="59">
                  <c:v>2014-Q4</c:v>
                </c:pt>
                <c:pt idx="60">
                  <c:v>2015-Q1</c:v>
                </c:pt>
                <c:pt idx="61">
                  <c:v>2015-Q2</c:v>
                </c:pt>
                <c:pt idx="62">
                  <c:v>2015-Q3</c:v>
                </c:pt>
                <c:pt idx="63">
                  <c:v>2015-Q4</c:v>
                </c:pt>
                <c:pt idx="64">
                  <c:v>2016-Q1</c:v>
                </c:pt>
                <c:pt idx="65">
                  <c:v>2016-Q2</c:v>
                </c:pt>
                <c:pt idx="66">
                  <c:v>2016-Q3</c:v>
                </c:pt>
                <c:pt idx="67">
                  <c:v>2016-Q4</c:v>
                </c:pt>
                <c:pt idx="68">
                  <c:v>2017-Q1</c:v>
                </c:pt>
                <c:pt idx="69">
                  <c:v>2017-Q2</c:v>
                </c:pt>
                <c:pt idx="70">
                  <c:v>2017-Q3</c:v>
                </c:pt>
                <c:pt idx="71">
                  <c:v>2017-Q4</c:v>
                </c:pt>
                <c:pt idx="72">
                  <c:v>2018-Q1</c:v>
                </c:pt>
                <c:pt idx="73">
                  <c:v>2018-Q2</c:v>
                </c:pt>
                <c:pt idx="74">
                  <c:v>2018-Q3</c:v>
                </c:pt>
                <c:pt idx="75">
                  <c:v>2018-Q4</c:v>
                </c:pt>
                <c:pt idx="76">
                  <c:v>2019-Q1</c:v>
                </c:pt>
                <c:pt idx="77">
                  <c:v>2019-Q2</c:v>
                </c:pt>
                <c:pt idx="78">
                  <c:v>2019-Q3</c:v>
                </c:pt>
                <c:pt idx="79">
                  <c:v>2019-Q4</c:v>
                </c:pt>
                <c:pt idx="80">
                  <c:v>2020-Q1</c:v>
                </c:pt>
                <c:pt idx="81">
                  <c:v>2020-Q2</c:v>
                </c:pt>
                <c:pt idx="82">
                  <c:v>2020-Q3</c:v>
                </c:pt>
                <c:pt idx="83">
                  <c:v>2020-Q4</c:v>
                </c:pt>
                <c:pt idx="84">
                  <c:v>2021-Q1</c:v>
                </c:pt>
                <c:pt idx="85">
                  <c:v>2021-Q2</c:v>
                </c:pt>
                <c:pt idx="86">
                  <c:v>2021-Q3</c:v>
                </c:pt>
                <c:pt idx="87">
                  <c:v>2021-Q4</c:v>
                </c:pt>
                <c:pt idx="88">
                  <c:v>2022-Q1</c:v>
                </c:pt>
                <c:pt idx="89">
                  <c:v>2022-Q2</c:v>
                </c:pt>
                <c:pt idx="90">
                  <c:v>2022-Q3</c:v>
                </c:pt>
                <c:pt idx="91">
                  <c:v>2022-Q4</c:v>
                </c:pt>
                <c:pt idx="92">
                  <c:v>2023-Q1</c:v>
                </c:pt>
                <c:pt idx="93">
                  <c:v>2023-Q2</c:v>
                </c:pt>
                <c:pt idx="94">
                  <c:v>2023-Q3</c:v>
                </c:pt>
                <c:pt idx="95">
                  <c:v>2023-Q4</c:v>
                </c:pt>
                <c:pt idx="96">
                  <c:v>2024-Q1</c:v>
                </c:pt>
                <c:pt idx="97">
                  <c:v>2024-Q2</c:v>
                </c:pt>
                <c:pt idx="98">
                  <c:v>2024-Q3</c:v>
                </c:pt>
                <c:pt idx="99">
                  <c:v>2024-Q4</c:v>
                </c:pt>
                <c:pt idx="100">
                  <c:v>2025-Q1</c:v>
                </c:pt>
                <c:pt idx="101">
                  <c:v>2025-Q2</c:v>
                </c:pt>
                <c:pt idx="102">
                  <c:v>2025-Q3</c:v>
                </c:pt>
                <c:pt idx="103">
                  <c:v>2025-Q4</c:v>
                </c:pt>
              </c:strCache>
            </c:strRef>
          </c:cat>
          <c:val>
            <c:numRef>
              <c:f>'UK Fiscal Arithmetic'!$D$5:$D$109</c:f>
              <c:numCache>
                <c:formatCode>0.0000</c:formatCode>
                <c:ptCount val="105"/>
                <c:pt idx="0" formatCode="General">
                  <c:v>0</c:v>
                </c:pt>
                <c:pt idx="1">
                  <c:v>8.9906594961788855</c:v>
                </c:pt>
                <c:pt idx="2">
                  <c:v>9.9699971695442962</c:v>
                </c:pt>
                <c:pt idx="3">
                  <c:v>9.839672322995904</c:v>
                </c:pt>
                <c:pt idx="4">
                  <c:v>11.132884262094302</c:v>
                </c:pt>
                <c:pt idx="5">
                  <c:v>10.024602460246024</c:v>
                </c:pt>
                <c:pt idx="6">
                  <c:v>10.099378881987578</c:v>
                </c:pt>
                <c:pt idx="7">
                  <c:v>9.2134423251589475</c:v>
                </c:pt>
                <c:pt idx="8">
                  <c:v>10.086260012322859</c:v>
                </c:pt>
                <c:pt idx="9">
                  <c:v>8.7928464977645309</c:v>
                </c:pt>
                <c:pt idx="10">
                  <c:v>9.7011494252873565</c:v>
                </c:pt>
                <c:pt idx="11">
                  <c:v>8.050722500737244</c:v>
                </c:pt>
                <c:pt idx="12">
                  <c:v>9.8288707799767163</c:v>
                </c:pt>
                <c:pt idx="13">
                  <c:v>8.0401410360726899</c:v>
                </c:pt>
                <c:pt idx="14">
                  <c:v>9.0747562296858071</c:v>
                </c:pt>
                <c:pt idx="15">
                  <c:v>8.1523302263648461</c:v>
                </c:pt>
                <c:pt idx="16">
                  <c:v>9.2509128847157012</c:v>
                </c:pt>
                <c:pt idx="17">
                  <c:v>7.6826495304003961</c:v>
                </c:pt>
                <c:pt idx="18">
                  <c:v>8.6457354758961689</c:v>
                </c:pt>
                <c:pt idx="19">
                  <c:v>8.0213854021385398</c:v>
                </c:pt>
                <c:pt idx="20">
                  <c:v>8.968036529680365</c:v>
                </c:pt>
                <c:pt idx="21">
                  <c:v>7.9534282018111258</c:v>
                </c:pt>
                <c:pt idx="22">
                  <c:v>8.5241917986548064</c:v>
                </c:pt>
                <c:pt idx="23">
                  <c:v>7.809845763786182</c:v>
                </c:pt>
                <c:pt idx="24">
                  <c:v>8.6894268570246229</c:v>
                </c:pt>
                <c:pt idx="25">
                  <c:v>7.5026812313803388</c:v>
                </c:pt>
                <c:pt idx="26">
                  <c:v>8.172206647977573</c:v>
                </c:pt>
                <c:pt idx="27">
                  <c:v>7.65</c:v>
                </c:pt>
                <c:pt idx="28">
                  <c:v>8.7723980175371707</c:v>
                </c:pt>
                <c:pt idx="29">
                  <c:v>8.1350649350649356</c:v>
                </c:pt>
                <c:pt idx="30">
                  <c:v>8.7085201793721971</c:v>
                </c:pt>
                <c:pt idx="31">
                  <c:v>7.9695210449927432</c:v>
                </c:pt>
                <c:pt idx="32">
                  <c:v>10.435443037974684</c:v>
                </c:pt>
                <c:pt idx="33">
                  <c:v>8.641030102662258</c:v>
                </c:pt>
                <c:pt idx="34">
                  <c:v>9.8483779971791261</c:v>
                </c:pt>
                <c:pt idx="35">
                  <c:v>8.9138476920513252</c:v>
                </c:pt>
                <c:pt idx="36">
                  <c:v>22.830299471520846</c:v>
                </c:pt>
                <c:pt idx="37">
                  <c:v>12.656620882784372</c:v>
                </c:pt>
                <c:pt idx="38">
                  <c:v>12.883130081300814</c:v>
                </c:pt>
                <c:pt idx="39">
                  <c:v>8.1802989290337766</c:v>
                </c:pt>
                <c:pt idx="40">
                  <c:v>10.094131054131054</c:v>
                </c:pt>
                <c:pt idx="41">
                  <c:v>9.0586271646150642</c:v>
                </c:pt>
                <c:pt idx="42">
                  <c:v>9.3954664850666401</c:v>
                </c:pt>
                <c:pt idx="43">
                  <c:v>7.9809006647317675</c:v>
                </c:pt>
                <c:pt idx="44">
                  <c:v>8.6963592013732036</c:v>
                </c:pt>
                <c:pt idx="45">
                  <c:v>8.0079826464208246</c:v>
                </c:pt>
                <c:pt idx="46">
                  <c:v>8.8323778557371444</c:v>
                </c:pt>
                <c:pt idx="47">
                  <c:v>7.5610607698063017</c:v>
                </c:pt>
                <c:pt idx="48">
                  <c:v>8.4642769256008528</c:v>
                </c:pt>
                <c:pt idx="49">
                  <c:v>6.9502638733407975</c:v>
                </c:pt>
                <c:pt idx="50">
                  <c:v>8.1493933867258743</c:v>
                </c:pt>
                <c:pt idx="51">
                  <c:v>6.3223005968529575</c:v>
                </c:pt>
                <c:pt idx="52">
                  <c:v>7.4923981969592797</c:v>
                </c:pt>
                <c:pt idx="53">
                  <c:v>6.1785424204386032</c:v>
                </c:pt>
                <c:pt idx="54">
                  <c:v>7.1655687307861218</c:v>
                </c:pt>
                <c:pt idx="55">
                  <c:v>5.5657151033841314</c:v>
                </c:pt>
                <c:pt idx="56">
                  <c:v>6.4154302670623142</c:v>
                </c:pt>
                <c:pt idx="57">
                  <c:v>4.8489604846482166</c:v>
                </c:pt>
                <c:pt idx="58">
                  <c:v>5.7890630346998835</c:v>
                </c:pt>
                <c:pt idx="59">
                  <c:v>4.2424727952466785</c:v>
                </c:pt>
                <c:pt idx="60">
                  <c:v>4.7123323865512914</c:v>
                </c:pt>
                <c:pt idx="61">
                  <c:v>3.2780500386897087</c:v>
                </c:pt>
                <c:pt idx="62">
                  <c:v>4.8263419034731623</c:v>
                </c:pt>
                <c:pt idx="63">
                  <c:v>4.0679383991380949</c:v>
                </c:pt>
                <c:pt idx="64">
                  <c:v>4.3357120303125987</c:v>
                </c:pt>
                <c:pt idx="65">
                  <c:v>3.7452118036059643</c:v>
                </c:pt>
                <c:pt idx="66">
                  <c:v>4.7378056426332291</c:v>
                </c:pt>
                <c:pt idx="67">
                  <c:v>4.2930864197530862</c:v>
                </c:pt>
                <c:pt idx="68">
                  <c:v>4.2060539080248054</c:v>
                </c:pt>
                <c:pt idx="69">
                  <c:v>3.651484679995268</c:v>
                </c:pt>
                <c:pt idx="70">
                  <c:v>4.9523476232137646</c:v>
                </c:pt>
                <c:pt idx="71">
                  <c:v>4.015999085766528</c:v>
                </c:pt>
                <c:pt idx="72">
                  <c:v>4.252382294897096</c:v>
                </c:pt>
                <c:pt idx="73">
                  <c:v>3.5691849134472085</c:v>
                </c:pt>
                <c:pt idx="74">
                  <c:v>4.4184776425076802</c:v>
                </c:pt>
                <c:pt idx="75">
                  <c:v>3.9211191639979774</c:v>
                </c:pt>
                <c:pt idx="76">
                  <c:v>4.3471307090161631</c:v>
                </c:pt>
                <c:pt idx="77">
                  <c:v>2.9018125208495498</c:v>
                </c:pt>
                <c:pt idx="78">
                  <c:v>4.8668918918918918</c:v>
                </c:pt>
                <c:pt idx="79">
                  <c:v>3.3792226460994086</c:v>
                </c:pt>
                <c:pt idx="80">
                  <c:v>3.5767699115044249</c:v>
                </c:pt>
                <c:pt idx="81">
                  <c:v>3.0217142857142858</c:v>
                </c:pt>
                <c:pt idx="82">
                  <c:v>3.3232734882696326</c:v>
                </c:pt>
                <c:pt idx="83">
                  <c:v>2.7496542185338861</c:v>
                </c:pt>
                <c:pt idx="84">
                  <c:v>2.2990816819719671</c:v>
                </c:pt>
                <c:pt idx="85">
                  <c:v>2.2847851335656215</c:v>
                </c:pt>
                <c:pt idx="86">
                  <c:v>3.9808825576539371</c:v>
                </c:pt>
                <c:pt idx="87">
                  <c:v>3.3108654623887839</c:v>
                </c:pt>
                <c:pt idx="88">
                  <c:v>4.0350532057587412</c:v>
                </c:pt>
                <c:pt idx="89">
                  <c:v>3.849283207172157</c:v>
                </c:pt>
                <c:pt idx="90">
                  <c:v>6.919522849462366</c:v>
                </c:pt>
                <c:pt idx="91">
                  <c:v>5.291726781812935</c:v>
                </c:pt>
                <c:pt idx="92">
                  <c:v>7.1336443244128001</c:v>
                </c:pt>
                <c:pt idx="93">
                  <c:v>5.329388717866709</c:v>
                </c:pt>
                <c:pt idx="94">
                  <c:v>7.5843645649184825</c:v>
                </c:pt>
                <c:pt idx="95">
                  <c:v>5.1029727244866683</c:v>
                </c:pt>
                <c:pt idx="96">
                  <c:v>5.9188412461202429</c:v>
                </c:pt>
                <c:pt idx="97">
                  <c:v>4.8564751270541962</c:v>
                </c:pt>
                <c:pt idx="98">
                  <c:v>6.1489425081918379</c:v>
                </c:pt>
                <c:pt idx="99">
                  <c:v>4.3698414442125308</c:v>
                </c:pt>
                <c:pt idx="100">
                  <c:v>4.5925012691275651</c:v>
                </c:pt>
                <c:pt idx="101">
                  <c:v>3.9883497904383036</c:v>
                </c:pt>
                <c:pt idx="102">
                  <c:v>6.2063605248146034</c:v>
                </c:pt>
                <c:pt idx="103">
                  <c:v>4.6498814339517356</c:v>
                </c:pt>
                <c:pt idx="104">
                  <c:v>3.9390402965607194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0C-4ED9-89C9-945AB1BA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662509"/>
        <c:axId val="81113870"/>
      </c:lineChart>
      <c:catAx>
        <c:axId val="77662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13870"/>
        <c:crosses val="autoZero"/>
        <c:auto val="1"/>
        <c:lblAlgn val="ctr"/>
        <c:lblOffset val="100"/>
        <c:noMultiLvlLbl val="0"/>
      </c:catAx>
      <c:valAx>
        <c:axId val="81113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62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UK: PROJECTED debt service DSVC with 16/84 band (% of GDP)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Projection'!$D$4</c:f>
              <c:strCache>
                <c:ptCount val="1"/>
                <c:pt idx="0">
                  <c:v>DSVC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Projection'!$D$5:$D$25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4.2092200000000002</c:v>
                </c:pt>
                <c:pt idx="2">
                  <c:v>3.94021</c:v>
                </c:pt>
                <c:pt idx="3">
                  <c:v>4.0022799999999998</c:v>
                </c:pt>
                <c:pt idx="4">
                  <c:v>3.82057</c:v>
                </c:pt>
                <c:pt idx="5">
                  <c:v>3.78633</c:v>
                </c:pt>
                <c:pt idx="6">
                  <c:v>3.6559599999999999</c:v>
                </c:pt>
                <c:pt idx="7">
                  <c:v>3.6224699999999999</c:v>
                </c:pt>
                <c:pt idx="8">
                  <c:v>3.5400299999999998</c:v>
                </c:pt>
                <c:pt idx="9">
                  <c:v>3.5032999999999999</c:v>
                </c:pt>
                <c:pt idx="10">
                  <c:v>3.4483999999999999</c:v>
                </c:pt>
                <c:pt idx="11">
                  <c:v>3.4173300000000002</c:v>
                </c:pt>
                <c:pt idx="12">
                  <c:v>3.3807999999999998</c:v>
                </c:pt>
                <c:pt idx="13">
                  <c:v>3.35806</c:v>
                </c:pt>
                <c:pt idx="14">
                  <c:v>3.3355700000000001</c:v>
                </c:pt>
                <c:pt idx="15">
                  <c:v>3.32186</c:v>
                </c:pt>
                <c:pt idx="16">
                  <c:v>3.3103899999999999</c:v>
                </c:pt>
                <c:pt idx="17">
                  <c:v>3.3048500000000001</c:v>
                </c:pt>
                <c:pt idx="18">
                  <c:v>3.3020299999999998</c:v>
                </c:pt>
                <c:pt idx="19">
                  <c:v>3.3034300000000001</c:v>
                </c:pt>
                <c:pt idx="20">
                  <c:v>3.30741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0A-402B-8738-71E74A388247}"/>
            </c:ext>
          </c:extLst>
        </c:ser>
        <c:ser>
          <c:idx val="1"/>
          <c:order val="1"/>
          <c:tx>
            <c:strRef>
              <c:f>'UK Projection'!$E$4</c:f>
              <c:strCache>
                <c:ptCount val="1"/>
                <c:pt idx="0">
                  <c:v>DSVC q16 (% GDP)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Projection'!$E$5:$E$25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3.2534900000000002</c:v>
                </c:pt>
                <c:pt idx="2">
                  <c:v>2.7326999999999999</c:v>
                </c:pt>
                <c:pt idx="3">
                  <c:v>2.3748800000000001</c:v>
                </c:pt>
                <c:pt idx="4">
                  <c:v>2.2110799999999999</c:v>
                </c:pt>
                <c:pt idx="5">
                  <c:v>1.81765</c:v>
                </c:pt>
                <c:pt idx="6">
                  <c:v>1.58561</c:v>
                </c:pt>
                <c:pt idx="7">
                  <c:v>1.47366</c:v>
                </c:pt>
                <c:pt idx="8">
                  <c:v>1.31501</c:v>
                </c:pt>
                <c:pt idx="9">
                  <c:v>0.89768000000000003</c:v>
                </c:pt>
                <c:pt idx="10">
                  <c:v>0.95918199999999998</c:v>
                </c:pt>
                <c:pt idx="11">
                  <c:v>0.66019300000000003</c:v>
                </c:pt>
                <c:pt idx="12">
                  <c:v>0.57455699999999998</c:v>
                </c:pt>
                <c:pt idx="13">
                  <c:v>0.24804499999999999</c:v>
                </c:pt>
                <c:pt idx="14">
                  <c:v>0.49595600000000001</c:v>
                </c:pt>
                <c:pt idx="15">
                  <c:v>0.276671</c:v>
                </c:pt>
                <c:pt idx="16">
                  <c:v>0.45074799999999998</c:v>
                </c:pt>
                <c:pt idx="17">
                  <c:v>0.22431499999999999</c:v>
                </c:pt>
                <c:pt idx="18">
                  <c:v>0.151112</c:v>
                </c:pt>
                <c:pt idx="19">
                  <c:v>0.28153</c:v>
                </c:pt>
                <c:pt idx="20">
                  <c:v>2.2350700000000001E-2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0A-402B-8738-71E74A388247}"/>
            </c:ext>
          </c:extLst>
        </c:ser>
        <c:ser>
          <c:idx val="2"/>
          <c:order val="2"/>
          <c:tx>
            <c:strRef>
              <c:f>'UK Projection'!$F$4</c:f>
              <c:strCache>
                <c:ptCount val="1"/>
                <c:pt idx="0">
                  <c:v>DSVC q84 (% GDP)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Projection'!$F$5:$F$25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5.1238099999999998</c:v>
                </c:pt>
                <c:pt idx="2">
                  <c:v>5.1005399999999996</c:v>
                </c:pt>
                <c:pt idx="3">
                  <c:v>5.3829599999999997</c:v>
                </c:pt>
                <c:pt idx="4">
                  <c:v>5.5076700000000001</c:v>
                </c:pt>
                <c:pt idx="5">
                  <c:v>5.6408899999999997</c:v>
                </c:pt>
                <c:pt idx="6">
                  <c:v>5.7897800000000004</c:v>
                </c:pt>
                <c:pt idx="7">
                  <c:v>5.8404499999999997</c:v>
                </c:pt>
                <c:pt idx="8">
                  <c:v>6.0529299999999999</c:v>
                </c:pt>
                <c:pt idx="9">
                  <c:v>6.0745300000000002</c:v>
                </c:pt>
                <c:pt idx="10">
                  <c:v>6.2089499999999997</c:v>
                </c:pt>
                <c:pt idx="11">
                  <c:v>6.1112000000000002</c:v>
                </c:pt>
                <c:pt idx="12">
                  <c:v>6.2130299999999998</c:v>
                </c:pt>
                <c:pt idx="13">
                  <c:v>6.2539199999999999</c:v>
                </c:pt>
                <c:pt idx="14">
                  <c:v>6.5429500000000003</c:v>
                </c:pt>
                <c:pt idx="15">
                  <c:v>6.4213800000000001</c:v>
                </c:pt>
                <c:pt idx="16">
                  <c:v>6.5639000000000003</c:v>
                </c:pt>
                <c:pt idx="17">
                  <c:v>6.6038199999999998</c:v>
                </c:pt>
                <c:pt idx="18">
                  <c:v>6.6108000000000002</c:v>
                </c:pt>
                <c:pt idx="19">
                  <c:v>6.96272</c:v>
                </c:pt>
                <c:pt idx="20">
                  <c:v>7.1005000000000003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00A-402B-8738-71E74A388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678278"/>
        <c:axId val="27559546"/>
      </c:lineChart>
      <c:catAx>
        <c:axId val="726782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59546"/>
        <c:crosses val="autoZero"/>
        <c:auto val="1"/>
        <c:lblAlgn val="ctr"/>
        <c:lblOffset val="100"/>
        <c:noMultiLvlLbl val="0"/>
      </c:catAx>
      <c:valAx>
        <c:axId val="27559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782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UK: PROJECTED debt/GDP (col M) ahead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Projection'!$M$4</c:f>
              <c:strCache>
                <c:ptCount val="1"/>
                <c:pt idx="0">
                  <c:v>d_t (% GDP)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Projection'!$M$5:$M$25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96.081645018042337</c:v>
                </c:pt>
                <c:pt idx="2">
                  <c:v>95.981175536225606</c:v>
                </c:pt>
                <c:pt idx="3">
                  <c:v>95.804457445852051</c:v>
                </c:pt>
                <c:pt idx="4">
                  <c:v>95.693077248797948</c:v>
                </c:pt>
                <c:pt idx="5">
                  <c:v>95.51400032150589</c:v>
                </c:pt>
                <c:pt idx="6">
                  <c:v>95.346205652879064</c:v>
                </c:pt>
                <c:pt idx="7">
                  <c:v>95.165202733594256</c:v>
                </c:pt>
                <c:pt idx="8">
                  <c:v>95.008965228135466</c:v>
                </c:pt>
                <c:pt idx="9">
                  <c:v>94.853461383607481</c:v>
                </c:pt>
                <c:pt idx="10">
                  <c:v>94.718065724883346</c:v>
                </c:pt>
                <c:pt idx="11">
                  <c:v>94.59205373001646</c:v>
                </c:pt>
                <c:pt idx="12">
                  <c:v>94.46552134772503</c:v>
                </c:pt>
                <c:pt idx="13">
                  <c:v>94.352398327304968</c:v>
                </c:pt>
                <c:pt idx="14">
                  <c:v>94.245234326411435</c:v>
                </c:pt>
                <c:pt idx="15">
                  <c:v>94.144498496335117</c:v>
                </c:pt>
                <c:pt idx="16">
                  <c:v>94.049061291803369</c:v>
                </c:pt>
                <c:pt idx="17">
                  <c:v>93.957888214670604</c:v>
                </c:pt>
                <c:pt idx="18">
                  <c:v>93.882179877964234</c:v>
                </c:pt>
                <c:pt idx="19">
                  <c:v>93.801056320581125</c:v>
                </c:pt>
                <c:pt idx="20">
                  <c:v>93.733388579438568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91-4488-A844-3A0F7C2B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880360"/>
        <c:axId val="81176472"/>
      </c:lineChart>
      <c:catAx>
        <c:axId val="6288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76472"/>
        <c:crosses val="autoZero"/>
        <c:auto val="1"/>
        <c:lblAlgn val="ctr"/>
        <c:lblOffset val="100"/>
        <c:noMultiLvlLbl val="0"/>
      </c:catAx>
      <c:valAx>
        <c:axId val="81176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80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UK: PROJECTED effective rate i_eff (% p.a.)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'UK Projection'!$K$4</c:f>
              <c:strCache>
                <c:ptCount val="1"/>
                <c:pt idx="0">
                  <c:v>i_eff (% p.a.)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'UK Projection'!$A$6:$A$25</c:f>
              <c:strCache>
                <c:ptCount val="20"/>
                <c:pt idx="0">
                  <c:v>f+1</c:v>
                </c:pt>
                <c:pt idx="1">
                  <c:v>f+2</c:v>
                </c:pt>
                <c:pt idx="2">
                  <c:v>f+3</c:v>
                </c:pt>
                <c:pt idx="3">
                  <c:v>f+4</c:v>
                </c:pt>
                <c:pt idx="4">
                  <c:v>f+5</c:v>
                </c:pt>
                <c:pt idx="5">
                  <c:v>f+6</c:v>
                </c:pt>
                <c:pt idx="6">
                  <c:v>f+7</c:v>
                </c:pt>
                <c:pt idx="7">
                  <c:v>f+8</c:v>
                </c:pt>
                <c:pt idx="8">
                  <c:v>f+9</c:v>
                </c:pt>
                <c:pt idx="9">
                  <c:v>f+10</c:v>
                </c:pt>
                <c:pt idx="10">
                  <c:v>f+11</c:v>
                </c:pt>
                <c:pt idx="11">
                  <c:v>f+12</c:v>
                </c:pt>
                <c:pt idx="12">
                  <c:v>f+13</c:v>
                </c:pt>
                <c:pt idx="13">
                  <c:v>f+14</c:v>
                </c:pt>
                <c:pt idx="14">
                  <c:v>f+15</c:v>
                </c:pt>
                <c:pt idx="15">
                  <c:v>f+16</c:v>
                </c:pt>
                <c:pt idx="16">
                  <c:v>f+17</c:v>
                </c:pt>
                <c:pt idx="17">
                  <c:v>f+18</c:v>
                </c:pt>
                <c:pt idx="18">
                  <c:v>f+19</c:v>
                </c:pt>
                <c:pt idx="19">
                  <c:v>f+20</c:v>
                </c:pt>
              </c:strCache>
            </c:strRef>
          </c:cat>
          <c:val>
            <c:numRef>
              <c:f>'UK Projection'!$K$5:$K$25</c:f>
              <c:numCache>
                <c:formatCode>0.0000</c:formatCode>
                <c:ptCount val="21"/>
                <c:pt idx="0" formatCode="General">
                  <c:v>0</c:v>
                </c:pt>
                <c:pt idx="1">
                  <c:v>4.3736135037241786</c:v>
                </c:pt>
                <c:pt idx="2">
                  <c:v>4.1008977305291792</c:v>
                </c:pt>
                <c:pt idx="3">
                  <c:v>4.1698593267275035</c:v>
                </c:pt>
                <c:pt idx="4">
                  <c:v>3.9878833426506874</c:v>
                </c:pt>
                <c:pt idx="5">
                  <c:v>3.9567439033815393</c:v>
                </c:pt>
                <c:pt idx="6">
                  <c:v>3.8276692293211654</c:v>
                </c:pt>
                <c:pt idx="7">
                  <c:v>3.7992807109578104</c:v>
                </c:pt>
                <c:pt idx="8">
                  <c:v>3.7198785883007783</c:v>
                </c:pt>
                <c:pt idx="9">
                  <c:v>3.6873362335731983</c:v>
                </c:pt>
                <c:pt idx="10">
                  <c:v>3.6355025422361131</c:v>
                </c:pt>
                <c:pt idx="11">
                  <c:v>3.6078967342153341</c:v>
                </c:pt>
                <c:pt idx="12">
                  <c:v>3.5740845733717124</c:v>
                </c:pt>
                <c:pt idx="13">
                  <c:v>3.5547996264574371</c:v>
                </c:pt>
                <c:pt idx="14">
                  <c:v>3.5352254517463684</c:v>
                </c:pt>
                <c:pt idx="15">
                  <c:v>3.5246981173551779</c:v>
                </c:pt>
                <c:pt idx="16">
                  <c:v>3.5162861907739278</c:v>
                </c:pt>
                <c:pt idx="17">
                  <c:v>3.5139638339888744</c:v>
                </c:pt>
                <c:pt idx="18">
                  <c:v>3.5143723031063399</c:v>
                </c:pt>
                <c:pt idx="19">
                  <c:v>3.5186975891421244</c:v>
                </c:pt>
                <c:pt idx="20">
                  <c:v>3.5259837465970123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51-40E6-94E4-5398B21AF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925577"/>
        <c:axId val="48705330"/>
      </c:lineChart>
      <c:catAx>
        <c:axId val="37925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05330"/>
        <c:crosses val="autoZero"/>
        <c:auto val="1"/>
        <c:lblAlgn val="ctr"/>
        <c:lblOffset val="100"/>
        <c:noMultiLvlLbl val="0"/>
      </c:catAx>
      <c:valAx>
        <c:axId val="48705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25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130680</xdr:rowOff>
    </xdr:from>
    <xdr:to>
      <xdr:col>16</xdr:col>
      <xdr:colOff>290520</xdr:colOff>
      <xdr:row>14</xdr:row>
      <xdr:rowOff>184320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151920</xdr:rowOff>
    </xdr:from>
    <xdr:to>
      <xdr:col>16</xdr:col>
      <xdr:colOff>290520</xdr:colOff>
      <xdr:row>30</xdr:row>
      <xdr:rowOff>184320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151920</xdr:rowOff>
    </xdr:from>
    <xdr:to>
      <xdr:col>16</xdr:col>
      <xdr:colOff>290520</xdr:colOff>
      <xdr:row>46</xdr:row>
      <xdr:rowOff>184680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151560</xdr:rowOff>
    </xdr:from>
    <xdr:to>
      <xdr:col>16</xdr:col>
      <xdr:colOff>290520</xdr:colOff>
      <xdr:row>62</xdr:row>
      <xdr:rowOff>184320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64</xdr:row>
      <xdr:rowOff>151920</xdr:rowOff>
    </xdr:from>
    <xdr:to>
      <xdr:col>16</xdr:col>
      <xdr:colOff>290520</xdr:colOff>
      <xdr:row>78</xdr:row>
      <xdr:rowOff>184320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130680</xdr:rowOff>
    </xdr:from>
    <xdr:to>
      <xdr:col>16</xdr:col>
      <xdr:colOff>290520</xdr:colOff>
      <xdr:row>11</xdr:row>
      <xdr:rowOff>108120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42A0D-7B36-4C53-8D51-C78E94013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151920</xdr:rowOff>
    </xdr:from>
    <xdr:to>
      <xdr:col>16</xdr:col>
      <xdr:colOff>290520</xdr:colOff>
      <xdr:row>30</xdr:row>
      <xdr:rowOff>184320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A2B6AE-0856-4FF7-94A5-9704BBE5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151920</xdr:rowOff>
    </xdr:from>
    <xdr:to>
      <xdr:col>16</xdr:col>
      <xdr:colOff>290520</xdr:colOff>
      <xdr:row>46</xdr:row>
      <xdr:rowOff>184680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89F580-3B0A-453A-BDBA-B4A56805E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151560</xdr:rowOff>
    </xdr:from>
    <xdr:to>
      <xdr:col>16</xdr:col>
      <xdr:colOff>290520</xdr:colOff>
      <xdr:row>62</xdr:row>
      <xdr:rowOff>184320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0F4C50-E795-4F12-98E7-44EBA8416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64</xdr:row>
      <xdr:rowOff>151920</xdr:rowOff>
    </xdr:from>
    <xdr:to>
      <xdr:col>16</xdr:col>
      <xdr:colOff>290520</xdr:colOff>
      <xdr:row>78</xdr:row>
      <xdr:rowOff>184320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82A1E4-2B85-4AA5-AB69-BB7BC6628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198120</xdr:colOff>
      <xdr:row>1</xdr:row>
      <xdr:rowOff>57150</xdr:rowOff>
    </xdr:from>
    <xdr:to>
      <xdr:col>31</xdr:col>
      <xdr:colOff>297180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7CE90-74CE-4C2D-B822-DAF3E1F32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365760</xdr:colOff>
      <xdr:row>27</xdr:row>
      <xdr:rowOff>57150</xdr:rowOff>
    </xdr:from>
    <xdr:to>
      <xdr:col>31</xdr:col>
      <xdr:colOff>160020</xdr:colOff>
      <xdr:row>46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1B0D4-041A-489A-8C08-D3A5BBF67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472440</xdr:colOff>
      <xdr:row>2</xdr:row>
      <xdr:rowOff>80010</xdr:rowOff>
    </xdr:from>
    <xdr:to>
      <xdr:col>40</xdr:col>
      <xdr:colOff>487680</xdr:colOff>
      <xdr:row>26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E4A238-5D21-46AE-9E4D-802467B9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533400</xdr:colOff>
      <xdr:row>27</xdr:row>
      <xdr:rowOff>49530</xdr:rowOff>
    </xdr:from>
    <xdr:to>
      <xdr:col>40</xdr:col>
      <xdr:colOff>434340</xdr:colOff>
      <xdr:row>47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D8E9B6-B65E-4C0C-991C-4EB3B540A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198120</xdr:colOff>
      <xdr:row>1</xdr:row>
      <xdr:rowOff>57150</xdr:rowOff>
    </xdr:from>
    <xdr:to>
      <xdr:col>31</xdr:col>
      <xdr:colOff>297180</xdr:colOff>
      <xdr:row>26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26A33E-AD5D-540A-A964-B50B654C4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365760</xdr:colOff>
      <xdr:row>27</xdr:row>
      <xdr:rowOff>57150</xdr:rowOff>
    </xdr:from>
    <xdr:to>
      <xdr:col>31</xdr:col>
      <xdr:colOff>160020</xdr:colOff>
      <xdr:row>46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D6A343-16F0-2567-280F-68971D8CD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472440</xdr:colOff>
      <xdr:row>2</xdr:row>
      <xdr:rowOff>80010</xdr:rowOff>
    </xdr:from>
    <xdr:to>
      <xdr:col>40</xdr:col>
      <xdr:colOff>487680</xdr:colOff>
      <xdr:row>26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ABBBC3-E6BF-90D4-B632-54A4052F9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533400</xdr:colOff>
      <xdr:row>27</xdr:row>
      <xdr:rowOff>49530</xdr:rowOff>
    </xdr:from>
    <xdr:to>
      <xdr:col>40</xdr:col>
      <xdr:colOff>434340</xdr:colOff>
      <xdr:row>47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2E2741-3F8E-9083-5CF5-B2809A274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198120</xdr:colOff>
      <xdr:row>1</xdr:row>
      <xdr:rowOff>57150</xdr:rowOff>
    </xdr:from>
    <xdr:to>
      <xdr:col>32</xdr:col>
      <xdr:colOff>297180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F0829-ED69-4A22-89C7-98047BD41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365760</xdr:colOff>
      <xdr:row>27</xdr:row>
      <xdr:rowOff>57150</xdr:rowOff>
    </xdr:from>
    <xdr:to>
      <xdr:col>32</xdr:col>
      <xdr:colOff>160020</xdr:colOff>
      <xdr:row>46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CC1CC2-4B5E-4CDA-869C-78431AF6E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472440</xdr:colOff>
      <xdr:row>2</xdr:row>
      <xdr:rowOff>80010</xdr:rowOff>
    </xdr:from>
    <xdr:to>
      <xdr:col>41</xdr:col>
      <xdr:colOff>487680</xdr:colOff>
      <xdr:row>26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4EB4F6-CA59-4C59-8CC1-8B9CDF9F0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533400</xdr:colOff>
      <xdr:row>27</xdr:row>
      <xdr:rowOff>49530</xdr:rowOff>
    </xdr:from>
    <xdr:to>
      <xdr:col>41</xdr:col>
      <xdr:colOff>434340</xdr:colOff>
      <xdr:row>47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F137E6-0B77-4E4D-BCCA-2A392649B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130680</xdr:rowOff>
    </xdr:from>
    <xdr:to>
      <xdr:col>19</xdr:col>
      <xdr:colOff>322560</xdr:colOff>
      <xdr:row>13</xdr:row>
      <xdr:rowOff>92880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60480</xdr:rowOff>
    </xdr:from>
    <xdr:to>
      <xdr:col>19</xdr:col>
      <xdr:colOff>322560</xdr:colOff>
      <xdr:row>29</xdr:row>
      <xdr:rowOff>93240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31</xdr:row>
      <xdr:rowOff>60120</xdr:rowOff>
    </xdr:from>
    <xdr:to>
      <xdr:col>19</xdr:col>
      <xdr:colOff>322560</xdr:colOff>
      <xdr:row>45</xdr:row>
      <xdr:rowOff>92880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130680</xdr:rowOff>
    </xdr:from>
    <xdr:to>
      <xdr:col>25</xdr:col>
      <xdr:colOff>354960</xdr:colOff>
      <xdr:row>13</xdr:row>
      <xdr:rowOff>111600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354960</xdr:colOff>
      <xdr:row>30</xdr:row>
      <xdr:rowOff>122040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354960</xdr:colOff>
      <xdr:row>46</xdr:row>
      <xdr:rowOff>122040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130680</xdr:rowOff>
    </xdr:from>
    <xdr:to>
      <xdr:col>25</xdr:col>
      <xdr:colOff>354600</xdr:colOff>
      <xdr:row>13</xdr:row>
      <xdr:rowOff>111600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354600</xdr:colOff>
      <xdr:row>27</xdr:row>
      <xdr:rowOff>179280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354600</xdr:colOff>
      <xdr:row>46</xdr:row>
      <xdr:rowOff>122400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130680</xdr:rowOff>
    </xdr:from>
    <xdr:to>
      <xdr:col>16</xdr:col>
      <xdr:colOff>290520</xdr:colOff>
      <xdr:row>15</xdr:row>
      <xdr:rowOff>12960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170640</xdr:rowOff>
    </xdr:from>
    <xdr:to>
      <xdr:col>16</xdr:col>
      <xdr:colOff>290520</xdr:colOff>
      <xdr:row>31</xdr:row>
      <xdr:rowOff>12960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171000</xdr:rowOff>
    </xdr:from>
    <xdr:to>
      <xdr:col>16</xdr:col>
      <xdr:colOff>290520</xdr:colOff>
      <xdr:row>47</xdr:row>
      <xdr:rowOff>12960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170640</xdr:rowOff>
    </xdr:from>
    <xdr:to>
      <xdr:col>16</xdr:col>
      <xdr:colOff>290520</xdr:colOff>
      <xdr:row>63</xdr:row>
      <xdr:rowOff>12960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64</xdr:row>
      <xdr:rowOff>170640</xdr:rowOff>
    </xdr:from>
    <xdr:to>
      <xdr:col>16</xdr:col>
      <xdr:colOff>290520</xdr:colOff>
      <xdr:row>79</xdr:row>
      <xdr:rowOff>12960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130680</xdr:rowOff>
    </xdr:from>
    <xdr:to>
      <xdr:col>21</xdr:col>
      <xdr:colOff>322920</xdr:colOff>
      <xdr:row>12</xdr:row>
      <xdr:rowOff>122040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89640</xdr:rowOff>
    </xdr:from>
    <xdr:to>
      <xdr:col>21</xdr:col>
      <xdr:colOff>322920</xdr:colOff>
      <xdr:row>28</xdr:row>
      <xdr:rowOff>122040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30</xdr:row>
      <xdr:rowOff>89640</xdr:rowOff>
    </xdr:from>
    <xdr:to>
      <xdr:col>21</xdr:col>
      <xdr:colOff>322920</xdr:colOff>
      <xdr:row>44</xdr:row>
      <xdr:rowOff>122400</xdr:rowOff>
    </xdr:to>
    <xdr:graphicFrame macro="">
      <xdr:nvGraphicFramePr>
        <xdr:cNvPr id="21" name="Chart 3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130680</xdr:rowOff>
    </xdr:from>
    <xdr:to>
      <xdr:col>25</xdr:col>
      <xdr:colOff>354960</xdr:colOff>
      <xdr:row>13</xdr:row>
      <xdr:rowOff>111600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354960</xdr:colOff>
      <xdr:row>30</xdr:row>
      <xdr:rowOff>122040</xdr:rowOff>
    </xdr:to>
    <xdr:graphicFrame macro="">
      <xdr:nvGraphicFramePr>
        <xdr:cNvPr id="23" name="Chart 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354960</xdr:colOff>
      <xdr:row>46</xdr:row>
      <xdr:rowOff>122040</xdr:rowOff>
    </xdr:to>
    <xdr:graphicFrame macro="">
      <xdr:nvGraphicFramePr>
        <xdr:cNvPr id="24" name="Chart 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130680</xdr:rowOff>
    </xdr:from>
    <xdr:to>
      <xdr:col>25</xdr:col>
      <xdr:colOff>354600</xdr:colOff>
      <xdr:row>13</xdr:row>
      <xdr:rowOff>111600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89280</xdr:rowOff>
    </xdr:from>
    <xdr:to>
      <xdr:col>25</xdr:col>
      <xdr:colOff>354600</xdr:colOff>
      <xdr:row>27</xdr:row>
      <xdr:rowOff>179280</xdr:rowOff>
    </xdr:to>
    <xdr:graphicFrame macro="">
      <xdr:nvGraphicFramePr>
        <xdr:cNvPr id="26" name="Chart 2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32</xdr:row>
      <xdr:rowOff>89640</xdr:rowOff>
    </xdr:from>
    <xdr:to>
      <xdr:col>25</xdr:col>
      <xdr:colOff>354600</xdr:colOff>
      <xdr:row>46</xdr:row>
      <xdr:rowOff>122400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showGridLines="0" zoomScaleNormal="100" workbookViewId="0">
      <selection sqref="A1:B1"/>
    </sheetView>
  </sheetViews>
  <sheetFormatPr defaultColWidth="8.54296875" defaultRowHeight="14.5" x14ac:dyDescent="0.35"/>
  <cols>
    <col min="1" max="1" width="28" customWidth="1"/>
    <col min="2" max="2" width="115" customWidth="1"/>
  </cols>
  <sheetData>
    <row r="1" spans="1:2" ht="20" x14ac:dyDescent="0.4">
      <c r="A1" s="17" t="s">
        <v>0</v>
      </c>
      <c r="B1" s="17"/>
    </row>
    <row r="3" spans="1:2" ht="18" customHeight="1" x14ac:dyDescent="0.35">
      <c r="A3" s="15" t="s">
        <v>1</v>
      </c>
      <c r="B3" s="15"/>
    </row>
    <row r="4" spans="1:2" ht="45.75" customHeight="1" x14ac:dyDescent="0.35">
      <c r="A4" s="2" t="s">
        <v>2</v>
      </c>
      <c r="B4" s="3" t="s">
        <v>3</v>
      </c>
    </row>
    <row r="5" spans="1:2" ht="31.5" customHeight="1" x14ac:dyDescent="0.35">
      <c r="A5" s="2" t="s">
        <v>4</v>
      </c>
      <c r="B5" s="3" t="s">
        <v>5</v>
      </c>
    </row>
    <row r="6" spans="1:2" ht="18" customHeight="1" x14ac:dyDescent="0.35">
      <c r="A6" s="2"/>
      <c r="B6" s="3"/>
    </row>
    <row r="7" spans="1:2" ht="18" customHeight="1" x14ac:dyDescent="0.35">
      <c r="A7" s="15" t="s">
        <v>6</v>
      </c>
      <c r="B7" s="15"/>
    </row>
    <row r="8" spans="1:2" ht="18" customHeight="1" x14ac:dyDescent="0.35">
      <c r="A8" s="2" t="s">
        <v>7</v>
      </c>
      <c r="B8" s="3" t="s">
        <v>8</v>
      </c>
    </row>
    <row r="9" spans="1:2" ht="18" customHeight="1" x14ac:dyDescent="0.35">
      <c r="A9" s="2" t="s">
        <v>9</v>
      </c>
      <c r="B9" s="3" t="s">
        <v>10</v>
      </c>
    </row>
    <row r="10" spans="1:2" ht="18" customHeight="1" x14ac:dyDescent="0.35">
      <c r="A10" s="2" t="s">
        <v>11</v>
      </c>
      <c r="B10" s="3" t="s">
        <v>12</v>
      </c>
    </row>
    <row r="11" spans="1:2" ht="18" customHeight="1" x14ac:dyDescent="0.35">
      <c r="A11" s="2" t="s">
        <v>13</v>
      </c>
      <c r="B11" s="3" t="s">
        <v>14</v>
      </c>
    </row>
    <row r="12" spans="1:2" ht="18" customHeight="1" x14ac:dyDescent="0.35">
      <c r="A12" s="2"/>
      <c r="B12" s="3"/>
    </row>
    <row r="13" spans="1:2" ht="18" customHeight="1" x14ac:dyDescent="0.35">
      <c r="A13" s="15" t="s">
        <v>15</v>
      </c>
      <c r="B13" s="15"/>
    </row>
    <row r="14" spans="1:2" ht="18" customHeight="1" x14ac:dyDescent="0.35">
      <c r="A14" s="2" t="s">
        <v>16</v>
      </c>
      <c r="B14" s="3" t="s">
        <v>17</v>
      </c>
    </row>
    <row r="15" spans="1:2" ht="18" customHeight="1" x14ac:dyDescent="0.35">
      <c r="A15" s="2" t="s">
        <v>18</v>
      </c>
      <c r="B15" s="3" t="s">
        <v>19</v>
      </c>
    </row>
    <row r="16" spans="1:2" ht="18" customHeight="1" x14ac:dyDescent="0.35">
      <c r="A16" s="2" t="s">
        <v>20</v>
      </c>
      <c r="B16" s="3" t="s">
        <v>21</v>
      </c>
    </row>
    <row r="17" spans="1:2" ht="18" customHeight="1" x14ac:dyDescent="0.35">
      <c r="A17" s="2" t="s">
        <v>22</v>
      </c>
      <c r="B17" s="3" t="s">
        <v>23</v>
      </c>
    </row>
    <row r="18" spans="1:2" ht="18" customHeight="1" x14ac:dyDescent="0.35">
      <c r="A18" s="2"/>
      <c r="B18" s="3"/>
    </row>
    <row r="19" spans="1:2" ht="18" customHeight="1" x14ac:dyDescent="0.35">
      <c r="A19" s="15" t="s">
        <v>24</v>
      </c>
      <c r="B19" s="15"/>
    </row>
    <row r="20" spans="1:2" x14ac:dyDescent="0.35">
      <c r="A20" s="4" t="s">
        <v>25</v>
      </c>
      <c r="B20" s="4" t="s">
        <v>26</v>
      </c>
    </row>
    <row r="21" spans="1:2" ht="18" customHeight="1" x14ac:dyDescent="0.35">
      <c r="A21" s="5" t="s">
        <v>27</v>
      </c>
      <c r="B21" s="3" t="s">
        <v>28</v>
      </c>
    </row>
    <row r="22" spans="1:2" ht="18" customHeight="1" x14ac:dyDescent="0.35">
      <c r="A22" s="5" t="s">
        <v>29</v>
      </c>
      <c r="B22" s="3" t="s">
        <v>30</v>
      </c>
    </row>
    <row r="23" spans="1:2" ht="18" customHeight="1" x14ac:dyDescent="0.35">
      <c r="A23" s="5" t="s">
        <v>31</v>
      </c>
      <c r="B23" s="3" t="s">
        <v>32</v>
      </c>
    </row>
    <row r="24" spans="1:2" ht="18" customHeight="1" x14ac:dyDescent="0.35">
      <c r="A24" s="5" t="s">
        <v>33</v>
      </c>
      <c r="B24" s="3" t="s">
        <v>34</v>
      </c>
    </row>
    <row r="25" spans="1:2" ht="18" customHeight="1" x14ac:dyDescent="0.35">
      <c r="A25" s="5" t="s">
        <v>35</v>
      </c>
      <c r="B25" s="3" t="s">
        <v>36</v>
      </c>
    </row>
    <row r="27" spans="1:2" ht="16.5" x14ac:dyDescent="0.35">
      <c r="A27" s="15" t="s">
        <v>37</v>
      </c>
      <c r="B27" s="15"/>
    </row>
    <row r="28" spans="1:2" ht="31.5" customHeight="1" x14ac:dyDescent="0.35">
      <c r="A28" s="6" t="s">
        <v>38</v>
      </c>
      <c r="B28" s="3" t="s">
        <v>39</v>
      </c>
    </row>
    <row r="29" spans="1:2" ht="31.5" customHeight="1" x14ac:dyDescent="0.35">
      <c r="A29" s="6" t="s">
        <v>40</v>
      </c>
      <c r="B29" s="3" t="s">
        <v>41</v>
      </c>
    </row>
    <row r="30" spans="1:2" ht="31.5" customHeight="1" x14ac:dyDescent="0.35">
      <c r="A30" s="6" t="s">
        <v>42</v>
      </c>
      <c r="B30" s="3" t="s">
        <v>43</v>
      </c>
    </row>
    <row r="31" spans="1:2" ht="18" customHeight="1" x14ac:dyDescent="0.35">
      <c r="A31" s="6" t="s">
        <v>44</v>
      </c>
      <c r="B31" s="3" t="s">
        <v>45</v>
      </c>
    </row>
    <row r="32" spans="1:2" ht="18" customHeight="1" x14ac:dyDescent="0.35">
      <c r="A32" s="6" t="s">
        <v>46</v>
      </c>
      <c r="B32" s="3" t="s">
        <v>47</v>
      </c>
    </row>
    <row r="33" spans="1:2" ht="31.5" customHeight="1" x14ac:dyDescent="0.35">
      <c r="A33" s="6" t="s">
        <v>48</v>
      </c>
      <c r="B33" s="3" t="s">
        <v>49</v>
      </c>
    </row>
    <row r="35" spans="1:2" ht="79.5" customHeight="1" x14ac:dyDescent="0.35">
      <c r="A35" s="16" t="s">
        <v>50</v>
      </c>
      <c r="B35" s="16"/>
    </row>
    <row r="36" spans="1:2" ht="27.75" customHeight="1" x14ac:dyDescent="0.35">
      <c r="A36" s="16" t="s">
        <v>51</v>
      </c>
      <c r="B36" s="16"/>
    </row>
  </sheetData>
  <mergeCells count="8">
    <mergeCell ref="A27:B27"/>
    <mergeCell ref="A35:B35"/>
    <mergeCell ref="A36:B36"/>
    <mergeCell ref="A1:B1"/>
    <mergeCell ref="A3:B3"/>
    <mergeCell ref="A7:B7"/>
    <mergeCell ref="A13:B13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5"/>
  <sheetViews>
    <sheetView showGridLines="0" zoomScaleNormal="100" workbookViewId="0">
      <selection activeCell="C4" sqref="C4"/>
    </sheetView>
  </sheetViews>
  <sheetFormatPr defaultColWidth="8.54296875" defaultRowHeight="14.5" x14ac:dyDescent="0.35"/>
  <cols>
    <col min="1" max="1" width="10" customWidth="1"/>
    <col min="2" max="6" width="24" customWidth="1"/>
  </cols>
  <sheetData>
    <row r="1" spans="1:7" ht="20" x14ac:dyDescent="0.4">
      <c r="A1" s="17" t="s">
        <v>52</v>
      </c>
      <c r="B1" s="17"/>
      <c r="C1" s="17"/>
      <c r="D1" s="17"/>
      <c r="E1" s="17"/>
      <c r="F1" s="17"/>
      <c r="G1" s="17"/>
    </row>
    <row r="3" spans="1:7" ht="25" x14ac:dyDescent="0.35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</row>
    <row r="4" spans="1:7" x14ac:dyDescent="0.35"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</row>
    <row r="5" spans="1:7" x14ac:dyDescent="0.35">
      <c r="A5" t="s">
        <v>64</v>
      </c>
      <c r="B5" s="7">
        <v>8969.6990000000005</v>
      </c>
      <c r="C5" s="7">
        <v>1771.548</v>
      </c>
      <c r="D5" s="7">
        <v>1781.9110000000001</v>
      </c>
      <c r="E5" s="7">
        <v>367.64800000000002</v>
      </c>
      <c r="F5" s="8">
        <v>61.851959999999998</v>
      </c>
    </row>
    <row r="6" spans="1:7" x14ac:dyDescent="0.35">
      <c r="A6" t="s">
        <v>65</v>
      </c>
      <c r="B6" s="7">
        <v>9121.0969999999998</v>
      </c>
      <c r="C6" s="7">
        <v>1808.4469999999999</v>
      </c>
      <c r="D6" s="7">
        <v>1788.538</v>
      </c>
      <c r="E6" s="7">
        <v>366.20400000000001</v>
      </c>
      <c r="F6" s="8">
        <v>60.586930000000002</v>
      </c>
    </row>
    <row r="7" spans="1:7" x14ac:dyDescent="0.35">
      <c r="A7" t="s">
        <v>66</v>
      </c>
      <c r="B7" s="7">
        <v>9293.991</v>
      </c>
      <c r="C7" s="7">
        <v>1835.085</v>
      </c>
      <c r="D7" s="7">
        <v>1814.518</v>
      </c>
      <c r="E7" s="7">
        <v>360.08800000000002</v>
      </c>
      <c r="F7" s="8">
        <v>60.406959999999998</v>
      </c>
    </row>
    <row r="8" spans="1:7" x14ac:dyDescent="0.35">
      <c r="A8" t="s">
        <v>67</v>
      </c>
      <c r="B8" s="7">
        <v>9411.6820000000007</v>
      </c>
      <c r="C8" s="7">
        <v>1860.002</v>
      </c>
      <c r="D8" s="7">
        <v>1811.9880000000001</v>
      </c>
      <c r="E8" s="7">
        <v>352.596</v>
      </c>
      <c r="F8" s="8">
        <v>60.048940000000002</v>
      </c>
    </row>
    <row r="9" spans="1:7" x14ac:dyDescent="0.35">
      <c r="A9" t="s">
        <v>68</v>
      </c>
      <c r="B9" s="7">
        <v>9526.2099999999991</v>
      </c>
      <c r="C9" s="7">
        <v>1885.184</v>
      </c>
      <c r="D9" s="7">
        <v>1816.961</v>
      </c>
      <c r="E9" s="7">
        <v>352.14100000000002</v>
      </c>
      <c r="F9" s="8">
        <v>59.192270000000001</v>
      </c>
    </row>
    <row r="10" spans="1:7" x14ac:dyDescent="0.35">
      <c r="A10" t="s">
        <v>69</v>
      </c>
      <c r="B10" s="7">
        <v>9686.6260000000002</v>
      </c>
      <c r="C10" s="7">
        <v>1914.8620000000001</v>
      </c>
      <c r="D10" s="7">
        <v>1843.2049999999999</v>
      </c>
      <c r="E10" s="7">
        <v>351.07299999999998</v>
      </c>
      <c r="F10" s="8">
        <v>58.392580000000002</v>
      </c>
    </row>
    <row r="11" spans="1:7" x14ac:dyDescent="0.35">
      <c r="A11" t="s">
        <v>70</v>
      </c>
      <c r="B11" s="7">
        <v>9900.1689999999999</v>
      </c>
      <c r="C11" s="7">
        <v>1963.7560000000001</v>
      </c>
      <c r="D11" s="7">
        <v>1875.154</v>
      </c>
      <c r="E11" s="7">
        <v>352.92500000000001</v>
      </c>
      <c r="F11" s="8">
        <v>58.343359999999997</v>
      </c>
    </row>
    <row r="12" spans="1:7" x14ac:dyDescent="0.35">
      <c r="A12" t="s">
        <v>71</v>
      </c>
      <c r="B12" s="7">
        <v>10002.179</v>
      </c>
      <c r="C12" s="7">
        <v>2041.7639999999999</v>
      </c>
      <c r="D12" s="7">
        <v>1866.308</v>
      </c>
      <c r="E12" s="7">
        <v>354.822</v>
      </c>
      <c r="F12" s="8">
        <v>57.721339999999998</v>
      </c>
    </row>
    <row r="13" spans="1:7" x14ac:dyDescent="0.35">
      <c r="A13" t="s">
        <v>72</v>
      </c>
      <c r="B13" s="7">
        <v>10247.719999999999</v>
      </c>
      <c r="C13" s="7">
        <v>2056.279</v>
      </c>
      <c r="D13" s="7">
        <v>1908.645</v>
      </c>
      <c r="E13" s="7">
        <v>354.10899999999998</v>
      </c>
      <c r="F13" s="8">
        <v>55.484909999999999</v>
      </c>
    </row>
    <row r="14" spans="1:7" x14ac:dyDescent="0.35">
      <c r="A14" t="s">
        <v>73</v>
      </c>
      <c r="B14" s="7">
        <v>10318.165000000001</v>
      </c>
      <c r="C14" s="7">
        <v>2076.268</v>
      </c>
      <c r="D14" s="7">
        <v>1918.617</v>
      </c>
      <c r="E14" s="7">
        <v>352.87700000000001</v>
      </c>
      <c r="F14" s="8">
        <v>54.992130000000003</v>
      </c>
    </row>
    <row r="15" spans="1:7" x14ac:dyDescent="0.35">
      <c r="A15" t="s">
        <v>74</v>
      </c>
      <c r="B15" s="7">
        <v>10435.744000000001</v>
      </c>
      <c r="C15" s="7">
        <v>2096.7959999999998</v>
      </c>
      <c r="D15" s="7">
        <v>1938.796</v>
      </c>
      <c r="E15" s="7">
        <v>353.10500000000002</v>
      </c>
      <c r="F15" s="8">
        <v>54.257899999999999</v>
      </c>
    </row>
    <row r="16" spans="1:7" x14ac:dyDescent="0.35">
      <c r="A16" t="s">
        <v>75</v>
      </c>
      <c r="B16" s="7">
        <v>10470.231</v>
      </c>
      <c r="C16" s="7">
        <v>2111.058</v>
      </c>
      <c r="D16" s="7">
        <v>1982.626</v>
      </c>
      <c r="E16" s="7">
        <v>345.47899999999998</v>
      </c>
      <c r="F16" s="8">
        <v>55.14434</v>
      </c>
    </row>
    <row r="17" spans="1:6" x14ac:dyDescent="0.35">
      <c r="A17" t="s">
        <v>76</v>
      </c>
      <c r="B17" s="7">
        <v>10599</v>
      </c>
      <c r="C17" s="7">
        <v>2098.3589999999999</v>
      </c>
      <c r="D17" s="7">
        <v>2003.5809999999999</v>
      </c>
      <c r="E17" s="7">
        <v>334.77600000000001</v>
      </c>
      <c r="F17" s="8">
        <v>54.031649999999999</v>
      </c>
    </row>
    <row r="18" spans="1:6" x14ac:dyDescent="0.35">
      <c r="A18" t="s">
        <v>77</v>
      </c>
      <c r="B18" s="7">
        <v>10598.02</v>
      </c>
      <c r="C18" s="7">
        <v>1907.6790000000001</v>
      </c>
      <c r="D18" s="7">
        <v>2037.703</v>
      </c>
      <c r="E18" s="7">
        <v>326.82600000000002</v>
      </c>
      <c r="F18" s="8">
        <v>54.797629999999998</v>
      </c>
    </row>
    <row r="19" spans="1:6" x14ac:dyDescent="0.35">
      <c r="A19" t="s">
        <v>78</v>
      </c>
      <c r="B19" s="7">
        <v>10660.465</v>
      </c>
      <c r="C19" s="7">
        <v>2012.375</v>
      </c>
      <c r="D19" s="7">
        <v>2045.404</v>
      </c>
      <c r="E19" s="7">
        <v>317.82100000000003</v>
      </c>
      <c r="F19" s="8">
        <v>55.752160000000003</v>
      </c>
    </row>
    <row r="20" spans="1:6" x14ac:dyDescent="0.35">
      <c r="A20" t="s">
        <v>79</v>
      </c>
      <c r="B20" s="7">
        <v>10783.5</v>
      </c>
      <c r="C20" s="7">
        <v>1865.6369999999999</v>
      </c>
      <c r="D20" s="7">
        <v>2091.4690000000001</v>
      </c>
      <c r="E20" s="7">
        <v>304.93099999999998</v>
      </c>
      <c r="F20" s="8">
        <v>55.6965</v>
      </c>
    </row>
    <row r="21" spans="1:6" x14ac:dyDescent="0.35">
      <c r="A21" t="s">
        <v>80</v>
      </c>
      <c r="B21" s="7">
        <v>10887.46</v>
      </c>
      <c r="C21" s="7">
        <v>1868.0319999999999</v>
      </c>
      <c r="D21" s="7">
        <v>2130.1860000000001</v>
      </c>
      <c r="E21" s="7">
        <v>301.95800000000003</v>
      </c>
      <c r="F21" s="8">
        <v>56.270870000000002</v>
      </c>
    </row>
    <row r="22" spans="1:6" x14ac:dyDescent="0.35">
      <c r="A22" t="s">
        <v>81</v>
      </c>
      <c r="B22" s="7">
        <v>10984.04</v>
      </c>
      <c r="C22" s="7">
        <v>1869.778</v>
      </c>
      <c r="D22" s="7">
        <v>2148.4470000000001</v>
      </c>
      <c r="E22" s="7">
        <v>300.19</v>
      </c>
      <c r="F22" s="8">
        <v>56.702599999999997</v>
      </c>
    </row>
    <row r="23" spans="1:6" x14ac:dyDescent="0.35">
      <c r="A23" t="s">
        <v>82</v>
      </c>
      <c r="B23" s="7">
        <v>11061.433000000001</v>
      </c>
      <c r="C23" s="7">
        <v>1880.098</v>
      </c>
      <c r="D23" s="7">
        <v>2184.6970000000001</v>
      </c>
      <c r="E23" s="7">
        <v>298.00599999999997</v>
      </c>
      <c r="F23" s="8">
        <v>57.91028</v>
      </c>
    </row>
    <row r="24" spans="1:6" x14ac:dyDescent="0.35">
      <c r="A24" t="s">
        <v>83</v>
      </c>
      <c r="B24" s="7">
        <v>11174.129000000001</v>
      </c>
      <c r="C24" s="7">
        <v>1889.816</v>
      </c>
      <c r="D24" s="7">
        <v>2220.2620000000002</v>
      </c>
      <c r="E24" s="7">
        <v>290.79399999999998</v>
      </c>
      <c r="F24" s="8">
        <v>57.81906</v>
      </c>
    </row>
    <row r="25" spans="1:6" x14ac:dyDescent="0.35">
      <c r="A25" t="s">
        <v>84</v>
      </c>
      <c r="B25" s="7">
        <v>11312.766</v>
      </c>
      <c r="C25" s="7">
        <v>1912.664</v>
      </c>
      <c r="D25" s="7">
        <v>2299.9189999999999</v>
      </c>
      <c r="E25" s="7">
        <v>290.322</v>
      </c>
      <c r="F25" s="8">
        <v>58.961010000000002</v>
      </c>
    </row>
    <row r="26" spans="1:6" x14ac:dyDescent="0.35">
      <c r="A26" t="s">
        <v>85</v>
      </c>
      <c r="B26" s="7">
        <v>11566.669</v>
      </c>
      <c r="C26" s="7">
        <v>1840.1859999999999</v>
      </c>
      <c r="D26" s="7">
        <v>2309.6219999999998</v>
      </c>
      <c r="E26" s="7">
        <v>291.65899999999999</v>
      </c>
      <c r="F26" s="8">
        <v>58.645409999999998</v>
      </c>
    </row>
    <row r="27" spans="1:6" x14ac:dyDescent="0.35">
      <c r="A27" t="s">
        <v>86</v>
      </c>
      <c r="B27" s="7">
        <v>11772.234</v>
      </c>
      <c r="C27" s="7">
        <v>1941.796</v>
      </c>
      <c r="D27" s="7">
        <v>2344.1799999999998</v>
      </c>
      <c r="E27" s="7">
        <v>294.108</v>
      </c>
      <c r="F27" s="8">
        <v>59.444659999999999</v>
      </c>
    </row>
    <row r="28" spans="1:6" x14ac:dyDescent="0.35">
      <c r="A28" t="s">
        <v>87</v>
      </c>
      <c r="B28" s="7">
        <v>11923.447</v>
      </c>
      <c r="C28" s="7">
        <v>1952.066</v>
      </c>
      <c r="D28" s="7">
        <v>2381.04</v>
      </c>
      <c r="E28" s="7">
        <v>297.88200000000001</v>
      </c>
      <c r="F28" s="8">
        <v>59.807099999999998</v>
      </c>
    </row>
    <row r="29" spans="1:6" x14ac:dyDescent="0.35">
      <c r="A29" t="s">
        <v>88</v>
      </c>
      <c r="B29" s="7">
        <v>12112.815000000001</v>
      </c>
      <c r="C29" s="7">
        <v>2003.4829999999999</v>
      </c>
      <c r="D29" s="7">
        <v>2400.4</v>
      </c>
      <c r="E29" s="7">
        <v>299.661</v>
      </c>
      <c r="F29" s="8">
        <v>60.054870000000001</v>
      </c>
    </row>
    <row r="30" spans="1:6" x14ac:dyDescent="0.35">
      <c r="A30" t="s">
        <v>89</v>
      </c>
      <c r="B30" s="7">
        <v>12305.307000000001</v>
      </c>
      <c r="C30" s="7">
        <v>2062.8130000000001</v>
      </c>
      <c r="D30" s="7">
        <v>2428.7950000000001</v>
      </c>
      <c r="E30" s="7">
        <v>308.15899999999999</v>
      </c>
      <c r="F30" s="8">
        <v>59.966430000000003</v>
      </c>
    </row>
    <row r="31" spans="1:6" x14ac:dyDescent="0.35">
      <c r="A31" t="s">
        <v>90</v>
      </c>
      <c r="B31" s="7">
        <v>12527.214</v>
      </c>
      <c r="C31" s="7">
        <v>2093.96</v>
      </c>
      <c r="D31" s="7">
        <v>2476.0500000000002</v>
      </c>
      <c r="E31" s="7">
        <v>318.38600000000002</v>
      </c>
      <c r="F31" s="8">
        <v>60.637129999999999</v>
      </c>
    </row>
    <row r="32" spans="1:6" x14ac:dyDescent="0.35">
      <c r="A32" t="s">
        <v>91</v>
      </c>
      <c r="B32" s="7">
        <v>12767.286</v>
      </c>
      <c r="C32" s="7">
        <v>2242.79</v>
      </c>
      <c r="D32" s="7">
        <v>2548.0189999999998</v>
      </c>
      <c r="E32" s="7">
        <v>329.40699999999998</v>
      </c>
      <c r="F32" s="8">
        <v>60.913020000000003</v>
      </c>
    </row>
    <row r="33" spans="1:6" x14ac:dyDescent="0.35">
      <c r="A33" t="s">
        <v>92</v>
      </c>
      <c r="B33" s="7">
        <v>12922.656000000001</v>
      </c>
      <c r="C33" s="7">
        <v>2272.0079999999998</v>
      </c>
      <c r="D33" s="7">
        <v>2578.6860000000001</v>
      </c>
      <c r="E33" s="7">
        <v>343.58199999999999</v>
      </c>
      <c r="F33" s="8">
        <v>60.641530000000003</v>
      </c>
    </row>
    <row r="34" spans="1:6" x14ac:dyDescent="0.35">
      <c r="A34" t="s">
        <v>93</v>
      </c>
      <c r="B34" s="7">
        <v>13142.642</v>
      </c>
      <c r="C34" s="7">
        <v>2316.739</v>
      </c>
      <c r="D34" s="7">
        <v>2617.33</v>
      </c>
      <c r="E34" s="7">
        <v>349.22800000000001</v>
      </c>
      <c r="F34" s="8">
        <v>60.358559999999997</v>
      </c>
    </row>
    <row r="35" spans="1:6" x14ac:dyDescent="0.35">
      <c r="A35" t="s">
        <v>94</v>
      </c>
      <c r="B35" s="7">
        <v>13324.204</v>
      </c>
      <c r="C35" s="7">
        <v>2387.2860000000001</v>
      </c>
      <c r="D35" s="7">
        <v>2649.819</v>
      </c>
      <c r="E35" s="7">
        <v>355.28199999999998</v>
      </c>
      <c r="F35" s="8">
        <v>61.320079999999997</v>
      </c>
    </row>
    <row r="36" spans="1:6" x14ac:dyDescent="0.35">
      <c r="A36" t="s">
        <v>95</v>
      </c>
      <c r="B36" s="7">
        <v>13599.16</v>
      </c>
      <c r="C36" s="7">
        <v>2482.895</v>
      </c>
      <c r="D36" s="7">
        <v>2728.1840000000002</v>
      </c>
      <c r="E36" s="7">
        <v>358.209</v>
      </c>
      <c r="F36" s="8">
        <v>61.556420000000003</v>
      </c>
    </row>
    <row r="37" spans="1:6" x14ac:dyDescent="0.35">
      <c r="A37" t="s">
        <v>96</v>
      </c>
      <c r="B37" s="7">
        <v>13753.424000000001</v>
      </c>
      <c r="C37" s="7">
        <v>2518.5050000000001</v>
      </c>
      <c r="D37" s="7">
        <v>2749.085</v>
      </c>
      <c r="E37" s="7">
        <v>367.41500000000002</v>
      </c>
      <c r="F37" s="8">
        <v>61.221420000000002</v>
      </c>
    </row>
    <row r="38" spans="1:6" x14ac:dyDescent="0.35">
      <c r="A38" t="s">
        <v>97</v>
      </c>
      <c r="B38" s="7">
        <v>13870.188</v>
      </c>
      <c r="C38" s="7">
        <v>2562.8609999999999</v>
      </c>
      <c r="D38" s="7">
        <v>2775.712</v>
      </c>
      <c r="E38" s="7">
        <v>376.29899999999998</v>
      </c>
      <c r="F38" s="8">
        <v>61.332799999999999</v>
      </c>
    </row>
    <row r="39" spans="1:6" x14ac:dyDescent="0.35">
      <c r="A39" t="s">
        <v>98</v>
      </c>
      <c r="B39" s="7">
        <v>14039.56</v>
      </c>
      <c r="C39" s="7">
        <v>2590.85</v>
      </c>
      <c r="D39" s="7">
        <v>2789.9059999999999</v>
      </c>
      <c r="E39" s="7">
        <v>386.92500000000001</v>
      </c>
      <c r="F39" s="8">
        <v>61.826889999999999</v>
      </c>
    </row>
    <row r="40" spans="1:6" x14ac:dyDescent="0.35">
      <c r="A40" t="s">
        <v>99</v>
      </c>
      <c r="B40" s="7">
        <v>14215.651</v>
      </c>
      <c r="C40" s="7">
        <v>2659.4859999999999</v>
      </c>
      <c r="D40" s="7">
        <v>2869.326</v>
      </c>
      <c r="E40" s="7">
        <v>396.00900000000001</v>
      </c>
      <c r="F40" s="8">
        <v>62.252969999999998</v>
      </c>
    </row>
    <row r="41" spans="1:6" x14ac:dyDescent="0.35">
      <c r="A41" t="s">
        <v>100</v>
      </c>
      <c r="B41" s="7">
        <v>14402.082</v>
      </c>
      <c r="C41" s="7">
        <v>2674.2060000000001</v>
      </c>
      <c r="D41" s="7">
        <v>2905.2020000000002</v>
      </c>
      <c r="E41" s="7">
        <v>407.91399999999999</v>
      </c>
      <c r="F41" s="8">
        <v>61.572189999999999</v>
      </c>
    </row>
    <row r="42" spans="1:6" x14ac:dyDescent="0.35">
      <c r="A42" t="s">
        <v>101</v>
      </c>
      <c r="B42" s="7">
        <v>14564.117</v>
      </c>
      <c r="C42" s="7">
        <v>2666.732</v>
      </c>
      <c r="D42" s="7">
        <v>2945.721</v>
      </c>
      <c r="E42" s="7">
        <v>414.16399999999999</v>
      </c>
      <c r="F42" s="8">
        <v>61.848260000000003</v>
      </c>
    </row>
    <row r="43" spans="1:6" x14ac:dyDescent="0.35">
      <c r="A43" t="s">
        <v>102</v>
      </c>
      <c r="B43" s="7">
        <v>14715.058000000001</v>
      </c>
      <c r="C43" s="7">
        <v>2672.884</v>
      </c>
      <c r="D43" s="7">
        <v>2991.7649999999999</v>
      </c>
      <c r="E43" s="7">
        <v>413.82499999999999</v>
      </c>
      <c r="F43" s="8">
        <v>62.719239999999999</v>
      </c>
    </row>
    <row r="44" spans="1:6" x14ac:dyDescent="0.35">
      <c r="A44" t="s">
        <v>103</v>
      </c>
      <c r="B44" s="7">
        <v>14706.538</v>
      </c>
      <c r="C44" s="7">
        <v>2638.9490000000001</v>
      </c>
      <c r="D44" s="7">
        <v>3043.5219999999999</v>
      </c>
      <c r="E44" s="7">
        <v>403.47300000000001</v>
      </c>
      <c r="F44" s="8">
        <v>64.172780000000003</v>
      </c>
    </row>
    <row r="45" spans="1:6" x14ac:dyDescent="0.35">
      <c r="A45" t="s">
        <v>104</v>
      </c>
      <c r="B45" s="7">
        <v>14865.700999999999</v>
      </c>
      <c r="C45" s="7">
        <v>2621.0059999999999</v>
      </c>
      <c r="D45" s="7">
        <v>3397.4520000000002</v>
      </c>
      <c r="E45" s="7">
        <v>388.351</v>
      </c>
      <c r="F45" s="8">
        <v>63.85172</v>
      </c>
    </row>
    <row r="46" spans="1:6" x14ac:dyDescent="0.35">
      <c r="A46" t="s">
        <v>105</v>
      </c>
      <c r="B46" s="7">
        <v>14898.999</v>
      </c>
      <c r="C46" s="7">
        <v>2574.5700000000002</v>
      </c>
      <c r="D46" s="7">
        <v>3194.11</v>
      </c>
      <c r="E46" s="7">
        <v>382.15199999999999</v>
      </c>
      <c r="F46" s="8">
        <v>67.284549999999996</v>
      </c>
    </row>
    <row r="47" spans="1:6" x14ac:dyDescent="0.35">
      <c r="A47" t="s">
        <v>106</v>
      </c>
      <c r="B47" s="7">
        <v>14608.209000000001</v>
      </c>
      <c r="C47" s="7">
        <v>2493.6770000000001</v>
      </c>
      <c r="D47" s="7">
        <v>3192.866</v>
      </c>
      <c r="E47" s="7">
        <v>379.61399999999998</v>
      </c>
      <c r="F47" s="8">
        <v>73.245149999999995</v>
      </c>
    </row>
    <row r="48" spans="1:6" x14ac:dyDescent="0.35">
      <c r="A48" t="s">
        <v>107</v>
      </c>
      <c r="B48" s="7">
        <v>14430.902</v>
      </c>
      <c r="C48" s="7">
        <v>2222.444</v>
      </c>
      <c r="D48" s="7">
        <v>3322.7669999999998</v>
      </c>
      <c r="E48" s="7">
        <v>361.86900000000003</v>
      </c>
      <c r="F48" s="8">
        <v>77.104960000000005</v>
      </c>
    </row>
    <row r="49" spans="1:6" x14ac:dyDescent="0.35">
      <c r="A49" t="s">
        <v>108</v>
      </c>
      <c r="B49" s="7">
        <v>14381.236000000001</v>
      </c>
      <c r="C49" s="7">
        <v>2223.8240000000001</v>
      </c>
      <c r="D49" s="7">
        <v>3524.6709999999998</v>
      </c>
      <c r="E49" s="7">
        <v>352.13400000000001</v>
      </c>
      <c r="F49" s="8">
        <v>80.28013</v>
      </c>
    </row>
    <row r="50" spans="1:6" x14ac:dyDescent="0.35">
      <c r="A50" t="s">
        <v>109</v>
      </c>
      <c r="B50" s="7">
        <v>14448.882</v>
      </c>
      <c r="C50" s="7">
        <v>2225.5010000000002</v>
      </c>
      <c r="D50" s="7">
        <v>3532.9029999999998</v>
      </c>
      <c r="E50" s="7">
        <v>350.31700000000001</v>
      </c>
      <c r="F50" s="8">
        <v>82.427329999999998</v>
      </c>
    </row>
    <row r="51" spans="1:6" x14ac:dyDescent="0.35">
      <c r="A51" t="s">
        <v>110</v>
      </c>
      <c r="B51" s="7">
        <v>14651.249</v>
      </c>
      <c r="C51" s="7">
        <v>2296.4920000000002</v>
      </c>
      <c r="D51" s="7">
        <v>3560.6190000000001</v>
      </c>
      <c r="E51" s="7">
        <v>353.81099999999998</v>
      </c>
      <c r="F51" s="8">
        <v>84.029349999999994</v>
      </c>
    </row>
    <row r="52" spans="1:6" x14ac:dyDescent="0.35">
      <c r="A52" t="s">
        <v>111</v>
      </c>
      <c r="B52" s="7">
        <v>14764.61</v>
      </c>
      <c r="C52" s="7">
        <v>2366.1320000000001</v>
      </c>
      <c r="D52" s="7">
        <v>3710.5479999999998</v>
      </c>
      <c r="E52" s="7">
        <v>360.25799999999998</v>
      </c>
      <c r="F52" s="8">
        <v>86.511750000000006</v>
      </c>
    </row>
    <row r="53" spans="1:6" x14ac:dyDescent="0.35">
      <c r="A53" t="s">
        <v>112</v>
      </c>
      <c r="B53" s="7">
        <v>14980.192999999999</v>
      </c>
      <c r="C53" s="7">
        <v>2420.6729999999998</v>
      </c>
      <c r="D53" s="7">
        <v>3745.7109999999998</v>
      </c>
      <c r="E53" s="7">
        <v>376.93</v>
      </c>
      <c r="F53" s="8">
        <v>88.128320000000002</v>
      </c>
    </row>
    <row r="54" spans="1:6" x14ac:dyDescent="0.35">
      <c r="A54" t="s">
        <v>113</v>
      </c>
      <c r="B54" s="7">
        <v>15141.607</v>
      </c>
      <c r="C54" s="7">
        <v>2483.29</v>
      </c>
      <c r="D54" s="7">
        <v>3792.4380000000001</v>
      </c>
      <c r="E54" s="7">
        <v>389.24700000000001</v>
      </c>
      <c r="F54" s="8">
        <v>89.565280000000001</v>
      </c>
    </row>
    <row r="55" spans="1:6" x14ac:dyDescent="0.35">
      <c r="A55" t="s">
        <v>114</v>
      </c>
      <c r="B55" s="7">
        <v>15309.474</v>
      </c>
      <c r="C55" s="7">
        <v>2514.962</v>
      </c>
      <c r="D55" s="7">
        <v>3809.8040000000001</v>
      </c>
      <c r="E55" s="7">
        <v>399.51400000000001</v>
      </c>
      <c r="F55" s="8">
        <v>91.611339999999998</v>
      </c>
    </row>
    <row r="56" spans="1:6" x14ac:dyDescent="0.35">
      <c r="A56" t="s">
        <v>115</v>
      </c>
      <c r="B56" s="7">
        <v>15351.448</v>
      </c>
      <c r="C56" s="7">
        <v>2566.855</v>
      </c>
      <c r="D56" s="7">
        <v>3811.2629999999999</v>
      </c>
      <c r="E56" s="7">
        <v>410.80500000000001</v>
      </c>
      <c r="F56" s="8">
        <v>92.956140000000005</v>
      </c>
    </row>
    <row r="57" spans="1:6" x14ac:dyDescent="0.35">
      <c r="A57" t="s">
        <v>116</v>
      </c>
      <c r="B57" s="7">
        <v>15557.539000000001</v>
      </c>
      <c r="C57" s="7">
        <v>2574.9720000000002</v>
      </c>
      <c r="D57" s="7">
        <v>3849.377</v>
      </c>
      <c r="E57" s="7">
        <v>424.98700000000002</v>
      </c>
      <c r="F57" s="8">
        <v>92.193799999999996</v>
      </c>
    </row>
    <row r="58" spans="1:6" x14ac:dyDescent="0.35">
      <c r="A58" t="s">
        <v>117</v>
      </c>
      <c r="B58" s="7">
        <v>15647.68</v>
      </c>
      <c r="C58" s="7">
        <v>2565.373</v>
      </c>
      <c r="D58" s="7">
        <v>3783.8330000000001</v>
      </c>
      <c r="E58" s="7">
        <v>432.625</v>
      </c>
      <c r="F58" s="8">
        <v>94.520979999999994</v>
      </c>
    </row>
    <row r="59" spans="1:6" x14ac:dyDescent="0.35">
      <c r="A59" t="s">
        <v>118</v>
      </c>
      <c r="B59" s="7">
        <v>15842.259</v>
      </c>
      <c r="C59" s="7">
        <v>2587.239</v>
      </c>
      <c r="D59" s="7">
        <v>3786.5279999999998</v>
      </c>
      <c r="E59" s="7">
        <v>433.35</v>
      </c>
      <c r="F59" s="8">
        <v>96.090720000000005</v>
      </c>
    </row>
    <row r="60" spans="1:6" x14ac:dyDescent="0.35">
      <c r="A60" t="s">
        <v>119</v>
      </c>
      <c r="B60" s="7">
        <v>16068.805</v>
      </c>
      <c r="C60" s="7">
        <v>2663.9490000000001</v>
      </c>
      <c r="D60" s="7">
        <v>3774.3440000000001</v>
      </c>
      <c r="E60" s="7">
        <v>428.34300000000002</v>
      </c>
      <c r="F60" s="8">
        <v>97.123080000000002</v>
      </c>
    </row>
    <row r="61" spans="1:6" x14ac:dyDescent="0.35">
      <c r="A61" t="s">
        <v>120</v>
      </c>
      <c r="B61" s="7">
        <v>16207.115</v>
      </c>
      <c r="C61" s="7">
        <v>2679.7469999999998</v>
      </c>
      <c r="D61" s="7">
        <v>3772.8670000000002</v>
      </c>
      <c r="E61" s="7">
        <v>424.34500000000003</v>
      </c>
      <c r="F61" s="8">
        <v>97.827629999999999</v>
      </c>
    </row>
    <row r="62" spans="1:6" x14ac:dyDescent="0.35">
      <c r="A62" t="s">
        <v>121</v>
      </c>
      <c r="B62" s="7">
        <v>16319.540999999999</v>
      </c>
      <c r="C62" s="7">
        <v>2690.5549999999998</v>
      </c>
      <c r="D62" s="7">
        <v>3777.299</v>
      </c>
      <c r="E62" s="7">
        <v>420.97399999999999</v>
      </c>
      <c r="F62" s="8">
        <v>98.447869999999995</v>
      </c>
    </row>
    <row r="63" spans="1:6" x14ac:dyDescent="0.35">
      <c r="A63" t="s">
        <v>122</v>
      </c>
      <c r="B63" s="7">
        <v>16420.419000000002</v>
      </c>
      <c r="C63" s="7">
        <v>2769.018</v>
      </c>
      <c r="D63" s="7">
        <v>3769.5030000000002</v>
      </c>
      <c r="E63" s="7">
        <v>416.834</v>
      </c>
      <c r="F63" s="8">
        <v>100.07496999999999</v>
      </c>
    </row>
    <row r="64" spans="1:6" x14ac:dyDescent="0.35">
      <c r="A64" t="s">
        <v>123</v>
      </c>
      <c r="B64" s="7">
        <v>16648.188999999998</v>
      </c>
      <c r="C64" s="7">
        <v>2984.538</v>
      </c>
      <c r="D64" s="7">
        <v>3758.7979999999998</v>
      </c>
      <c r="E64" s="7">
        <v>411.05200000000002</v>
      </c>
      <c r="F64" s="8">
        <v>100.73997</v>
      </c>
    </row>
    <row r="65" spans="1:6" x14ac:dyDescent="0.35">
      <c r="A65" t="s">
        <v>124</v>
      </c>
      <c r="B65" s="7">
        <v>16728.687000000002</v>
      </c>
      <c r="C65" s="7">
        <v>3244.7460000000001</v>
      </c>
      <c r="D65" s="7">
        <v>3776.0349999999999</v>
      </c>
      <c r="E65" s="7">
        <v>412.50799999999998</v>
      </c>
      <c r="F65" s="8">
        <v>100.05758</v>
      </c>
    </row>
    <row r="66" spans="1:6" x14ac:dyDescent="0.35">
      <c r="A66" t="s">
        <v>125</v>
      </c>
      <c r="B66" s="7">
        <v>16953.838</v>
      </c>
      <c r="C66" s="7">
        <v>3070.3290000000002</v>
      </c>
      <c r="D66" s="7">
        <v>3773.7240000000002</v>
      </c>
      <c r="E66" s="7">
        <v>416.74200000000002</v>
      </c>
      <c r="F66" s="8">
        <v>98.727969999999999</v>
      </c>
    </row>
    <row r="67" spans="1:6" x14ac:dyDescent="0.35">
      <c r="A67" t="s">
        <v>126</v>
      </c>
      <c r="B67" s="7">
        <v>17192.019</v>
      </c>
      <c r="C67" s="7">
        <v>3245.665</v>
      </c>
      <c r="D67" s="7">
        <v>3772.4630000000002</v>
      </c>
      <c r="E67" s="7">
        <v>425.00099999999998</v>
      </c>
      <c r="F67" s="8">
        <v>99.791179999999997</v>
      </c>
    </row>
    <row r="68" spans="1:6" x14ac:dyDescent="0.35">
      <c r="A68" t="s">
        <v>127</v>
      </c>
      <c r="B68" s="7">
        <v>17197.738000000001</v>
      </c>
      <c r="C68" s="7">
        <v>3262.8380000000002</v>
      </c>
      <c r="D68" s="7">
        <v>3819.402</v>
      </c>
      <c r="E68" s="7">
        <v>431.952</v>
      </c>
      <c r="F68" s="8">
        <v>102.34617</v>
      </c>
    </row>
    <row r="69" spans="1:6" x14ac:dyDescent="0.35">
      <c r="A69" t="s">
        <v>128</v>
      </c>
      <c r="B69" s="7">
        <v>17518.508000000002</v>
      </c>
      <c r="C69" s="7">
        <v>3295.8310000000001</v>
      </c>
      <c r="D69" s="7">
        <v>3876.0720000000001</v>
      </c>
      <c r="E69" s="7">
        <v>440.02699999999999</v>
      </c>
      <c r="F69" s="8">
        <v>100.65130000000001</v>
      </c>
    </row>
    <row r="70" spans="1:6" x14ac:dyDescent="0.35">
      <c r="A70" t="s">
        <v>129</v>
      </c>
      <c r="B70" s="7">
        <v>17804.227999999999</v>
      </c>
      <c r="C70" s="7">
        <v>3303.6979999999999</v>
      </c>
      <c r="D70" s="7">
        <v>3931.623</v>
      </c>
      <c r="E70" s="7">
        <v>442.10700000000003</v>
      </c>
      <c r="F70" s="8">
        <v>100.11145</v>
      </c>
    </row>
    <row r="71" spans="1:6" x14ac:dyDescent="0.35">
      <c r="A71" t="s">
        <v>130</v>
      </c>
      <c r="B71" s="7">
        <v>17912.079000000002</v>
      </c>
      <c r="C71" s="7">
        <v>3315.2979999999998</v>
      </c>
      <c r="D71" s="7">
        <v>3926.6509999999998</v>
      </c>
      <c r="E71" s="7">
        <v>442.28300000000002</v>
      </c>
      <c r="F71" s="8">
        <v>101.2805</v>
      </c>
    </row>
    <row r="72" spans="1:6" x14ac:dyDescent="0.35">
      <c r="A72" t="s">
        <v>131</v>
      </c>
      <c r="B72" s="7">
        <v>18063.528999999999</v>
      </c>
      <c r="C72" s="7">
        <v>3391.529</v>
      </c>
      <c r="D72" s="7">
        <v>3970.21</v>
      </c>
      <c r="E72" s="7">
        <v>428.68900000000002</v>
      </c>
      <c r="F72" s="8">
        <v>100.49009</v>
      </c>
    </row>
    <row r="73" spans="1:6" x14ac:dyDescent="0.35">
      <c r="A73" t="s">
        <v>132</v>
      </c>
      <c r="B73" s="7">
        <v>18279.784</v>
      </c>
      <c r="C73" s="7">
        <v>3445.4009999999998</v>
      </c>
      <c r="D73" s="7">
        <v>3990.7779999999998</v>
      </c>
      <c r="E73" s="7">
        <v>425.87700000000001</v>
      </c>
      <c r="F73" s="8">
        <v>99.300939999999997</v>
      </c>
    </row>
    <row r="74" spans="1:6" x14ac:dyDescent="0.35">
      <c r="A74" t="s">
        <v>133</v>
      </c>
      <c r="B74" s="7">
        <v>18401.626</v>
      </c>
      <c r="C74" s="7">
        <v>3446.663</v>
      </c>
      <c r="D74" s="7">
        <v>4011.91</v>
      </c>
      <c r="E74" s="7">
        <v>427.88099999999997</v>
      </c>
      <c r="F74" s="8">
        <v>98.635949999999994</v>
      </c>
    </row>
    <row r="75" spans="1:6" x14ac:dyDescent="0.35">
      <c r="A75" t="s">
        <v>134</v>
      </c>
      <c r="B75" s="7">
        <v>18435.136999999999</v>
      </c>
      <c r="C75" s="7">
        <v>3509.95</v>
      </c>
      <c r="D75" s="7">
        <v>4050.4029999999998</v>
      </c>
      <c r="E75" s="7">
        <v>434.68200000000002</v>
      </c>
      <c r="F75" s="8">
        <v>102.64192</v>
      </c>
    </row>
    <row r="76" spans="1:6" x14ac:dyDescent="0.35">
      <c r="A76" t="s">
        <v>135</v>
      </c>
      <c r="B76" s="7">
        <v>18525.933000000001</v>
      </c>
      <c r="C76" s="7">
        <v>3445.5309999999999</v>
      </c>
      <c r="D76" s="7">
        <v>4084.2919999999999</v>
      </c>
      <c r="E76" s="7">
        <v>446.22500000000002</v>
      </c>
      <c r="F76" s="8">
        <v>103.98904</v>
      </c>
    </row>
    <row r="77" spans="1:6" x14ac:dyDescent="0.35">
      <c r="A77" t="s">
        <v>136</v>
      </c>
      <c r="B77" s="7">
        <v>18711.702000000001</v>
      </c>
      <c r="C77" s="7">
        <v>3447.085</v>
      </c>
      <c r="D77" s="7">
        <v>4101.6469999999999</v>
      </c>
      <c r="E77" s="7">
        <v>453.291</v>
      </c>
      <c r="F77" s="8">
        <v>103.58005</v>
      </c>
    </row>
    <row r="78" spans="1:6" x14ac:dyDescent="0.35">
      <c r="A78" t="s">
        <v>137</v>
      </c>
      <c r="B78" s="7">
        <v>18892.638999999999</v>
      </c>
      <c r="C78" s="7">
        <v>3468.7310000000002</v>
      </c>
      <c r="D78" s="7">
        <v>4150.5</v>
      </c>
      <c r="E78" s="7">
        <v>457.51400000000001</v>
      </c>
      <c r="F78" s="8">
        <v>103.60355</v>
      </c>
    </row>
    <row r="79" spans="1:6" x14ac:dyDescent="0.35">
      <c r="A79" t="s">
        <v>138</v>
      </c>
      <c r="B79" s="7">
        <v>19089.379000000001</v>
      </c>
      <c r="C79" s="7">
        <v>3481.3429999999998</v>
      </c>
      <c r="D79" s="7">
        <v>4175.46</v>
      </c>
      <c r="E79" s="7">
        <v>460.18400000000003</v>
      </c>
      <c r="F79" s="8">
        <v>104.64891</v>
      </c>
    </row>
    <row r="80" spans="1:6" x14ac:dyDescent="0.35">
      <c r="A80" t="s">
        <v>139</v>
      </c>
      <c r="B80" s="7">
        <v>19280.083999999999</v>
      </c>
      <c r="C80" s="7">
        <v>3482.1840000000002</v>
      </c>
      <c r="D80" s="7">
        <v>4192.2619999999997</v>
      </c>
      <c r="E80" s="7">
        <v>460.66899999999998</v>
      </c>
      <c r="F80" s="8">
        <v>102.93741</v>
      </c>
    </row>
    <row r="81" spans="1:6" x14ac:dyDescent="0.35">
      <c r="A81" t="s">
        <v>140</v>
      </c>
      <c r="B81" s="7">
        <v>19438.643</v>
      </c>
      <c r="C81" s="7">
        <v>3467.7489999999998</v>
      </c>
      <c r="D81" s="7">
        <v>4195.549</v>
      </c>
      <c r="E81" s="7">
        <v>471.214</v>
      </c>
      <c r="F81" s="8">
        <v>102.08817000000001</v>
      </c>
    </row>
    <row r="82" spans="1:6" x14ac:dyDescent="0.35">
      <c r="A82" t="s">
        <v>141</v>
      </c>
      <c r="B82" s="7">
        <v>19692.595000000001</v>
      </c>
      <c r="C82" s="7">
        <v>3512.1790000000001</v>
      </c>
      <c r="D82" s="7">
        <v>4253.9849999999997</v>
      </c>
      <c r="E82" s="7">
        <v>481.45699999999999</v>
      </c>
      <c r="F82" s="8">
        <v>102.80463</v>
      </c>
    </row>
    <row r="83" spans="1:6" x14ac:dyDescent="0.35">
      <c r="A83" t="s">
        <v>142</v>
      </c>
      <c r="B83" s="7">
        <v>20037.088</v>
      </c>
      <c r="C83" s="7">
        <v>3552.8780000000002</v>
      </c>
      <c r="D83" s="7">
        <v>4320.3829999999998</v>
      </c>
      <c r="E83" s="7">
        <v>493.44099999999997</v>
      </c>
      <c r="F83" s="8">
        <v>102.27408</v>
      </c>
    </row>
    <row r="84" spans="1:6" x14ac:dyDescent="0.35">
      <c r="A84" t="s">
        <v>143</v>
      </c>
      <c r="B84" s="7">
        <v>20328.553</v>
      </c>
      <c r="C84" s="7">
        <v>3514.2249999999999</v>
      </c>
      <c r="D84" s="7">
        <v>4398.5010000000002</v>
      </c>
      <c r="E84" s="7">
        <v>507.61900000000003</v>
      </c>
      <c r="F84" s="8">
        <v>103.74395</v>
      </c>
    </row>
    <row r="85" spans="1:6" x14ac:dyDescent="0.35">
      <c r="A85" t="s">
        <v>144</v>
      </c>
      <c r="B85" s="7">
        <v>20580.912</v>
      </c>
      <c r="C85" s="7">
        <v>3552.7220000000002</v>
      </c>
      <c r="D85" s="7">
        <v>4453.7830000000004</v>
      </c>
      <c r="E85" s="7">
        <v>531.77800000000002</v>
      </c>
      <c r="F85" s="8">
        <v>102.98411</v>
      </c>
    </row>
    <row r="86" spans="1:6" x14ac:dyDescent="0.35">
      <c r="A86" t="s">
        <v>145</v>
      </c>
      <c r="B86" s="7">
        <v>20798.73</v>
      </c>
      <c r="C86" s="7">
        <v>3632.415</v>
      </c>
      <c r="D86" s="7">
        <v>4512.2250000000004</v>
      </c>
      <c r="E86" s="7">
        <v>551.89099999999996</v>
      </c>
      <c r="F86" s="8">
        <v>103.44889999999999</v>
      </c>
    </row>
    <row r="87" spans="1:6" x14ac:dyDescent="0.35">
      <c r="A87" t="s">
        <v>146</v>
      </c>
      <c r="B87" s="7">
        <v>20917.866999999998</v>
      </c>
      <c r="C87" s="7">
        <v>3633.0160000000001</v>
      </c>
      <c r="D87" s="7">
        <v>4593.4070000000002</v>
      </c>
      <c r="E87" s="7">
        <v>571.22900000000004</v>
      </c>
      <c r="F87" s="8">
        <v>105.04940999999999</v>
      </c>
    </row>
    <row r="88" spans="1:6" x14ac:dyDescent="0.35">
      <c r="A88" t="s">
        <v>147</v>
      </c>
      <c r="B88" s="7">
        <v>21111.599999999999</v>
      </c>
      <c r="C88" s="7">
        <v>3652.348</v>
      </c>
      <c r="D88" s="7">
        <v>4687.9970000000003</v>
      </c>
      <c r="E88" s="7">
        <v>579.71400000000006</v>
      </c>
      <c r="F88" s="8">
        <v>104.34017</v>
      </c>
    </row>
    <row r="89" spans="1:6" x14ac:dyDescent="0.35">
      <c r="A89" t="s">
        <v>148</v>
      </c>
      <c r="B89" s="7">
        <v>21397.937999999998</v>
      </c>
      <c r="C89" s="7">
        <v>3679.518</v>
      </c>
      <c r="D89" s="7">
        <v>4734.95</v>
      </c>
      <c r="E89" s="7">
        <v>586.40899999999999</v>
      </c>
      <c r="F89" s="8">
        <v>102.92245</v>
      </c>
    </row>
    <row r="90" spans="1:6" x14ac:dyDescent="0.35">
      <c r="A90" t="s">
        <v>149</v>
      </c>
      <c r="B90" s="7">
        <v>21717.170999999998</v>
      </c>
      <c r="C90" s="7">
        <v>3708.5940000000001</v>
      </c>
      <c r="D90" s="7">
        <v>4773.268</v>
      </c>
      <c r="E90" s="7">
        <v>578.25599999999997</v>
      </c>
      <c r="F90" s="8">
        <v>104.61492</v>
      </c>
    </row>
    <row r="91" spans="1:6" x14ac:dyDescent="0.35">
      <c r="A91" t="s">
        <v>150</v>
      </c>
      <c r="B91" s="7">
        <v>21933.217000000001</v>
      </c>
      <c r="C91" s="7">
        <v>3776.86</v>
      </c>
      <c r="D91" s="7">
        <v>4796.2740000000003</v>
      </c>
      <c r="E91" s="7">
        <v>564.24099999999999</v>
      </c>
      <c r="F91" s="8">
        <v>105.78193</v>
      </c>
    </row>
    <row r="92" spans="1:6" x14ac:dyDescent="0.35">
      <c r="A92" t="s">
        <v>151</v>
      </c>
      <c r="B92" s="7">
        <v>21751.238000000001</v>
      </c>
      <c r="C92" s="7">
        <v>3791.2179999999998</v>
      </c>
      <c r="D92" s="7">
        <v>4866.6229999999996</v>
      </c>
      <c r="E92" s="7">
        <v>544.12199999999996</v>
      </c>
      <c r="F92" s="8">
        <v>106.77007</v>
      </c>
    </row>
    <row r="93" spans="1:6" x14ac:dyDescent="0.35">
      <c r="A93" t="s">
        <v>152</v>
      </c>
      <c r="B93" s="7">
        <v>19958.291000000001</v>
      </c>
      <c r="C93" s="7">
        <v>3534.511</v>
      </c>
      <c r="D93" s="7">
        <v>8891.3729999999996</v>
      </c>
      <c r="E93" s="7">
        <v>514.73699999999997</v>
      </c>
      <c r="F93" s="8">
        <v>132.66287</v>
      </c>
    </row>
    <row r="94" spans="1:6" x14ac:dyDescent="0.35">
      <c r="A94" t="s">
        <v>153</v>
      </c>
      <c r="B94" s="7">
        <v>21704.437000000002</v>
      </c>
      <c r="C94" s="7">
        <v>3797.5749999999998</v>
      </c>
      <c r="D94" s="7">
        <v>7174.1109999999999</v>
      </c>
      <c r="E94" s="7">
        <v>508.01100000000002</v>
      </c>
      <c r="F94" s="8">
        <v>124.14691999999999</v>
      </c>
    </row>
    <row r="95" spans="1:6" x14ac:dyDescent="0.35">
      <c r="A95" t="s">
        <v>154</v>
      </c>
      <c r="B95" s="7">
        <v>22087.16</v>
      </c>
      <c r="C95" s="7">
        <v>3943.357</v>
      </c>
      <c r="D95" s="7">
        <v>5928.3429999999998</v>
      </c>
      <c r="E95" s="7">
        <v>516.71100000000001</v>
      </c>
      <c r="F95" s="8">
        <v>125.62864</v>
      </c>
    </row>
    <row r="96" spans="1:6" x14ac:dyDescent="0.35">
      <c r="A96" t="s">
        <v>155</v>
      </c>
      <c r="B96" s="7">
        <v>22680.692999999999</v>
      </c>
      <c r="C96" s="7">
        <v>4135.3419999999996</v>
      </c>
      <c r="D96" s="7">
        <v>8346.2909999999993</v>
      </c>
      <c r="E96" s="7">
        <v>533.51800000000003</v>
      </c>
      <c r="F96" s="8">
        <v>124.03752</v>
      </c>
    </row>
    <row r="97" spans="1:6" x14ac:dyDescent="0.35">
      <c r="A97" t="s">
        <v>156</v>
      </c>
      <c r="B97" s="7">
        <v>23425.91</v>
      </c>
      <c r="C97" s="7">
        <v>4368.8339999999998</v>
      </c>
      <c r="D97" s="7">
        <v>7754.3249999999998</v>
      </c>
      <c r="E97" s="7">
        <v>560.63400000000001</v>
      </c>
      <c r="F97" s="8">
        <v>121.78582</v>
      </c>
    </row>
    <row r="98" spans="1:6" x14ac:dyDescent="0.35">
      <c r="A98" t="s">
        <v>157</v>
      </c>
      <c r="B98" s="7">
        <v>23982.379000000001</v>
      </c>
      <c r="C98" s="7">
        <v>4523.1400000000003</v>
      </c>
      <c r="D98" s="7">
        <v>6795.61</v>
      </c>
      <c r="E98" s="7">
        <v>587.91999999999996</v>
      </c>
      <c r="F98" s="8">
        <v>118.54086</v>
      </c>
    </row>
    <row r="99" spans="1:6" x14ac:dyDescent="0.35">
      <c r="A99" t="s">
        <v>158</v>
      </c>
      <c r="B99" s="7">
        <v>24813.599999999999</v>
      </c>
      <c r="C99" s="7">
        <v>4689.0410000000002</v>
      </c>
      <c r="D99" s="7">
        <v>6240.0060000000003</v>
      </c>
      <c r="E99" s="7">
        <v>612.28200000000004</v>
      </c>
      <c r="F99" s="8">
        <v>119.3588</v>
      </c>
    </row>
    <row r="100" spans="1:6" x14ac:dyDescent="0.35">
      <c r="A100" t="s">
        <v>159</v>
      </c>
      <c r="B100" s="7">
        <v>25250.347000000002</v>
      </c>
      <c r="C100" s="7">
        <v>5075.1120000000001</v>
      </c>
      <c r="D100" s="7">
        <v>6002.8149999999996</v>
      </c>
      <c r="E100" s="7">
        <v>636.96799999999996</v>
      </c>
      <c r="F100" s="8">
        <v>120.39819</v>
      </c>
    </row>
    <row r="101" spans="1:6" x14ac:dyDescent="0.35">
      <c r="A101" t="s">
        <v>160</v>
      </c>
      <c r="B101" s="7">
        <v>25861.292000000001</v>
      </c>
      <c r="C101" s="7">
        <v>5134.7879999999996</v>
      </c>
      <c r="D101" s="7">
        <v>6079.6750000000002</v>
      </c>
      <c r="E101" s="7">
        <v>684.75800000000004</v>
      </c>
      <c r="F101" s="8">
        <v>118.20207000000001</v>
      </c>
    </row>
    <row r="102" spans="1:6" x14ac:dyDescent="0.35">
      <c r="A102" t="s">
        <v>161</v>
      </c>
      <c r="B102" s="7">
        <v>26336.304</v>
      </c>
      <c r="C102" s="7">
        <v>5149.4179999999997</v>
      </c>
      <c r="D102" s="7">
        <v>6178.7370000000001</v>
      </c>
      <c r="E102" s="7">
        <v>752.08100000000002</v>
      </c>
      <c r="F102" s="8">
        <v>117.43832</v>
      </c>
    </row>
    <row r="103" spans="1:6" x14ac:dyDescent="0.35">
      <c r="A103" t="s">
        <v>162</v>
      </c>
      <c r="B103" s="7">
        <v>26770.513999999999</v>
      </c>
      <c r="C103" s="7">
        <v>5102.7640000000001</v>
      </c>
      <c r="D103" s="7">
        <v>6318.34</v>
      </c>
      <c r="E103" s="7">
        <v>823.10599999999999</v>
      </c>
      <c r="F103" s="8">
        <v>117.36678000000001</v>
      </c>
    </row>
    <row r="104" spans="1:6" x14ac:dyDescent="0.35">
      <c r="A104" t="s">
        <v>163</v>
      </c>
      <c r="B104" s="7">
        <v>27216.445</v>
      </c>
      <c r="C104" s="7">
        <v>4751.9949999999999</v>
      </c>
      <c r="D104" s="7">
        <v>6433.6</v>
      </c>
      <c r="E104" s="7">
        <v>861.26700000000005</v>
      </c>
      <c r="F104" s="8">
        <v>115.58614</v>
      </c>
    </row>
    <row r="105" spans="1:6" x14ac:dyDescent="0.35">
      <c r="A105" t="s">
        <v>164</v>
      </c>
      <c r="B105" s="7">
        <v>27530.055</v>
      </c>
      <c r="C105" s="7">
        <v>4769.4170000000004</v>
      </c>
      <c r="D105" s="7">
        <v>6491.6970000000001</v>
      </c>
      <c r="E105" s="7">
        <v>894.10599999999999</v>
      </c>
      <c r="F105" s="8">
        <v>117.44355</v>
      </c>
    </row>
    <row r="106" spans="1:6" x14ac:dyDescent="0.35">
      <c r="A106" t="s">
        <v>165</v>
      </c>
      <c r="B106" s="7">
        <v>28074.846000000001</v>
      </c>
      <c r="C106" s="7">
        <v>4835.5469999999996</v>
      </c>
      <c r="D106" s="7">
        <v>6558.6350000000002</v>
      </c>
      <c r="E106" s="7">
        <v>966.899</v>
      </c>
      <c r="F106" s="8">
        <v>118.13897</v>
      </c>
    </row>
    <row r="107" spans="1:6" x14ac:dyDescent="0.35">
      <c r="A107" t="s">
        <v>166</v>
      </c>
      <c r="B107" s="7">
        <v>28424.722000000002</v>
      </c>
      <c r="C107" s="7">
        <v>4926.5460000000003</v>
      </c>
      <c r="D107" s="7">
        <v>6668.1279999999997</v>
      </c>
      <c r="E107" s="7">
        <v>1031.4780000000001</v>
      </c>
      <c r="F107" s="8">
        <v>119.61944</v>
      </c>
    </row>
    <row r="108" spans="1:6" x14ac:dyDescent="0.35">
      <c r="A108" t="s">
        <v>167</v>
      </c>
      <c r="B108" s="7">
        <v>28708.161</v>
      </c>
      <c r="C108" s="7">
        <v>5045.84</v>
      </c>
      <c r="D108" s="7">
        <v>6846.1229999999996</v>
      </c>
      <c r="E108" s="7">
        <v>1071.174</v>
      </c>
      <c r="F108" s="8">
        <v>120.47631</v>
      </c>
    </row>
    <row r="109" spans="1:6" x14ac:dyDescent="0.35">
      <c r="A109" t="s">
        <v>168</v>
      </c>
      <c r="B109" s="7">
        <v>29147.044000000002</v>
      </c>
      <c r="C109" s="7">
        <v>5146.4979999999996</v>
      </c>
      <c r="D109" s="7">
        <v>6954.0209999999997</v>
      </c>
      <c r="E109" s="7">
        <v>1103.5650000000001</v>
      </c>
      <c r="F109" s="8">
        <v>119.50314</v>
      </c>
    </row>
    <row r="110" spans="1:6" x14ac:dyDescent="0.35">
      <c r="A110" t="s">
        <v>169</v>
      </c>
      <c r="B110" s="7">
        <v>29511.664000000001</v>
      </c>
      <c r="C110" s="7">
        <v>5210.1149999999998</v>
      </c>
      <c r="D110" s="7">
        <v>7165.6629999999996</v>
      </c>
      <c r="E110" s="7">
        <v>1146.182</v>
      </c>
      <c r="F110" s="8">
        <v>120.17171999999999</v>
      </c>
    </row>
    <row r="111" spans="1:6" x14ac:dyDescent="0.35">
      <c r="A111" t="s">
        <v>170</v>
      </c>
      <c r="B111" s="7">
        <v>29825.182000000001</v>
      </c>
      <c r="C111" s="7">
        <v>5313.1930000000002</v>
      </c>
      <c r="D111" s="7">
        <v>7247.6620000000003</v>
      </c>
      <c r="E111" s="7">
        <v>1155.616</v>
      </c>
      <c r="F111" s="8">
        <v>121.43633</v>
      </c>
    </row>
    <row r="112" spans="1:6" x14ac:dyDescent="0.35">
      <c r="A112" t="s">
        <v>171</v>
      </c>
      <c r="B112" s="7">
        <v>30042.113000000001</v>
      </c>
      <c r="C112" s="7">
        <v>5392.7169999999996</v>
      </c>
      <c r="D112" s="7">
        <v>7313.5969999999998</v>
      </c>
      <c r="E112" s="7">
        <v>1144.212</v>
      </c>
      <c r="F112" s="8">
        <v>120.54515000000001</v>
      </c>
    </row>
    <row r="113" spans="1:6" x14ac:dyDescent="0.35">
      <c r="A113" t="s">
        <v>172</v>
      </c>
      <c r="B113" s="7">
        <v>30485.728999999999</v>
      </c>
      <c r="C113" s="7">
        <v>5603.74</v>
      </c>
      <c r="D113" s="7">
        <v>7496.3389999999999</v>
      </c>
      <c r="E113" s="7">
        <v>1160.9000000000001</v>
      </c>
      <c r="F113" s="8">
        <v>118.78171</v>
      </c>
    </row>
    <row r="114" spans="1:6" x14ac:dyDescent="0.35">
      <c r="A114" t="s">
        <v>173</v>
      </c>
      <c r="B114" s="7">
        <v>31098.026999999998</v>
      </c>
      <c r="C114" s="7">
        <v>5793.5959999999995</v>
      </c>
      <c r="D114" s="7">
        <v>7580.2290000000003</v>
      </c>
      <c r="E114" s="7">
        <v>1199.1890000000001</v>
      </c>
      <c r="F114" s="8">
        <v>121.02875</v>
      </c>
    </row>
    <row r="115" spans="1:6" x14ac:dyDescent="0.35">
      <c r="A115" t="s">
        <v>174</v>
      </c>
      <c r="B115" s="7">
        <v>31422.526000000002</v>
      </c>
      <c r="C115" s="7">
        <v>5898.4790000000003</v>
      </c>
      <c r="D115" s="7">
        <v>7583.6629999999996</v>
      </c>
      <c r="E115" s="7">
        <v>1227.4949999999999</v>
      </c>
      <c r="F115" s="8">
        <v>122.56815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B02D-E035-4A5A-BC1E-5CD8BEEB3B01}">
  <dimension ref="A1:G116"/>
  <sheetViews>
    <sheetView showGridLines="0" zoomScaleNormal="100" workbookViewId="0">
      <selection activeCell="F5" sqref="F5"/>
    </sheetView>
  </sheetViews>
  <sheetFormatPr defaultColWidth="8.54296875" defaultRowHeight="14.5" x14ac:dyDescent="0.35"/>
  <cols>
    <col min="1" max="1" width="10" customWidth="1"/>
    <col min="2" max="6" width="24" customWidth="1"/>
  </cols>
  <sheetData>
    <row r="1" spans="1:7" ht="20" x14ac:dyDescent="0.4">
      <c r="A1" s="17" t="s">
        <v>52</v>
      </c>
      <c r="B1" s="17"/>
      <c r="C1" s="17"/>
      <c r="D1" s="17"/>
      <c r="E1" s="17"/>
      <c r="F1" s="17"/>
      <c r="G1" s="17"/>
    </row>
    <row r="3" spans="1:7" ht="75" x14ac:dyDescent="0.35">
      <c r="A3" s="4" t="s">
        <v>53</v>
      </c>
      <c r="B3" s="11" t="s">
        <v>332</v>
      </c>
      <c r="C3" s="4" t="s">
        <v>329</v>
      </c>
      <c r="D3" s="11" t="s">
        <v>331</v>
      </c>
      <c r="E3" s="11" t="s">
        <v>330</v>
      </c>
      <c r="F3" s="4" t="s">
        <v>328</v>
      </c>
    </row>
    <row r="4" spans="1:7" x14ac:dyDescent="0.35">
      <c r="B4" s="12" t="s">
        <v>333</v>
      </c>
      <c r="C4" s="1" t="s">
        <v>325</v>
      </c>
      <c r="D4" s="1" t="s">
        <v>326</v>
      </c>
      <c r="E4" s="1" t="s">
        <v>324</v>
      </c>
      <c r="F4" s="1" t="s">
        <v>327</v>
      </c>
    </row>
    <row r="5" spans="1:7" x14ac:dyDescent="0.35">
      <c r="A5" t="s">
        <v>64</v>
      </c>
      <c r="B5">
        <v>2249908</v>
      </c>
      <c r="C5">
        <v>455865</v>
      </c>
      <c r="D5">
        <v>445251</v>
      </c>
      <c r="E5">
        <v>91910</v>
      </c>
      <c r="F5">
        <v>5547935</v>
      </c>
    </row>
    <row r="6" spans="1:7" x14ac:dyDescent="0.35">
      <c r="A6" t="s">
        <v>65</v>
      </c>
      <c r="B6">
        <v>2281422</v>
      </c>
      <c r="C6">
        <v>456297</v>
      </c>
      <c r="D6">
        <v>443702</v>
      </c>
      <c r="E6">
        <v>91551</v>
      </c>
      <c r="F6">
        <v>5526193</v>
      </c>
    </row>
    <row r="7" spans="1:7" x14ac:dyDescent="0.35">
      <c r="A7" t="s">
        <v>66</v>
      </c>
      <c r="B7">
        <v>2370677</v>
      </c>
      <c r="C7">
        <v>450491</v>
      </c>
      <c r="D7">
        <v>460154</v>
      </c>
      <c r="E7">
        <v>90022</v>
      </c>
      <c r="F7">
        <v>5614217</v>
      </c>
    </row>
    <row r="8" spans="1:7" x14ac:dyDescent="0.35">
      <c r="A8" t="s">
        <v>67</v>
      </c>
      <c r="B8">
        <v>2293136</v>
      </c>
      <c r="C8">
        <v>451584</v>
      </c>
      <c r="D8">
        <v>448286</v>
      </c>
      <c r="E8">
        <v>88149</v>
      </c>
      <c r="F8">
        <v>5651615</v>
      </c>
    </row>
    <row r="9" spans="1:7" x14ac:dyDescent="0.35">
      <c r="A9" t="s">
        <v>68</v>
      </c>
      <c r="B9">
        <v>2388422</v>
      </c>
      <c r="C9">
        <v>486768</v>
      </c>
      <c r="D9">
        <v>456605</v>
      </c>
      <c r="E9">
        <v>88035</v>
      </c>
      <c r="F9">
        <v>5638780</v>
      </c>
    </row>
    <row r="10" spans="1:7" x14ac:dyDescent="0.35">
      <c r="A10" t="s">
        <v>69</v>
      </c>
      <c r="B10">
        <v>2423648</v>
      </c>
      <c r="C10">
        <v>483561</v>
      </c>
      <c r="D10">
        <v>458196</v>
      </c>
      <c r="E10">
        <v>87768</v>
      </c>
      <c r="F10">
        <v>5656271</v>
      </c>
    </row>
    <row r="11" spans="1:7" x14ac:dyDescent="0.35">
      <c r="A11" t="s">
        <v>70</v>
      </c>
      <c r="B11">
        <v>2524828</v>
      </c>
      <c r="C11">
        <v>484037</v>
      </c>
      <c r="D11">
        <v>473741</v>
      </c>
      <c r="E11">
        <v>88231</v>
      </c>
      <c r="F11">
        <v>5776091</v>
      </c>
    </row>
    <row r="12" spans="1:7" x14ac:dyDescent="0.35">
      <c r="A12" t="s">
        <v>71</v>
      </c>
      <c r="B12">
        <v>2448892</v>
      </c>
      <c r="C12">
        <v>499364</v>
      </c>
      <c r="D12">
        <v>468041</v>
      </c>
      <c r="E12">
        <v>88705</v>
      </c>
      <c r="F12">
        <v>5773392</v>
      </c>
    </row>
    <row r="13" spans="1:7" x14ac:dyDescent="0.35">
      <c r="A13" t="s">
        <v>72</v>
      </c>
      <c r="B13">
        <v>2569266</v>
      </c>
      <c r="C13">
        <v>531105</v>
      </c>
      <c r="D13">
        <v>479183</v>
      </c>
      <c r="E13">
        <v>88527</v>
      </c>
      <c r="F13">
        <v>5685938</v>
      </c>
    </row>
    <row r="14" spans="1:7" x14ac:dyDescent="0.35">
      <c r="A14" t="s">
        <v>73</v>
      </c>
      <c r="B14">
        <v>2577927</v>
      </c>
      <c r="C14">
        <v>522953</v>
      </c>
      <c r="D14">
        <v>472437</v>
      </c>
      <c r="E14">
        <v>88219</v>
      </c>
      <c r="F14">
        <v>5674179</v>
      </c>
    </row>
    <row r="15" spans="1:7" x14ac:dyDescent="0.35">
      <c r="A15" t="s">
        <v>74</v>
      </c>
      <c r="B15">
        <v>2655636</v>
      </c>
      <c r="C15">
        <v>514356</v>
      </c>
      <c r="D15">
        <v>488430</v>
      </c>
      <c r="E15">
        <v>88276</v>
      </c>
      <c r="F15">
        <v>5662216</v>
      </c>
    </row>
    <row r="16" spans="1:7" x14ac:dyDescent="0.35">
      <c r="A16" t="s">
        <v>75</v>
      </c>
      <c r="B16">
        <v>2562488</v>
      </c>
      <c r="C16">
        <v>511352</v>
      </c>
      <c r="D16">
        <v>497170</v>
      </c>
      <c r="E16">
        <v>86370</v>
      </c>
      <c r="F16">
        <v>5773740</v>
      </c>
    </row>
    <row r="17" spans="1:6" x14ac:dyDescent="0.35">
      <c r="A17" t="s">
        <v>76</v>
      </c>
      <c r="B17">
        <v>2656407</v>
      </c>
      <c r="C17">
        <v>537564</v>
      </c>
      <c r="D17">
        <v>503150</v>
      </c>
      <c r="E17">
        <v>83694</v>
      </c>
      <c r="F17">
        <v>5726815</v>
      </c>
    </row>
    <row r="18" spans="1:6" x14ac:dyDescent="0.35">
      <c r="A18" t="s">
        <v>77</v>
      </c>
      <c r="B18">
        <v>2651366</v>
      </c>
      <c r="C18">
        <v>485197</v>
      </c>
      <c r="D18">
        <v>501435</v>
      </c>
      <c r="E18">
        <v>81707</v>
      </c>
      <c r="F18">
        <v>5807464</v>
      </c>
    </row>
    <row r="19" spans="1:6" x14ac:dyDescent="0.35">
      <c r="A19" t="s">
        <v>78</v>
      </c>
      <c r="B19">
        <v>2711715</v>
      </c>
      <c r="C19">
        <v>498255</v>
      </c>
      <c r="D19">
        <v>515573</v>
      </c>
      <c r="E19">
        <v>79455</v>
      </c>
      <c r="F19">
        <v>5943439</v>
      </c>
    </row>
    <row r="20" spans="1:6" x14ac:dyDescent="0.35">
      <c r="A20" t="s">
        <v>79</v>
      </c>
      <c r="B20">
        <v>2631119</v>
      </c>
      <c r="C20">
        <v>459404</v>
      </c>
      <c r="D20">
        <v>522337</v>
      </c>
      <c r="E20">
        <v>76233</v>
      </c>
      <c r="F20">
        <v>6006032</v>
      </c>
    </row>
    <row r="21" spans="1:6" x14ac:dyDescent="0.35">
      <c r="A21" t="s">
        <v>80</v>
      </c>
      <c r="B21">
        <v>2721842</v>
      </c>
      <c r="C21">
        <v>477436</v>
      </c>
      <c r="D21">
        <v>535303</v>
      </c>
      <c r="E21">
        <v>75489</v>
      </c>
      <c r="F21">
        <v>6126469</v>
      </c>
    </row>
    <row r="22" spans="1:6" x14ac:dyDescent="0.35">
      <c r="A22" t="s">
        <v>81</v>
      </c>
      <c r="B22">
        <v>2751463</v>
      </c>
      <c r="C22">
        <v>455193</v>
      </c>
      <c r="D22">
        <v>534775</v>
      </c>
      <c r="E22">
        <v>75047</v>
      </c>
      <c r="F22">
        <v>6228236</v>
      </c>
    </row>
    <row r="23" spans="1:6" x14ac:dyDescent="0.35">
      <c r="A23" t="s">
        <v>82</v>
      </c>
      <c r="B23">
        <v>2824686</v>
      </c>
      <c r="C23">
        <v>478853</v>
      </c>
      <c r="D23">
        <v>546285</v>
      </c>
      <c r="E23">
        <v>74502</v>
      </c>
      <c r="F23">
        <v>6405707</v>
      </c>
    </row>
    <row r="24" spans="1:6" x14ac:dyDescent="0.35">
      <c r="A24" t="s">
        <v>83</v>
      </c>
      <c r="B24">
        <v>2743734</v>
      </c>
      <c r="C24">
        <v>474351</v>
      </c>
      <c r="D24">
        <v>556203</v>
      </c>
      <c r="E24">
        <v>72698</v>
      </c>
      <c r="F24">
        <v>6460776</v>
      </c>
    </row>
    <row r="25" spans="1:6" x14ac:dyDescent="0.35">
      <c r="A25" t="s">
        <v>84</v>
      </c>
      <c r="B25">
        <v>2831413</v>
      </c>
      <c r="C25">
        <v>485868</v>
      </c>
      <c r="D25">
        <v>577410</v>
      </c>
      <c r="E25">
        <v>72580</v>
      </c>
      <c r="F25">
        <v>6670121</v>
      </c>
    </row>
    <row r="26" spans="1:6" x14ac:dyDescent="0.35">
      <c r="A26" t="s">
        <v>85</v>
      </c>
      <c r="B26">
        <v>2886905</v>
      </c>
      <c r="C26">
        <v>437064</v>
      </c>
      <c r="D26">
        <v>575120</v>
      </c>
      <c r="E26">
        <v>72915</v>
      </c>
      <c r="F26">
        <v>6783320</v>
      </c>
    </row>
    <row r="27" spans="1:6" x14ac:dyDescent="0.35">
      <c r="A27" t="s">
        <v>86</v>
      </c>
      <c r="B27">
        <v>2994399</v>
      </c>
      <c r="C27">
        <v>498832</v>
      </c>
      <c r="D27">
        <v>584764</v>
      </c>
      <c r="E27">
        <v>73527</v>
      </c>
      <c r="F27">
        <v>6997964</v>
      </c>
    </row>
    <row r="28" spans="1:6" x14ac:dyDescent="0.35">
      <c r="A28" t="s">
        <v>87</v>
      </c>
      <c r="B28">
        <v>2924602</v>
      </c>
      <c r="C28">
        <v>485658</v>
      </c>
      <c r="D28">
        <v>596541</v>
      </c>
      <c r="E28">
        <v>74471</v>
      </c>
      <c r="F28">
        <v>7131068</v>
      </c>
    </row>
    <row r="29" spans="1:6" x14ac:dyDescent="0.35">
      <c r="A29" t="s">
        <v>88</v>
      </c>
      <c r="B29">
        <v>3032386</v>
      </c>
      <c r="C29">
        <v>510106</v>
      </c>
      <c r="D29">
        <v>600847</v>
      </c>
      <c r="E29">
        <v>74915</v>
      </c>
      <c r="F29">
        <v>7274335</v>
      </c>
    </row>
    <row r="30" spans="1:6" x14ac:dyDescent="0.35">
      <c r="A30" t="s">
        <v>89</v>
      </c>
      <c r="B30">
        <v>3069688</v>
      </c>
      <c r="C30">
        <v>484663</v>
      </c>
      <c r="D30">
        <v>604610</v>
      </c>
      <c r="E30">
        <v>77040</v>
      </c>
      <c r="F30">
        <v>7379053</v>
      </c>
    </row>
    <row r="31" spans="1:6" x14ac:dyDescent="0.35">
      <c r="A31" t="s">
        <v>90</v>
      </c>
      <c r="B31">
        <v>3190521</v>
      </c>
      <c r="C31">
        <v>547653</v>
      </c>
      <c r="D31">
        <v>619574</v>
      </c>
      <c r="E31">
        <v>79596</v>
      </c>
      <c r="F31">
        <v>7596143</v>
      </c>
    </row>
    <row r="32" spans="1:6" x14ac:dyDescent="0.35">
      <c r="A32" t="s">
        <v>91</v>
      </c>
      <c r="B32">
        <v>3111329</v>
      </c>
      <c r="C32">
        <v>551292</v>
      </c>
      <c r="D32">
        <v>638822</v>
      </c>
      <c r="E32">
        <v>82352</v>
      </c>
      <c r="F32">
        <v>7776939</v>
      </c>
    </row>
    <row r="33" spans="1:6" x14ac:dyDescent="0.35">
      <c r="A33" t="s">
        <v>92</v>
      </c>
      <c r="B33">
        <v>3232051</v>
      </c>
      <c r="C33">
        <v>578280</v>
      </c>
      <c r="D33">
        <v>645540</v>
      </c>
      <c r="E33">
        <v>85895</v>
      </c>
      <c r="F33">
        <v>7836496</v>
      </c>
    </row>
    <row r="34" spans="1:6" x14ac:dyDescent="0.35">
      <c r="A34" t="s">
        <v>93</v>
      </c>
      <c r="B34">
        <v>3306451</v>
      </c>
      <c r="C34">
        <v>566092</v>
      </c>
      <c r="D34">
        <v>651726</v>
      </c>
      <c r="E34">
        <v>87307</v>
      </c>
      <c r="F34">
        <v>7932710</v>
      </c>
    </row>
    <row r="35" spans="1:6" x14ac:dyDescent="0.35">
      <c r="A35" t="s">
        <v>94</v>
      </c>
      <c r="B35">
        <v>3389367</v>
      </c>
      <c r="C35">
        <v>609043</v>
      </c>
      <c r="D35">
        <v>662376</v>
      </c>
      <c r="E35">
        <v>88821</v>
      </c>
      <c r="F35">
        <v>8170413</v>
      </c>
    </row>
    <row r="36" spans="1:6" x14ac:dyDescent="0.35">
      <c r="A36" t="s">
        <v>95</v>
      </c>
      <c r="B36">
        <v>3333266</v>
      </c>
      <c r="C36">
        <v>621873</v>
      </c>
      <c r="D36">
        <v>684176</v>
      </c>
      <c r="E36">
        <v>89552</v>
      </c>
      <c r="F36">
        <v>8371156</v>
      </c>
    </row>
    <row r="37" spans="1:6" x14ac:dyDescent="0.35">
      <c r="A37" t="s">
        <v>96</v>
      </c>
      <c r="B37">
        <v>3460990</v>
      </c>
      <c r="C37">
        <v>634656</v>
      </c>
      <c r="D37">
        <v>690465</v>
      </c>
      <c r="E37">
        <v>91854</v>
      </c>
      <c r="F37">
        <v>8420042</v>
      </c>
    </row>
    <row r="38" spans="1:6" x14ac:dyDescent="0.35">
      <c r="A38" t="s">
        <v>97</v>
      </c>
      <c r="B38">
        <v>3463694</v>
      </c>
      <c r="C38">
        <v>612681</v>
      </c>
      <c r="D38">
        <v>689447</v>
      </c>
      <c r="E38">
        <v>94075</v>
      </c>
      <c r="F38">
        <v>8506974</v>
      </c>
    </row>
    <row r="39" spans="1:6" x14ac:dyDescent="0.35">
      <c r="A39" t="s">
        <v>98</v>
      </c>
      <c r="B39">
        <v>3557633</v>
      </c>
      <c r="C39">
        <v>669569</v>
      </c>
      <c r="D39">
        <v>696633</v>
      </c>
      <c r="E39">
        <v>96731</v>
      </c>
      <c r="F39">
        <v>8680224</v>
      </c>
    </row>
    <row r="40" spans="1:6" x14ac:dyDescent="0.35">
      <c r="A40" t="s">
        <v>99</v>
      </c>
      <c r="B40">
        <v>3482006</v>
      </c>
      <c r="C40">
        <v>668631</v>
      </c>
      <c r="D40">
        <v>717262</v>
      </c>
      <c r="E40">
        <v>99002</v>
      </c>
      <c r="F40">
        <v>8849665</v>
      </c>
    </row>
    <row r="41" spans="1:6" x14ac:dyDescent="0.35">
      <c r="A41" t="s">
        <v>100</v>
      </c>
      <c r="B41">
        <v>3613882</v>
      </c>
      <c r="C41">
        <v>677489</v>
      </c>
      <c r="D41">
        <v>728618</v>
      </c>
      <c r="E41">
        <v>101978</v>
      </c>
      <c r="F41">
        <v>8867677</v>
      </c>
    </row>
    <row r="42" spans="1:6" x14ac:dyDescent="0.35">
      <c r="A42" t="s">
        <v>101</v>
      </c>
      <c r="B42">
        <v>3637993</v>
      </c>
      <c r="C42">
        <v>644609</v>
      </c>
      <c r="D42">
        <v>732861</v>
      </c>
      <c r="E42">
        <v>103541</v>
      </c>
      <c r="F42">
        <v>9007653</v>
      </c>
    </row>
    <row r="43" spans="1:6" x14ac:dyDescent="0.35">
      <c r="A43" t="s">
        <v>102</v>
      </c>
      <c r="B43">
        <v>3740350</v>
      </c>
      <c r="C43">
        <v>677597</v>
      </c>
      <c r="D43">
        <v>749263</v>
      </c>
      <c r="E43">
        <v>103456</v>
      </c>
      <c r="F43">
        <v>9229172</v>
      </c>
    </row>
    <row r="44" spans="1:6" x14ac:dyDescent="0.35">
      <c r="A44" t="s">
        <v>103</v>
      </c>
      <c r="B44">
        <v>3657487</v>
      </c>
      <c r="C44">
        <v>665670</v>
      </c>
      <c r="D44">
        <v>761256</v>
      </c>
      <c r="E44">
        <v>100868</v>
      </c>
      <c r="F44">
        <v>9437594</v>
      </c>
    </row>
    <row r="45" spans="1:6" x14ac:dyDescent="0.35">
      <c r="A45" t="s">
        <v>104</v>
      </c>
      <c r="B45">
        <v>3715835</v>
      </c>
      <c r="C45">
        <v>662766</v>
      </c>
      <c r="D45">
        <v>848721</v>
      </c>
      <c r="E45">
        <v>97088</v>
      </c>
      <c r="F45">
        <v>9492006</v>
      </c>
    </row>
    <row r="46" spans="1:6" x14ac:dyDescent="0.35">
      <c r="A46" t="s">
        <v>105</v>
      </c>
      <c r="B46">
        <v>3698182</v>
      </c>
      <c r="C46">
        <v>619425</v>
      </c>
      <c r="D46">
        <v>795219</v>
      </c>
      <c r="E46">
        <v>95538</v>
      </c>
      <c r="F46">
        <v>10024725</v>
      </c>
    </row>
    <row r="47" spans="1:6" x14ac:dyDescent="0.35">
      <c r="A47" t="s">
        <v>106</v>
      </c>
      <c r="B47">
        <v>3698360</v>
      </c>
      <c r="C47">
        <v>634189</v>
      </c>
      <c r="D47">
        <v>801794</v>
      </c>
      <c r="E47">
        <v>94903</v>
      </c>
      <c r="F47">
        <v>10699805</v>
      </c>
    </row>
    <row r="48" spans="1:6" x14ac:dyDescent="0.35">
      <c r="A48" t="s">
        <v>107</v>
      </c>
      <c r="B48">
        <v>3522117</v>
      </c>
      <c r="C48">
        <v>559143</v>
      </c>
      <c r="D48">
        <v>828974</v>
      </c>
      <c r="E48">
        <v>90467</v>
      </c>
      <c r="F48">
        <v>11126941</v>
      </c>
    </row>
    <row r="49" spans="1:6" x14ac:dyDescent="0.35">
      <c r="A49" t="s">
        <v>108</v>
      </c>
      <c r="B49">
        <v>3598010</v>
      </c>
      <c r="C49">
        <v>563178</v>
      </c>
      <c r="D49">
        <v>887955</v>
      </c>
      <c r="E49">
        <v>88033</v>
      </c>
      <c r="F49">
        <v>11545275</v>
      </c>
    </row>
    <row r="50" spans="1:6" x14ac:dyDescent="0.35">
      <c r="A50" t="s">
        <v>109</v>
      </c>
      <c r="B50">
        <v>3623204</v>
      </c>
      <c r="C50">
        <v>530057</v>
      </c>
      <c r="D50">
        <v>877357</v>
      </c>
      <c r="E50">
        <v>87579</v>
      </c>
      <c r="F50">
        <v>11909828</v>
      </c>
    </row>
    <row r="51" spans="1:6" x14ac:dyDescent="0.35">
      <c r="A51" t="s">
        <v>110</v>
      </c>
      <c r="B51">
        <v>3734738</v>
      </c>
      <c r="C51">
        <v>589687</v>
      </c>
      <c r="D51">
        <v>890955</v>
      </c>
      <c r="E51">
        <v>88453</v>
      </c>
      <c r="F51">
        <v>12311349</v>
      </c>
    </row>
    <row r="52" spans="1:6" x14ac:dyDescent="0.35">
      <c r="A52" t="s">
        <v>111</v>
      </c>
      <c r="B52">
        <v>3602418</v>
      </c>
      <c r="C52">
        <v>589161</v>
      </c>
      <c r="D52">
        <v>923970</v>
      </c>
      <c r="E52">
        <v>90065</v>
      </c>
      <c r="F52">
        <v>12773123</v>
      </c>
    </row>
    <row r="53" spans="1:6" x14ac:dyDescent="0.35">
      <c r="A53" t="s">
        <v>112</v>
      </c>
      <c r="B53">
        <v>3755370</v>
      </c>
      <c r="C53">
        <v>613670</v>
      </c>
      <c r="D53">
        <v>939615</v>
      </c>
      <c r="E53">
        <v>94232</v>
      </c>
      <c r="F53">
        <v>13201792</v>
      </c>
    </row>
    <row r="54" spans="1:6" x14ac:dyDescent="0.35">
      <c r="A54" t="s">
        <v>113</v>
      </c>
      <c r="B54">
        <v>3793867</v>
      </c>
      <c r="C54">
        <v>594259</v>
      </c>
      <c r="D54">
        <v>944105</v>
      </c>
      <c r="E54">
        <v>97312</v>
      </c>
      <c r="F54">
        <v>13561622</v>
      </c>
    </row>
    <row r="55" spans="1:6" x14ac:dyDescent="0.35">
      <c r="A55" t="s">
        <v>114</v>
      </c>
      <c r="B55">
        <v>3897315</v>
      </c>
      <c r="C55">
        <v>649174</v>
      </c>
      <c r="D55">
        <v>956935</v>
      </c>
      <c r="E55">
        <v>99879</v>
      </c>
      <c r="F55">
        <v>14025215</v>
      </c>
    </row>
    <row r="56" spans="1:6" x14ac:dyDescent="0.35">
      <c r="A56" t="s">
        <v>115</v>
      </c>
      <c r="B56">
        <v>3764835</v>
      </c>
      <c r="C56">
        <v>645502</v>
      </c>
      <c r="D56">
        <v>946475</v>
      </c>
      <c r="E56">
        <v>102701</v>
      </c>
      <c r="F56">
        <v>14270114</v>
      </c>
    </row>
    <row r="57" spans="1:6" x14ac:dyDescent="0.35">
      <c r="A57" t="s">
        <v>116</v>
      </c>
      <c r="B57">
        <v>3893028</v>
      </c>
      <c r="C57">
        <v>643921</v>
      </c>
      <c r="D57">
        <v>966997</v>
      </c>
      <c r="E57">
        <v>106247</v>
      </c>
      <c r="F57">
        <v>14343087</v>
      </c>
    </row>
    <row r="58" spans="1:6" x14ac:dyDescent="0.35">
      <c r="A58" t="s">
        <v>117</v>
      </c>
      <c r="B58">
        <v>3927583</v>
      </c>
      <c r="C58">
        <v>623918</v>
      </c>
      <c r="D58">
        <v>946054</v>
      </c>
      <c r="E58">
        <v>108156</v>
      </c>
      <c r="F58">
        <v>14790340</v>
      </c>
    </row>
    <row r="59" spans="1:6" x14ac:dyDescent="0.35">
      <c r="A59" t="s">
        <v>118</v>
      </c>
      <c r="B59">
        <v>4014288</v>
      </c>
      <c r="C59">
        <v>660269</v>
      </c>
      <c r="D59">
        <v>948226</v>
      </c>
      <c r="E59">
        <v>108337</v>
      </c>
      <c r="F59">
        <v>15222940</v>
      </c>
    </row>
    <row r="60" spans="1:6" x14ac:dyDescent="0.35">
      <c r="A60" t="s">
        <v>119</v>
      </c>
      <c r="B60">
        <v>3960259</v>
      </c>
      <c r="C60">
        <v>678688</v>
      </c>
      <c r="D60">
        <v>940733</v>
      </c>
      <c r="E60">
        <v>107086</v>
      </c>
      <c r="F60">
        <v>15606518</v>
      </c>
    </row>
    <row r="61" spans="1:6" x14ac:dyDescent="0.35">
      <c r="A61" t="s">
        <v>120</v>
      </c>
      <c r="B61">
        <v>4047165</v>
      </c>
      <c r="C61">
        <v>679094</v>
      </c>
      <c r="D61">
        <v>945236</v>
      </c>
      <c r="E61">
        <v>106086</v>
      </c>
      <c r="F61">
        <v>15855037</v>
      </c>
    </row>
    <row r="62" spans="1:6" x14ac:dyDescent="0.35">
      <c r="A62" t="s">
        <v>121</v>
      </c>
      <c r="B62">
        <v>4086346</v>
      </c>
      <c r="C62">
        <v>640065</v>
      </c>
      <c r="D62">
        <v>945741</v>
      </c>
      <c r="E62">
        <v>105244</v>
      </c>
      <c r="F62">
        <v>16066240</v>
      </c>
    </row>
    <row r="63" spans="1:6" x14ac:dyDescent="0.35">
      <c r="A63" t="s">
        <v>122</v>
      </c>
      <c r="B63">
        <v>4160201</v>
      </c>
      <c r="C63">
        <v>702970</v>
      </c>
      <c r="D63">
        <v>941793</v>
      </c>
      <c r="E63">
        <v>104209</v>
      </c>
      <c r="F63">
        <v>16432730</v>
      </c>
    </row>
    <row r="64" spans="1:6" x14ac:dyDescent="0.35">
      <c r="A64" t="s">
        <v>123</v>
      </c>
      <c r="B64">
        <v>4074333</v>
      </c>
      <c r="C64">
        <v>730858</v>
      </c>
      <c r="D64">
        <v>938461</v>
      </c>
      <c r="E64">
        <v>102763</v>
      </c>
      <c r="F64">
        <v>16771381</v>
      </c>
    </row>
    <row r="65" spans="1:6" x14ac:dyDescent="0.35">
      <c r="A65" t="s">
        <v>124</v>
      </c>
      <c r="B65">
        <v>4184244</v>
      </c>
      <c r="C65">
        <v>816937</v>
      </c>
      <c r="D65">
        <v>946530</v>
      </c>
      <c r="E65">
        <v>103127</v>
      </c>
      <c r="F65">
        <v>16738320</v>
      </c>
    </row>
    <row r="66" spans="1:6" x14ac:dyDescent="0.35">
      <c r="A66" t="s">
        <v>125</v>
      </c>
      <c r="B66">
        <v>4259404</v>
      </c>
      <c r="C66">
        <v>749592</v>
      </c>
      <c r="D66">
        <v>946758</v>
      </c>
      <c r="E66">
        <v>104185</v>
      </c>
      <c r="F66">
        <v>16738180</v>
      </c>
    </row>
    <row r="67" spans="1:6" x14ac:dyDescent="0.35">
      <c r="A67" t="s">
        <v>126</v>
      </c>
      <c r="B67">
        <v>4362704</v>
      </c>
      <c r="C67">
        <v>838932</v>
      </c>
      <c r="D67">
        <v>938505</v>
      </c>
      <c r="E67">
        <v>106250</v>
      </c>
      <c r="F67">
        <v>17156119</v>
      </c>
    </row>
    <row r="68" spans="1:6" x14ac:dyDescent="0.35">
      <c r="A68" t="s">
        <v>127</v>
      </c>
      <c r="B68">
        <v>4220258</v>
      </c>
      <c r="C68">
        <v>835408</v>
      </c>
      <c r="D68">
        <v>954849</v>
      </c>
      <c r="E68">
        <v>107988</v>
      </c>
      <c r="F68">
        <v>17601227</v>
      </c>
    </row>
    <row r="69" spans="1:6" x14ac:dyDescent="0.35">
      <c r="A69" t="s">
        <v>128</v>
      </c>
      <c r="B69">
        <v>4376828</v>
      </c>
      <c r="C69">
        <v>834494</v>
      </c>
      <c r="D69">
        <v>970965</v>
      </c>
      <c r="E69">
        <v>110007</v>
      </c>
      <c r="F69">
        <v>17632606</v>
      </c>
    </row>
    <row r="70" spans="1:6" x14ac:dyDescent="0.35">
      <c r="A70" t="s">
        <v>129</v>
      </c>
      <c r="B70">
        <v>4465484</v>
      </c>
      <c r="C70">
        <v>792943</v>
      </c>
      <c r="D70">
        <v>986420</v>
      </c>
      <c r="E70">
        <v>110527</v>
      </c>
      <c r="F70">
        <v>17824071</v>
      </c>
    </row>
    <row r="71" spans="1:6" x14ac:dyDescent="0.35">
      <c r="A71" t="s">
        <v>130</v>
      </c>
      <c r="B71">
        <v>4545567</v>
      </c>
      <c r="C71">
        <v>831571</v>
      </c>
      <c r="D71">
        <v>976204</v>
      </c>
      <c r="E71">
        <v>110571</v>
      </c>
      <c r="F71">
        <v>18141444</v>
      </c>
    </row>
    <row r="72" spans="1:6" x14ac:dyDescent="0.35">
      <c r="A72" t="s">
        <v>131</v>
      </c>
      <c r="B72">
        <v>4411435</v>
      </c>
      <c r="C72">
        <v>848046</v>
      </c>
      <c r="D72">
        <v>992832</v>
      </c>
      <c r="E72">
        <v>107172</v>
      </c>
      <c r="F72">
        <v>18152056</v>
      </c>
    </row>
    <row r="73" spans="1:6" x14ac:dyDescent="0.35">
      <c r="A73" t="s">
        <v>132</v>
      </c>
      <c r="B73">
        <v>4580499</v>
      </c>
      <c r="C73">
        <v>862224</v>
      </c>
      <c r="D73">
        <v>996273</v>
      </c>
      <c r="E73">
        <v>106469</v>
      </c>
      <c r="F73">
        <v>18151998</v>
      </c>
    </row>
    <row r="74" spans="1:6" x14ac:dyDescent="0.35">
      <c r="A74" t="s">
        <v>133</v>
      </c>
      <c r="B74">
        <v>4625898</v>
      </c>
      <c r="C74">
        <v>821724</v>
      </c>
      <c r="D74">
        <v>1009364</v>
      </c>
      <c r="E74">
        <v>106970</v>
      </c>
      <c r="F74">
        <v>18150618</v>
      </c>
    </row>
    <row r="75" spans="1:6" x14ac:dyDescent="0.35">
      <c r="A75" t="s">
        <v>134</v>
      </c>
      <c r="B75">
        <v>4677188</v>
      </c>
      <c r="C75">
        <v>916392</v>
      </c>
      <c r="D75">
        <v>1007357</v>
      </c>
      <c r="E75">
        <v>108670</v>
      </c>
      <c r="F75">
        <v>18922179</v>
      </c>
    </row>
    <row r="76" spans="1:6" x14ac:dyDescent="0.35">
      <c r="A76" t="s">
        <v>135</v>
      </c>
      <c r="B76">
        <v>4521822</v>
      </c>
      <c r="C76">
        <v>856066</v>
      </c>
      <c r="D76">
        <v>1019783</v>
      </c>
      <c r="E76">
        <v>111556</v>
      </c>
      <c r="F76">
        <v>19264939</v>
      </c>
    </row>
    <row r="77" spans="1:6" x14ac:dyDescent="0.35">
      <c r="A77" t="s">
        <v>136</v>
      </c>
      <c r="B77">
        <v>4690281</v>
      </c>
      <c r="C77">
        <v>874009</v>
      </c>
      <c r="D77">
        <v>1024140</v>
      </c>
      <c r="E77">
        <v>113323</v>
      </c>
      <c r="F77">
        <v>19381591</v>
      </c>
    </row>
    <row r="78" spans="1:6" x14ac:dyDescent="0.35">
      <c r="A78" t="s">
        <v>137</v>
      </c>
      <c r="B78">
        <v>4746661</v>
      </c>
      <c r="C78">
        <v>854324</v>
      </c>
      <c r="D78">
        <v>1044040</v>
      </c>
      <c r="E78">
        <v>114379</v>
      </c>
      <c r="F78">
        <v>19573445</v>
      </c>
    </row>
    <row r="79" spans="1:6" x14ac:dyDescent="0.35">
      <c r="A79" t="s">
        <v>138</v>
      </c>
      <c r="B79">
        <v>4840483</v>
      </c>
      <c r="C79">
        <v>876273</v>
      </c>
      <c r="D79">
        <v>1040011</v>
      </c>
      <c r="E79">
        <v>115046</v>
      </c>
      <c r="F79">
        <v>19976827</v>
      </c>
    </row>
    <row r="80" spans="1:6" x14ac:dyDescent="0.35">
      <c r="A80" t="s">
        <v>139</v>
      </c>
      <c r="B80">
        <v>4674704</v>
      </c>
      <c r="C80">
        <v>910302</v>
      </c>
      <c r="D80">
        <v>1050365</v>
      </c>
      <c r="E80">
        <v>115167</v>
      </c>
      <c r="F80">
        <v>19846420</v>
      </c>
    </row>
    <row r="81" spans="1:6" x14ac:dyDescent="0.35">
      <c r="A81" t="s">
        <v>140</v>
      </c>
      <c r="B81">
        <v>4889678</v>
      </c>
      <c r="C81">
        <v>878039</v>
      </c>
      <c r="D81">
        <v>1048672</v>
      </c>
      <c r="E81">
        <v>117803</v>
      </c>
      <c r="F81">
        <v>19844554</v>
      </c>
    </row>
    <row r="82" spans="1:6" x14ac:dyDescent="0.35">
      <c r="A82" t="s">
        <v>141</v>
      </c>
      <c r="B82">
        <v>4958224</v>
      </c>
      <c r="C82">
        <v>836545</v>
      </c>
      <c r="D82">
        <v>1065491</v>
      </c>
      <c r="E82">
        <v>120364</v>
      </c>
      <c r="F82">
        <v>20244900</v>
      </c>
    </row>
    <row r="83" spans="1:6" x14ac:dyDescent="0.35">
      <c r="A83" t="s">
        <v>142</v>
      </c>
      <c r="B83">
        <v>5089495</v>
      </c>
      <c r="C83">
        <v>878861</v>
      </c>
      <c r="D83">
        <v>1076017</v>
      </c>
      <c r="E83">
        <v>123360</v>
      </c>
      <c r="F83">
        <v>20492747</v>
      </c>
    </row>
    <row r="84" spans="1:6" x14ac:dyDescent="0.35">
      <c r="A84" t="s">
        <v>143</v>
      </c>
      <c r="B84">
        <v>4962408</v>
      </c>
      <c r="C84">
        <v>909578</v>
      </c>
      <c r="D84">
        <v>1101431</v>
      </c>
      <c r="E84">
        <v>126905</v>
      </c>
      <c r="F84">
        <v>21089643</v>
      </c>
    </row>
    <row r="85" spans="1:6" x14ac:dyDescent="0.35">
      <c r="A85" t="s">
        <v>144</v>
      </c>
      <c r="B85">
        <v>5161541</v>
      </c>
      <c r="C85">
        <v>894362</v>
      </c>
      <c r="D85">
        <v>1111292</v>
      </c>
      <c r="E85">
        <v>132944</v>
      </c>
      <c r="F85">
        <v>21195070</v>
      </c>
    </row>
    <row r="86" spans="1:6" x14ac:dyDescent="0.35">
      <c r="A86" t="s">
        <v>145</v>
      </c>
      <c r="B86">
        <v>5221627</v>
      </c>
      <c r="C86">
        <v>865428</v>
      </c>
      <c r="D86">
        <v>1131031</v>
      </c>
      <c r="E86">
        <v>137973</v>
      </c>
      <c r="F86">
        <v>21516058</v>
      </c>
    </row>
    <row r="87" spans="1:6" x14ac:dyDescent="0.35">
      <c r="A87" t="s">
        <v>146</v>
      </c>
      <c r="B87">
        <v>5310940</v>
      </c>
      <c r="C87">
        <v>913727</v>
      </c>
      <c r="D87">
        <v>1145725</v>
      </c>
      <c r="E87">
        <v>142807</v>
      </c>
      <c r="F87">
        <v>21974096</v>
      </c>
    </row>
    <row r="88" spans="1:6" x14ac:dyDescent="0.35">
      <c r="A88" t="s">
        <v>147</v>
      </c>
      <c r="B88">
        <v>5141827</v>
      </c>
      <c r="C88">
        <v>934482</v>
      </c>
      <c r="D88">
        <v>1166430</v>
      </c>
      <c r="E88">
        <v>144929</v>
      </c>
      <c r="F88">
        <v>22027880</v>
      </c>
    </row>
    <row r="89" spans="1:6" x14ac:dyDescent="0.35">
      <c r="A89" t="s">
        <v>148</v>
      </c>
      <c r="B89">
        <v>5376008</v>
      </c>
      <c r="C89">
        <v>933189</v>
      </c>
      <c r="D89">
        <v>1186062</v>
      </c>
      <c r="E89">
        <v>146602</v>
      </c>
      <c r="F89">
        <v>22023283</v>
      </c>
    </row>
    <row r="90" spans="1:6" x14ac:dyDescent="0.35">
      <c r="A90" t="s">
        <v>149</v>
      </c>
      <c r="B90">
        <v>5448234</v>
      </c>
      <c r="C90">
        <v>889161</v>
      </c>
      <c r="D90">
        <v>1197650</v>
      </c>
      <c r="E90">
        <v>144564</v>
      </c>
      <c r="F90">
        <v>22719402</v>
      </c>
    </row>
    <row r="91" spans="1:6" x14ac:dyDescent="0.35">
      <c r="A91" t="s">
        <v>150</v>
      </c>
      <c r="B91">
        <v>5573410</v>
      </c>
      <c r="C91">
        <v>947498</v>
      </c>
      <c r="D91">
        <v>1197979</v>
      </c>
      <c r="E91">
        <v>141060</v>
      </c>
      <c r="F91">
        <v>23201380</v>
      </c>
    </row>
    <row r="92" spans="1:6" x14ac:dyDescent="0.35">
      <c r="A92" t="s">
        <v>151</v>
      </c>
      <c r="B92">
        <v>5312063</v>
      </c>
      <c r="C92">
        <v>976829</v>
      </c>
      <c r="D92">
        <v>1213530</v>
      </c>
      <c r="E92">
        <v>136031</v>
      </c>
      <c r="F92">
        <v>23223813</v>
      </c>
    </row>
    <row r="93" spans="1:6" x14ac:dyDescent="0.35">
      <c r="A93" t="s">
        <v>152</v>
      </c>
      <c r="B93">
        <v>5022564</v>
      </c>
      <c r="C93">
        <v>885730</v>
      </c>
      <c r="D93">
        <v>2227478</v>
      </c>
      <c r="E93">
        <v>128684</v>
      </c>
      <c r="F93">
        <v>26477241</v>
      </c>
    </row>
    <row r="94" spans="1:6" x14ac:dyDescent="0.35">
      <c r="A94" t="s">
        <v>153</v>
      </c>
      <c r="B94">
        <v>5422397</v>
      </c>
      <c r="C94">
        <v>894640</v>
      </c>
      <c r="D94">
        <v>1790001</v>
      </c>
      <c r="E94">
        <v>127003</v>
      </c>
      <c r="F94">
        <v>26945391</v>
      </c>
    </row>
    <row r="95" spans="1:6" x14ac:dyDescent="0.35">
      <c r="A95" t="s">
        <v>154</v>
      </c>
      <c r="B95">
        <v>5621313</v>
      </c>
      <c r="C95">
        <v>1009465</v>
      </c>
      <c r="D95">
        <v>1484103</v>
      </c>
      <c r="E95">
        <v>129178</v>
      </c>
      <c r="F95">
        <v>27747798</v>
      </c>
    </row>
    <row r="96" spans="1:6" x14ac:dyDescent="0.35">
      <c r="A96" t="s">
        <v>155</v>
      </c>
      <c r="B96">
        <v>5529570</v>
      </c>
      <c r="C96">
        <v>1035292</v>
      </c>
      <c r="D96">
        <v>2081003</v>
      </c>
      <c r="E96">
        <v>133380</v>
      </c>
      <c r="F96">
        <v>28132570</v>
      </c>
    </row>
    <row r="97" spans="1:6" x14ac:dyDescent="0.35">
      <c r="A97" t="s">
        <v>156</v>
      </c>
      <c r="B97">
        <v>5882736</v>
      </c>
      <c r="C97">
        <v>1099472</v>
      </c>
      <c r="D97">
        <v>1948826</v>
      </c>
      <c r="E97">
        <v>140159</v>
      </c>
      <c r="F97">
        <v>28529436</v>
      </c>
    </row>
    <row r="98" spans="1:6" x14ac:dyDescent="0.35">
      <c r="A98" t="s">
        <v>157</v>
      </c>
      <c r="B98">
        <v>6009053</v>
      </c>
      <c r="C98">
        <v>1088572</v>
      </c>
      <c r="D98">
        <v>1697967</v>
      </c>
      <c r="E98">
        <v>146980</v>
      </c>
      <c r="F98">
        <v>28428919</v>
      </c>
    </row>
    <row r="99" spans="1:6" x14ac:dyDescent="0.35">
      <c r="A99" t="s">
        <v>158</v>
      </c>
      <c r="B99">
        <v>6304784</v>
      </c>
      <c r="C99">
        <v>1205752</v>
      </c>
      <c r="D99">
        <v>1556261</v>
      </c>
      <c r="E99">
        <v>153070</v>
      </c>
      <c r="F99">
        <v>29617215</v>
      </c>
    </row>
    <row r="100" spans="1:6" x14ac:dyDescent="0.35">
      <c r="A100" t="s">
        <v>159</v>
      </c>
      <c r="B100">
        <v>6157175</v>
      </c>
      <c r="C100">
        <v>1286816</v>
      </c>
      <c r="D100">
        <v>1498140</v>
      </c>
      <c r="E100">
        <v>159242</v>
      </c>
      <c r="F100">
        <v>30400960</v>
      </c>
    </row>
    <row r="101" spans="1:6" x14ac:dyDescent="0.35">
      <c r="A101" t="s">
        <v>160</v>
      </c>
      <c r="B101">
        <v>6487526</v>
      </c>
      <c r="C101">
        <v>1292935</v>
      </c>
      <c r="D101">
        <v>1525565</v>
      </c>
      <c r="E101">
        <v>171189</v>
      </c>
      <c r="F101">
        <v>30568582</v>
      </c>
    </row>
    <row r="102" spans="1:6" x14ac:dyDescent="0.35">
      <c r="A102" t="s">
        <v>161</v>
      </c>
      <c r="B102">
        <v>6624570</v>
      </c>
      <c r="C102">
        <v>1259811</v>
      </c>
      <c r="D102">
        <v>1541979</v>
      </c>
      <c r="E102">
        <v>188020</v>
      </c>
      <c r="F102">
        <v>30928912</v>
      </c>
    </row>
    <row r="103" spans="1:6" x14ac:dyDescent="0.35">
      <c r="A103" t="s">
        <v>162</v>
      </c>
      <c r="B103">
        <v>6793411</v>
      </c>
      <c r="C103">
        <v>1275959</v>
      </c>
      <c r="D103">
        <v>1579209</v>
      </c>
      <c r="E103">
        <v>205776</v>
      </c>
      <c r="F103">
        <v>31419689</v>
      </c>
    </row>
    <row r="104" spans="1:6" x14ac:dyDescent="0.35">
      <c r="A104" t="s">
        <v>163</v>
      </c>
      <c r="B104">
        <v>6663142</v>
      </c>
      <c r="C104">
        <v>1236738</v>
      </c>
      <c r="D104">
        <v>1606689</v>
      </c>
      <c r="E104">
        <v>215317</v>
      </c>
      <c r="F104">
        <v>31458438</v>
      </c>
    </row>
    <row r="105" spans="1:6" x14ac:dyDescent="0.35">
      <c r="A105" t="s">
        <v>164</v>
      </c>
      <c r="B105">
        <v>6914786</v>
      </c>
      <c r="C105">
        <v>1203200</v>
      </c>
      <c r="D105">
        <v>1625596</v>
      </c>
      <c r="E105">
        <v>223527</v>
      </c>
      <c r="F105">
        <v>32332274</v>
      </c>
    </row>
    <row r="106" spans="1:6" x14ac:dyDescent="0.35">
      <c r="A106" t="s">
        <v>165</v>
      </c>
      <c r="B106">
        <v>7046725</v>
      </c>
      <c r="C106">
        <v>1155825</v>
      </c>
      <c r="D106">
        <v>1640496</v>
      </c>
      <c r="E106">
        <v>241725</v>
      </c>
      <c r="F106">
        <v>33167334</v>
      </c>
    </row>
    <row r="107" spans="1:6" x14ac:dyDescent="0.35">
      <c r="A107" t="s">
        <v>166</v>
      </c>
      <c r="B107">
        <v>7187452</v>
      </c>
      <c r="C107">
        <v>1225114</v>
      </c>
      <c r="D107">
        <v>1665234</v>
      </c>
      <c r="E107">
        <v>257870</v>
      </c>
      <c r="F107">
        <v>34001494</v>
      </c>
    </row>
    <row r="108" spans="1:6" x14ac:dyDescent="0.35">
      <c r="A108" t="s">
        <v>167</v>
      </c>
      <c r="B108">
        <v>7029174</v>
      </c>
      <c r="C108">
        <v>1311840</v>
      </c>
      <c r="D108">
        <v>1709903</v>
      </c>
      <c r="E108">
        <v>267794</v>
      </c>
      <c r="F108">
        <v>34586533</v>
      </c>
    </row>
    <row r="109" spans="1:6" x14ac:dyDescent="0.35">
      <c r="A109" t="s">
        <v>168</v>
      </c>
      <c r="B109">
        <v>7311790</v>
      </c>
      <c r="C109">
        <v>1296076</v>
      </c>
      <c r="D109">
        <v>1739734</v>
      </c>
      <c r="E109">
        <v>275891</v>
      </c>
      <c r="F109">
        <v>34831634</v>
      </c>
    </row>
    <row r="110" spans="1:6" x14ac:dyDescent="0.35">
      <c r="A110" t="s">
        <v>169</v>
      </c>
      <c r="B110">
        <v>7396944</v>
      </c>
      <c r="C110">
        <v>1247553</v>
      </c>
      <c r="D110">
        <v>1793724</v>
      </c>
      <c r="E110">
        <v>286545</v>
      </c>
      <c r="F110">
        <v>35464674</v>
      </c>
    </row>
    <row r="111" spans="1:6" x14ac:dyDescent="0.35">
      <c r="A111" t="s">
        <v>170</v>
      </c>
      <c r="B111">
        <v>7554101</v>
      </c>
      <c r="C111">
        <v>1323443</v>
      </c>
      <c r="D111">
        <v>1810006</v>
      </c>
      <c r="E111">
        <v>288904</v>
      </c>
      <c r="F111">
        <v>36218605</v>
      </c>
    </row>
    <row r="112" spans="1:6" x14ac:dyDescent="0.35">
      <c r="A112" t="s">
        <v>171</v>
      </c>
      <c r="B112">
        <v>7354051</v>
      </c>
      <c r="C112">
        <v>1397089</v>
      </c>
      <c r="D112">
        <v>1828010</v>
      </c>
      <c r="E112">
        <v>286053</v>
      </c>
      <c r="F112">
        <v>36214309.520796403</v>
      </c>
    </row>
    <row r="113" spans="1:6" x14ac:dyDescent="0.35">
      <c r="A113" t="s">
        <v>172</v>
      </c>
      <c r="B113">
        <v>7640866</v>
      </c>
      <c r="C113">
        <v>1423581</v>
      </c>
      <c r="D113">
        <v>1879461</v>
      </c>
      <c r="E113">
        <v>290225</v>
      </c>
      <c r="F113">
        <v>36211469</v>
      </c>
    </row>
    <row r="114" spans="1:6" x14ac:dyDescent="0.35">
      <c r="A114" t="s">
        <v>173</v>
      </c>
      <c r="B114">
        <v>7796678</v>
      </c>
      <c r="C114">
        <v>1417022</v>
      </c>
      <c r="D114">
        <v>1900165</v>
      </c>
      <c r="E114">
        <v>299797</v>
      </c>
      <c r="F114">
        <v>37637552.5955576</v>
      </c>
    </row>
    <row r="115" spans="1:6" x14ac:dyDescent="0.35">
      <c r="A115" t="s">
        <v>174</v>
      </c>
      <c r="B115">
        <v>7971751</v>
      </c>
      <c r="C115">
        <v>1501013</v>
      </c>
      <c r="D115">
        <v>1892982</v>
      </c>
      <c r="E115">
        <v>306874</v>
      </c>
      <c r="F115">
        <v>38514009</v>
      </c>
    </row>
    <row r="116" spans="1:6" x14ac:dyDescent="0.35">
      <c r="B116">
        <v>7764730</v>
      </c>
      <c r="D116">
        <v>1914942</v>
      </c>
      <c r="E116">
        <v>304734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E69D-BBD1-42FB-A745-96B934798706}">
  <dimension ref="A1:AF190"/>
  <sheetViews>
    <sheetView topLeftCell="V1" workbookViewId="0">
      <selection activeCell="AN3" sqref="AN3"/>
    </sheetView>
  </sheetViews>
  <sheetFormatPr defaultRowHeight="14.5" x14ac:dyDescent="0.35"/>
  <cols>
    <col min="7" max="8" width="17.54296875" bestFit="1" customWidth="1"/>
    <col min="9" max="9" width="15.54296875" bestFit="1" customWidth="1"/>
    <col min="10" max="10" width="14.90625" bestFit="1" customWidth="1"/>
    <col min="11" max="11" width="9.90625" customWidth="1"/>
    <col min="15" max="15" width="10.54296875" bestFit="1" customWidth="1"/>
    <col min="19" max="19" width="15.08984375" bestFit="1" customWidth="1"/>
    <col min="20" max="20" width="17.90625" customWidth="1"/>
  </cols>
  <sheetData>
    <row r="1" spans="1:32" x14ac:dyDescent="0.35">
      <c r="A1" t="s">
        <v>300</v>
      </c>
      <c r="B1" t="s">
        <v>301</v>
      </c>
      <c r="C1" t="s">
        <v>302</v>
      </c>
      <c r="D1" t="s">
        <v>308</v>
      </c>
      <c r="E1" t="s">
        <v>309</v>
      </c>
      <c r="F1" t="s">
        <v>307</v>
      </c>
      <c r="G1" t="s">
        <v>316</v>
      </c>
      <c r="H1" t="s">
        <v>304</v>
      </c>
      <c r="I1" t="s">
        <v>311</v>
      </c>
      <c r="J1" t="s">
        <v>310</v>
      </c>
      <c r="K1" t="s">
        <v>312</v>
      </c>
      <c r="M1" t="s">
        <v>313</v>
      </c>
      <c r="N1" t="s">
        <v>314</v>
      </c>
      <c r="O1" t="s">
        <v>303</v>
      </c>
      <c r="P1" t="s">
        <v>317</v>
      </c>
      <c r="Q1" t="s">
        <v>315</v>
      </c>
      <c r="R1" t="s">
        <v>319</v>
      </c>
      <c r="S1" t="s">
        <v>320</v>
      </c>
      <c r="T1" s="14" t="s">
        <v>321</v>
      </c>
      <c r="U1" s="14"/>
      <c r="AF1" t="s">
        <v>305</v>
      </c>
    </row>
    <row r="2" spans="1:32" x14ac:dyDescent="0.35">
      <c r="A2" t="str">
        <f>'US Raw Data_nsa'!A5</f>
        <v>1998-Q2</v>
      </c>
      <c r="B2" s="7">
        <f>'US Raw Data_nsa'!B5</f>
        <v>2249908</v>
      </c>
      <c r="C2" s="7">
        <f>'US Raw Data_nsa'!C5</f>
        <v>455865</v>
      </c>
      <c r="D2" s="7">
        <f>'US Raw Data_nsa'!D5</f>
        <v>445251</v>
      </c>
      <c r="E2" s="7">
        <f>'US Raw Data_nsa'!E5</f>
        <v>91910</v>
      </c>
      <c r="F2" s="7">
        <f>D2-E2</f>
        <v>353341</v>
      </c>
      <c r="G2" s="7">
        <f>'US Raw Data_nsa'!F5</f>
        <v>5547935</v>
      </c>
      <c r="J2" s="7"/>
      <c r="K2" s="7"/>
      <c r="M2">
        <f>400*F2/(4*B2)</f>
        <v>15.704686591629525</v>
      </c>
      <c r="N2">
        <f>400*C2/(4*B2)</f>
        <v>20.261495136690034</v>
      </c>
      <c r="O2" s="10">
        <f>100*G2/(4*B2)</f>
        <v>61.646242868597291</v>
      </c>
      <c r="P2" t="s">
        <v>318</v>
      </c>
      <c r="Q2" t="s">
        <v>318</v>
      </c>
      <c r="R2" t="s">
        <v>318</v>
      </c>
      <c r="T2" t="s">
        <v>322</v>
      </c>
      <c r="U2" t="s">
        <v>323</v>
      </c>
      <c r="AF2" t="s">
        <v>306</v>
      </c>
    </row>
    <row r="3" spans="1:32" x14ac:dyDescent="0.35">
      <c r="A3" t="str">
        <f>'US Raw Data_nsa'!A6</f>
        <v>1998-Q3</v>
      </c>
      <c r="B3" s="7">
        <f>'US Raw Data_nsa'!B6</f>
        <v>2281422</v>
      </c>
      <c r="C3" s="7">
        <f>'US Raw Data_nsa'!C6</f>
        <v>456297</v>
      </c>
      <c r="D3" s="7">
        <f>'US Raw Data_nsa'!D6</f>
        <v>443702</v>
      </c>
      <c r="E3" s="7">
        <f>'US Raw Data_nsa'!E6</f>
        <v>91551</v>
      </c>
      <c r="F3" s="7">
        <f t="shared" ref="F3:F66" si="0">D3-E3</f>
        <v>352151</v>
      </c>
      <c r="G3" s="7">
        <f>'US Raw Data_nsa'!F6</f>
        <v>5526193</v>
      </c>
      <c r="H3" s="7">
        <f>F3-C3+E3+G2</f>
        <v>5535340</v>
      </c>
      <c r="I3" s="7">
        <f>G3-H3</f>
        <v>-9147</v>
      </c>
      <c r="J3" s="7">
        <f>F3-C3+E3+G2</f>
        <v>5535340</v>
      </c>
      <c r="K3" s="7">
        <f>F3-C3+E3+I3+G2</f>
        <v>5526193</v>
      </c>
      <c r="M3">
        <f t="shared" ref="M3:M66" si="1">400*F3/(4*B3)</f>
        <v>15.435592363008684</v>
      </c>
      <c r="N3">
        <f t="shared" ref="N3:N66" si="2">400*C3/(4*B3)</f>
        <v>20.000552287126187</v>
      </c>
      <c r="O3" s="10">
        <f>100*G3/(4*B3)</f>
        <v>60.556453387404872</v>
      </c>
      <c r="P3">
        <f>100*G2/(4*B3)</f>
        <v>60.794703917118362</v>
      </c>
      <c r="Q3">
        <f>400*E3/(4*B3)*(1/(P3/100))</f>
        <v>6.6007262161506928</v>
      </c>
      <c r="R3">
        <f>400*I3/(4*B3)</f>
        <v>-0.400934154224865</v>
      </c>
      <c r="S3" s="10">
        <f>(1/4)*(M3-N3+R3)+(1+(Q3/400))*P3</f>
        <v>60.556453387404872</v>
      </c>
      <c r="T3" s="10">
        <f>(1/4)*(M3-N3+R3)+(1+(Q3/400))*P3</f>
        <v>60.556453387404872</v>
      </c>
    </row>
    <row r="4" spans="1:32" x14ac:dyDescent="0.35">
      <c r="A4" t="str">
        <f>'US Raw Data_nsa'!A7</f>
        <v>1998-Q4</v>
      </c>
      <c r="B4" s="7">
        <f>'US Raw Data_nsa'!B7</f>
        <v>2370677</v>
      </c>
      <c r="C4" s="7">
        <f>'US Raw Data_nsa'!C7</f>
        <v>450491</v>
      </c>
      <c r="D4" s="7">
        <f>'US Raw Data_nsa'!D7</f>
        <v>460154</v>
      </c>
      <c r="E4" s="7">
        <f>'US Raw Data_nsa'!E7</f>
        <v>90022</v>
      </c>
      <c r="F4" s="7">
        <f t="shared" si="0"/>
        <v>370132</v>
      </c>
      <c r="G4" s="7">
        <f>'US Raw Data_nsa'!F7</f>
        <v>5614217</v>
      </c>
      <c r="H4" s="7">
        <f>F4-C4+E4+G3</f>
        <v>5535856</v>
      </c>
      <c r="I4" s="7">
        <f t="shared" ref="I4:I67" si="3">G4-H4</f>
        <v>78361</v>
      </c>
      <c r="J4" s="7">
        <f t="shared" ref="J4:J67" si="4">F4-C4+E4+J3</f>
        <v>5545003</v>
      </c>
      <c r="K4" s="7">
        <f t="shared" ref="K4:K67" si="5">F4-C4+E4+I4+K3</f>
        <v>5614217</v>
      </c>
      <c r="M4">
        <f t="shared" si="1"/>
        <v>15.612924071900137</v>
      </c>
      <c r="N4">
        <f t="shared" si="2"/>
        <v>19.002630894044191</v>
      </c>
      <c r="O4" s="10">
        <f t="shared" ref="O4:O67" si="6">100*G4/(4*B4)</f>
        <v>59.204786227731574</v>
      </c>
      <c r="P4">
        <f t="shared" ref="P4:P67" si="7">100*G3/(4*B4)</f>
        <v>58.276528181612257</v>
      </c>
      <c r="Q4">
        <f t="shared" ref="Q4:Q67" si="8">400*E4/(4*B4)*(1/(P4/100))</f>
        <v>6.5160228750606439</v>
      </c>
      <c r="R4">
        <f t="shared" ref="R4:R67" si="9">400*I4/(4*B4)</f>
        <v>3.3054270995162987</v>
      </c>
      <c r="S4" s="10">
        <f t="shared" ref="S4:S67" si="10">(1/4)*(M4-N4+R4)+(1+(Q4/400))*P4</f>
        <v>59.204786227731567</v>
      </c>
      <c r="T4">
        <f>(1/4)*(M4-N4+R4)+(1+(Q4/400))*T3</f>
        <v>61.521851545510117</v>
      </c>
      <c r="U4">
        <f>T4*(B3/B4)</f>
        <v>59.2055795018304</v>
      </c>
    </row>
    <row r="5" spans="1:32" x14ac:dyDescent="0.35">
      <c r="A5" t="str">
        <f>'US Raw Data_nsa'!A8</f>
        <v>1999-Q1</v>
      </c>
      <c r="B5" s="7">
        <f>'US Raw Data_nsa'!B8</f>
        <v>2293136</v>
      </c>
      <c r="C5" s="7">
        <f>'US Raw Data_nsa'!C8</f>
        <v>451584</v>
      </c>
      <c r="D5" s="7">
        <f>'US Raw Data_nsa'!D8</f>
        <v>448286</v>
      </c>
      <c r="E5" s="7">
        <f>'US Raw Data_nsa'!E8</f>
        <v>88149</v>
      </c>
      <c r="F5" s="7">
        <f t="shared" si="0"/>
        <v>360137</v>
      </c>
      <c r="G5" s="7">
        <f>'US Raw Data_nsa'!F8</f>
        <v>5651615</v>
      </c>
      <c r="H5" s="7">
        <f t="shared" ref="H5:H68" si="11">F5-C5+E5+G4</f>
        <v>5610919</v>
      </c>
      <c r="I5" s="7">
        <f t="shared" si="3"/>
        <v>40696</v>
      </c>
      <c r="J5" s="7">
        <f t="shared" si="4"/>
        <v>5541705</v>
      </c>
      <c r="K5" s="7">
        <f t="shared" si="5"/>
        <v>5651615</v>
      </c>
      <c r="M5">
        <f t="shared" si="1"/>
        <v>15.704999616246049</v>
      </c>
      <c r="N5">
        <f t="shared" si="2"/>
        <v>19.69285729237167</v>
      </c>
      <c r="O5" s="10">
        <f t="shared" si="6"/>
        <v>61.614476856148087</v>
      </c>
      <c r="P5">
        <f t="shared" si="7"/>
        <v>61.206760087495901</v>
      </c>
      <c r="Q5">
        <f t="shared" si="8"/>
        <v>6.2804127450007714</v>
      </c>
      <c r="R5">
        <f t="shared" si="9"/>
        <v>1.7746875893972271</v>
      </c>
      <c r="S5" s="10">
        <f t="shared" si="10"/>
        <v>61.614476856148087</v>
      </c>
      <c r="T5">
        <f>(1/4)*(M5-N5+R5)+(1+(Q5/400))*U4</f>
        <v>59.581875670344438</v>
      </c>
      <c r="U5">
        <f>T5*(B4/B5)</f>
        <v>61.59660058040393</v>
      </c>
    </row>
    <row r="6" spans="1:32" x14ac:dyDescent="0.35">
      <c r="A6" t="str">
        <f>'US Raw Data_nsa'!A9</f>
        <v>1999-Q2</v>
      </c>
      <c r="B6" s="7">
        <f>'US Raw Data_nsa'!B9</f>
        <v>2388422</v>
      </c>
      <c r="C6" s="7">
        <f>'US Raw Data_nsa'!C9</f>
        <v>486768</v>
      </c>
      <c r="D6" s="7">
        <f>'US Raw Data_nsa'!D9</f>
        <v>456605</v>
      </c>
      <c r="E6" s="7">
        <f>'US Raw Data_nsa'!E9</f>
        <v>88035</v>
      </c>
      <c r="F6" s="7">
        <f t="shared" si="0"/>
        <v>368570</v>
      </c>
      <c r="G6" s="7">
        <f>'US Raw Data_nsa'!F9</f>
        <v>5638780</v>
      </c>
      <c r="H6" s="7">
        <f t="shared" si="11"/>
        <v>5621452</v>
      </c>
      <c r="I6" s="7">
        <f t="shared" si="3"/>
        <v>17328</v>
      </c>
      <c r="J6" s="7">
        <f t="shared" si="4"/>
        <v>5511542</v>
      </c>
      <c r="K6" s="7">
        <f t="shared" si="5"/>
        <v>5638780</v>
      </c>
      <c r="M6">
        <f t="shared" si="1"/>
        <v>15.43152759436984</v>
      </c>
      <c r="N6">
        <f t="shared" si="2"/>
        <v>20.380318050997687</v>
      </c>
      <c r="O6" s="10">
        <f t="shared" si="6"/>
        <v>59.022023746222402</v>
      </c>
      <c r="P6">
        <f t="shared" si="7"/>
        <v>59.156369770501193</v>
      </c>
      <c r="Q6">
        <f t="shared" si="8"/>
        <v>6.2307853595830567</v>
      </c>
      <c r="R6">
        <f t="shared" si="9"/>
        <v>0.72549993259147671</v>
      </c>
      <c r="S6" s="10">
        <f t="shared" si="10"/>
        <v>59.022023746222395</v>
      </c>
      <c r="T6">
        <f t="shared" ref="T6:T69" si="12">(1/4)*(M6-N6+R6)+(1+(Q6/400))*U5</f>
        <v>61.500265942135997</v>
      </c>
      <c r="U6">
        <f t="shared" ref="U6:U69" si="13">T6*(B5/B6)</f>
        <v>59.046715296327854</v>
      </c>
    </row>
    <row r="7" spans="1:32" x14ac:dyDescent="0.35">
      <c r="A7" t="str">
        <f>'US Raw Data_nsa'!A10</f>
        <v>1999-Q3</v>
      </c>
      <c r="B7" s="7">
        <f>'US Raw Data_nsa'!B10</f>
        <v>2423648</v>
      </c>
      <c r="C7" s="7">
        <f>'US Raw Data_nsa'!C10</f>
        <v>483561</v>
      </c>
      <c r="D7" s="7">
        <f>'US Raw Data_nsa'!D10</f>
        <v>458196</v>
      </c>
      <c r="E7" s="7">
        <f>'US Raw Data_nsa'!E10</f>
        <v>87768</v>
      </c>
      <c r="F7" s="7">
        <f t="shared" si="0"/>
        <v>370428</v>
      </c>
      <c r="G7" s="7">
        <f>'US Raw Data_nsa'!F10</f>
        <v>5656271</v>
      </c>
      <c r="H7" s="7">
        <f t="shared" si="11"/>
        <v>5613415</v>
      </c>
      <c r="I7" s="7">
        <f t="shared" si="3"/>
        <v>42856</v>
      </c>
      <c r="J7" s="7">
        <f t="shared" si="4"/>
        <v>5486177</v>
      </c>
      <c r="K7" s="7">
        <f t="shared" si="5"/>
        <v>5656271</v>
      </c>
      <c r="M7">
        <f t="shared" si="1"/>
        <v>15.283902612920688</v>
      </c>
      <c r="N7">
        <f t="shared" si="2"/>
        <v>19.951783427296373</v>
      </c>
      <c r="O7" s="10">
        <f t="shared" si="6"/>
        <v>58.344600783612144</v>
      </c>
      <c r="P7">
        <f t="shared" si="7"/>
        <v>58.164180607084859</v>
      </c>
      <c r="Q7">
        <f t="shared" si="8"/>
        <v>6.2260276159027299</v>
      </c>
      <c r="R7">
        <f t="shared" si="9"/>
        <v>1.768243573324179</v>
      </c>
      <c r="S7" s="10">
        <f t="shared" si="10"/>
        <v>58.344600783612151</v>
      </c>
      <c r="T7">
        <f t="shared" si="12"/>
        <v>59.240872186223193</v>
      </c>
      <c r="U7">
        <f t="shared" si="13"/>
        <v>58.37984824065358</v>
      </c>
    </row>
    <row r="8" spans="1:32" x14ac:dyDescent="0.35">
      <c r="A8" t="str">
        <f>'US Raw Data_nsa'!A11</f>
        <v>1999-Q4</v>
      </c>
      <c r="B8" s="7">
        <f>'US Raw Data_nsa'!B11</f>
        <v>2524828</v>
      </c>
      <c r="C8" s="7">
        <f>'US Raw Data_nsa'!C11</f>
        <v>484037</v>
      </c>
      <c r="D8" s="7">
        <f>'US Raw Data_nsa'!D11</f>
        <v>473741</v>
      </c>
      <c r="E8" s="7">
        <f>'US Raw Data_nsa'!E11</f>
        <v>88231</v>
      </c>
      <c r="F8" s="7">
        <f t="shared" si="0"/>
        <v>385510</v>
      </c>
      <c r="G8" s="7">
        <f>'US Raw Data_nsa'!F11</f>
        <v>5776091</v>
      </c>
      <c r="H8" s="7">
        <f t="shared" si="11"/>
        <v>5645975</v>
      </c>
      <c r="I8" s="7">
        <f t="shared" si="3"/>
        <v>130116</v>
      </c>
      <c r="J8" s="7">
        <f t="shared" si="4"/>
        <v>5475881</v>
      </c>
      <c r="K8" s="7">
        <f t="shared" si="5"/>
        <v>5776091</v>
      </c>
      <c r="M8">
        <f t="shared" si="1"/>
        <v>15.268762862262301</v>
      </c>
      <c r="N8">
        <f t="shared" si="2"/>
        <v>19.171088089960978</v>
      </c>
      <c r="O8" s="10">
        <f t="shared" si="6"/>
        <v>57.192915715446752</v>
      </c>
      <c r="P8">
        <f t="shared" si="7"/>
        <v>56.006498264436232</v>
      </c>
      <c r="Q8">
        <f t="shared" si="8"/>
        <v>6.2395171659915158</v>
      </c>
      <c r="R8">
        <f t="shared" si="9"/>
        <v>5.1534599584605365</v>
      </c>
      <c r="S8" s="10">
        <f t="shared" si="10"/>
        <v>57.192915715446759</v>
      </c>
      <c r="T8">
        <f t="shared" si="12"/>
        <v>59.60328708645789</v>
      </c>
      <c r="U8">
        <f t="shared" si="13"/>
        <v>57.214743951080827</v>
      </c>
    </row>
    <row r="9" spans="1:32" x14ac:dyDescent="0.35">
      <c r="A9" t="str">
        <f>'US Raw Data_nsa'!A12</f>
        <v>2000-Q1</v>
      </c>
      <c r="B9" s="7">
        <f>'US Raw Data_nsa'!B12</f>
        <v>2448892</v>
      </c>
      <c r="C9" s="7">
        <f>'US Raw Data_nsa'!C12</f>
        <v>499364</v>
      </c>
      <c r="D9" s="7">
        <f>'US Raw Data_nsa'!D12</f>
        <v>468041</v>
      </c>
      <c r="E9" s="7">
        <f>'US Raw Data_nsa'!E12</f>
        <v>88705</v>
      </c>
      <c r="F9" s="7">
        <f t="shared" si="0"/>
        <v>379336</v>
      </c>
      <c r="G9" s="7">
        <f>'US Raw Data_nsa'!F12</f>
        <v>5773392</v>
      </c>
      <c r="H9" s="7">
        <f t="shared" si="11"/>
        <v>5744768</v>
      </c>
      <c r="I9" s="7">
        <f t="shared" si="3"/>
        <v>28624</v>
      </c>
      <c r="J9" s="7">
        <f t="shared" si="4"/>
        <v>5444558</v>
      </c>
      <c r="K9" s="7">
        <f t="shared" si="5"/>
        <v>5773392</v>
      </c>
      <c r="M9">
        <f t="shared" si="1"/>
        <v>15.490107362840011</v>
      </c>
      <c r="N9">
        <f t="shared" si="2"/>
        <v>20.391426000003268</v>
      </c>
      <c r="O9" s="10">
        <f t="shared" si="6"/>
        <v>58.938818045058746</v>
      </c>
      <c r="P9">
        <f t="shared" si="7"/>
        <v>58.966371322214293</v>
      </c>
      <c r="Q9">
        <f t="shared" si="8"/>
        <v>6.1429087595745973</v>
      </c>
      <c r="R9">
        <f t="shared" si="9"/>
        <v>1.1688551393854854</v>
      </c>
      <c r="S9" s="10">
        <f t="shared" si="10"/>
        <v>58.938818045058753</v>
      </c>
      <c r="T9">
        <f t="shared" si="12"/>
        <v>57.16029045612116</v>
      </c>
      <c r="U9">
        <f t="shared" si="13"/>
        <v>58.93273440876424</v>
      </c>
    </row>
    <row r="10" spans="1:32" x14ac:dyDescent="0.35">
      <c r="A10" t="str">
        <f>'US Raw Data_nsa'!A13</f>
        <v>2000-Q2</v>
      </c>
      <c r="B10" s="7">
        <f>'US Raw Data_nsa'!B13</f>
        <v>2569266</v>
      </c>
      <c r="C10" s="7">
        <f>'US Raw Data_nsa'!C13</f>
        <v>531105</v>
      </c>
      <c r="D10" s="7">
        <f>'US Raw Data_nsa'!D13</f>
        <v>479183</v>
      </c>
      <c r="E10" s="7">
        <f>'US Raw Data_nsa'!E13</f>
        <v>88527</v>
      </c>
      <c r="F10" s="7">
        <f t="shared" si="0"/>
        <v>390656</v>
      </c>
      <c r="G10" s="7">
        <f>'US Raw Data_nsa'!F13</f>
        <v>5685938</v>
      </c>
      <c r="H10" s="7">
        <f t="shared" si="11"/>
        <v>5721470</v>
      </c>
      <c r="I10" s="7">
        <f t="shared" si="3"/>
        <v>-35532</v>
      </c>
      <c r="J10" s="7">
        <f t="shared" si="4"/>
        <v>5392636</v>
      </c>
      <c r="K10" s="7">
        <f t="shared" si="5"/>
        <v>5685938</v>
      </c>
      <c r="M10">
        <f t="shared" si="1"/>
        <v>15.204965153471848</v>
      </c>
      <c r="N10">
        <f t="shared" si="2"/>
        <v>20.67146803795325</v>
      </c>
      <c r="O10" s="10">
        <f t="shared" si="6"/>
        <v>55.326482349433654</v>
      </c>
      <c r="P10">
        <f t="shared" si="7"/>
        <v>56.177445231439641</v>
      </c>
      <c r="Q10">
        <f t="shared" si="8"/>
        <v>6.1334480665785387</v>
      </c>
      <c r="R10">
        <f t="shared" si="9"/>
        <v>-1.3829630719435044</v>
      </c>
      <c r="S10" s="10">
        <f t="shared" si="10"/>
        <v>55.326482349433647</v>
      </c>
      <c r="T10">
        <f t="shared" si="12"/>
        <v>58.124020084452063</v>
      </c>
      <c r="U10">
        <f t="shared" si="13"/>
        <v>55.400821788267145</v>
      </c>
    </row>
    <row r="11" spans="1:32" x14ac:dyDescent="0.35">
      <c r="A11" t="str">
        <f>'US Raw Data_nsa'!A14</f>
        <v>2000-Q3</v>
      </c>
      <c r="B11" s="7">
        <f>'US Raw Data_nsa'!B14</f>
        <v>2577927</v>
      </c>
      <c r="C11" s="7">
        <f>'US Raw Data_nsa'!C14</f>
        <v>522953</v>
      </c>
      <c r="D11" s="7">
        <f>'US Raw Data_nsa'!D14</f>
        <v>472437</v>
      </c>
      <c r="E11" s="7">
        <f>'US Raw Data_nsa'!E14</f>
        <v>88219</v>
      </c>
      <c r="F11" s="7">
        <f t="shared" si="0"/>
        <v>384218</v>
      </c>
      <c r="G11" s="7">
        <f>'US Raw Data_nsa'!F14</f>
        <v>5674179</v>
      </c>
      <c r="H11" s="7">
        <f t="shared" si="11"/>
        <v>5635422</v>
      </c>
      <c r="I11" s="7">
        <f t="shared" si="3"/>
        <v>38757</v>
      </c>
      <c r="J11" s="7">
        <f t="shared" si="4"/>
        <v>5342120</v>
      </c>
      <c r="K11" s="7">
        <f t="shared" si="5"/>
        <v>5674179</v>
      </c>
      <c r="M11">
        <f t="shared" si="1"/>
        <v>14.904145850522532</v>
      </c>
      <c r="N11">
        <f t="shared" si="2"/>
        <v>20.285795524853885</v>
      </c>
      <c r="O11" s="10">
        <f t="shared" si="6"/>
        <v>55.02656785859336</v>
      </c>
      <c r="P11">
        <f t="shared" si="7"/>
        <v>55.140603283180631</v>
      </c>
      <c r="Q11">
        <f t="shared" si="8"/>
        <v>6.2061176185881726</v>
      </c>
      <c r="R11">
        <f t="shared" si="9"/>
        <v>1.5034172806289705</v>
      </c>
      <c r="S11" s="10">
        <f t="shared" si="10"/>
        <v>55.02656785859336</v>
      </c>
      <c r="T11">
        <f t="shared" si="12"/>
        <v>55.29082373030262</v>
      </c>
      <c r="U11">
        <f t="shared" si="13"/>
        <v>55.105064465463798</v>
      </c>
    </row>
    <row r="12" spans="1:32" x14ac:dyDescent="0.35">
      <c r="A12" t="str">
        <f>'US Raw Data_nsa'!A15</f>
        <v>2000-Q4</v>
      </c>
      <c r="B12" s="7">
        <f>'US Raw Data_nsa'!B15</f>
        <v>2655636</v>
      </c>
      <c r="C12" s="7">
        <f>'US Raw Data_nsa'!C15</f>
        <v>514356</v>
      </c>
      <c r="D12" s="7">
        <f>'US Raw Data_nsa'!D15</f>
        <v>488430</v>
      </c>
      <c r="E12" s="7">
        <f>'US Raw Data_nsa'!E15</f>
        <v>88276</v>
      </c>
      <c r="F12" s="7">
        <f t="shared" si="0"/>
        <v>400154</v>
      </c>
      <c r="G12" s="7">
        <f>'US Raw Data_nsa'!F15</f>
        <v>5662216</v>
      </c>
      <c r="H12" s="7">
        <f t="shared" si="11"/>
        <v>5648253</v>
      </c>
      <c r="I12" s="7">
        <f t="shared" si="3"/>
        <v>13963</v>
      </c>
      <c r="J12" s="7">
        <f t="shared" si="4"/>
        <v>5316194</v>
      </c>
      <c r="K12" s="7">
        <f t="shared" si="5"/>
        <v>5662216</v>
      </c>
      <c r="M12">
        <f t="shared" si="1"/>
        <v>15.068104213077394</v>
      </c>
      <c r="N12">
        <f t="shared" si="2"/>
        <v>19.368467666502486</v>
      </c>
      <c r="O12" s="10">
        <f t="shared" si="6"/>
        <v>53.303766028175545</v>
      </c>
      <c r="P12">
        <f t="shared" si="7"/>
        <v>53.41638500155895</v>
      </c>
      <c r="Q12">
        <f t="shared" si="8"/>
        <v>6.2229971948364691</v>
      </c>
      <c r="R12">
        <f t="shared" si="9"/>
        <v>0.5257874196614295</v>
      </c>
      <c r="S12" s="10">
        <f t="shared" si="10"/>
        <v>53.303766028175552</v>
      </c>
      <c r="T12">
        <f t="shared" si="12"/>
        <v>55.018717110997549</v>
      </c>
      <c r="U12">
        <f t="shared" si="13"/>
        <v>53.408763981887041</v>
      </c>
    </row>
    <row r="13" spans="1:32" x14ac:dyDescent="0.35">
      <c r="A13" t="str">
        <f>'US Raw Data_nsa'!A16</f>
        <v>2001-Q1</v>
      </c>
      <c r="B13" s="7">
        <f>'US Raw Data_nsa'!B16</f>
        <v>2562488</v>
      </c>
      <c r="C13" s="7">
        <f>'US Raw Data_nsa'!C16</f>
        <v>511352</v>
      </c>
      <c r="D13" s="7">
        <f>'US Raw Data_nsa'!D16</f>
        <v>497170</v>
      </c>
      <c r="E13" s="7">
        <f>'US Raw Data_nsa'!E16</f>
        <v>86370</v>
      </c>
      <c r="F13" s="7">
        <f t="shared" si="0"/>
        <v>410800</v>
      </c>
      <c r="G13" s="7">
        <f>'US Raw Data_nsa'!F16</f>
        <v>5773740</v>
      </c>
      <c r="H13" s="7">
        <f t="shared" si="11"/>
        <v>5648034</v>
      </c>
      <c r="I13" s="7">
        <f t="shared" si="3"/>
        <v>125706</v>
      </c>
      <c r="J13" s="7">
        <f t="shared" si="4"/>
        <v>5302012</v>
      </c>
      <c r="K13" s="7">
        <f t="shared" si="5"/>
        <v>5773740</v>
      </c>
      <c r="M13">
        <f t="shared" si="1"/>
        <v>16.031294585574646</v>
      </c>
      <c r="N13">
        <f t="shared" si="2"/>
        <v>19.955293449179081</v>
      </c>
      <c r="O13" s="10">
        <f t="shared" si="6"/>
        <v>56.329434518327503</v>
      </c>
      <c r="P13">
        <f t="shared" si="7"/>
        <v>55.241390398706258</v>
      </c>
      <c r="Q13">
        <f t="shared" si="8"/>
        <v>6.101498070720015</v>
      </c>
      <c r="R13">
        <f t="shared" si="9"/>
        <v>4.9056229726734326</v>
      </c>
      <c r="S13" s="10">
        <f t="shared" si="10"/>
        <v>56.329434518327503</v>
      </c>
      <c r="T13">
        <f t="shared" si="12"/>
        <v>54.468853685141852</v>
      </c>
      <c r="U13">
        <f t="shared" si="13"/>
        <v>56.448829701834839</v>
      </c>
    </row>
    <row r="14" spans="1:32" x14ac:dyDescent="0.35">
      <c r="A14" t="str">
        <f>'US Raw Data_nsa'!A17</f>
        <v>2001-Q2</v>
      </c>
      <c r="B14" s="7">
        <f>'US Raw Data_nsa'!B17</f>
        <v>2656407</v>
      </c>
      <c r="C14" s="7">
        <f>'US Raw Data_nsa'!C17</f>
        <v>537564</v>
      </c>
      <c r="D14" s="7">
        <f>'US Raw Data_nsa'!D17</f>
        <v>503150</v>
      </c>
      <c r="E14" s="7">
        <f>'US Raw Data_nsa'!E17</f>
        <v>83694</v>
      </c>
      <c r="F14" s="7">
        <f t="shared" si="0"/>
        <v>419456</v>
      </c>
      <c r="G14" s="7">
        <f>'US Raw Data_nsa'!F17</f>
        <v>5726815</v>
      </c>
      <c r="H14" s="7">
        <f t="shared" si="11"/>
        <v>5739326</v>
      </c>
      <c r="I14" s="7">
        <f t="shared" si="3"/>
        <v>-12511</v>
      </c>
      <c r="J14" s="7">
        <f t="shared" si="4"/>
        <v>5267598</v>
      </c>
      <c r="K14" s="7">
        <f t="shared" si="5"/>
        <v>5726815</v>
      </c>
      <c r="M14">
        <f t="shared" si="1"/>
        <v>15.790351403230002</v>
      </c>
      <c r="N14">
        <f t="shared" si="2"/>
        <v>20.236507432784208</v>
      </c>
      <c r="O14" s="10">
        <f t="shared" si="6"/>
        <v>53.896249708723097</v>
      </c>
      <c r="P14">
        <f t="shared" si="7"/>
        <v>54.337870665150334</v>
      </c>
      <c r="Q14">
        <f t="shared" si="8"/>
        <v>5.7982520861694491</v>
      </c>
      <c r="R14">
        <f t="shared" si="9"/>
        <v>-0.47097451557686754</v>
      </c>
      <c r="S14" s="10">
        <f t="shared" si="10"/>
        <v>53.896249708723097</v>
      </c>
      <c r="T14">
        <f t="shared" si="12"/>
        <v>56.037808427003284</v>
      </c>
      <c r="U14">
        <f t="shared" si="13"/>
        <v>54.056555204264555</v>
      </c>
    </row>
    <row r="15" spans="1:32" x14ac:dyDescent="0.35">
      <c r="A15" t="str">
        <f>'US Raw Data_nsa'!A18</f>
        <v>2001-Q3</v>
      </c>
      <c r="B15" s="7">
        <f>'US Raw Data_nsa'!B18</f>
        <v>2651366</v>
      </c>
      <c r="C15" s="7">
        <f>'US Raw Data_nsa'!C18</f>
        <v>485197</v>
      </c>
      <c r="D15" s="7">
        <f>'US Raw Data_nsa'!D18</f>
        <v>501435</v>
      </c>
      <c r="E15" s="7">
        <f>'US Raw Data_nsa'!E18</f>
        <v>81707</v>
      </c>
      <c r="F15" s="7">
        <f t="shared" si="0"/>
        <v>419728</v>
      </c>
      <c r="G15" s="7">
        <f>'US Raw Data_nsa'!F18</f>
        <v>5807464</v>
      </c>
      <c r="H15" s="7">
        <f t="shared" si="11"/>
        <v>5743053</v>
      </c>
      <c r="I15" s="7">
        <f t="shared" si="3"/>
        <v>64411</v>
      </c>
      <c r="J15" s="7">
        <f t="shared" si="4"/>
        <v>5283836</v>
      </c>
      <c r="K15" s="7">
        <f t="shared" si="5"/>
        <v>5807464</v>
      </c>
      <c r="M15">
        <f t="shared" si="1"/>
        <v>15.830632209962713</v>
      </c>
      <c r="N15">
        <f t="shared" si="2"/>
        <v>18.299887680539012</v>
      </c>
      <c r="O15" s="10">
        <f t="shared" si="6"/>
        <v>54.75916942436465</v>
      </c>
      <c r="P15">
        <f t="shared" si="7"/>
        <v>53.998721790956061</v>
      </c>
      <c r="Q15">
        <f t="shared" si="8"/>
        <v>5.7069767401251825</v>
      </c>
      <c r="R15">
        <f t="shared" si="9"/>
        <v>2.4293515116358888</v>
      </c>
      <c r="S15" s="10">
        <f t="shared" si="10"/>
        <v>54.759169424364657</v>
      </c>
      <c r="T15">
        <f t="shared" si="12"/>
        <v>54.817827972534531</v>
      </c>
      <c r="U15">
        <f t="shared" si="13"/>
        <v>54.922052236860743</v>
      </c>
    </row>
    <row r="16" spans="1:32" x14ac:dyDescent="0.35">
      <c r="A16" t="str">
        <f>'US Raw Data_nsa'!A19</f>
        <v>2001-Q4</v>
      </c>
      <c r="B16" s="7">
        <f>'US Raw Data_nsa'!B19</f>
        <v>2711715</v>
      </c>
      <c r="C16" s="7">
        <f>'US Raw Data_nsa'!C19</f>
        <v>498255</v>
      </c>
      <c r="D16" s="7">
        <f>'US Raw Data_nsa'!D19</f>
        <v>515573</v>
      </c>
      <c r="E16" s="7">
        <f>'US Raw Data_nsa'!E19</f>
        <v>79455</v>
      </c>
      <c r="F16" s="7">
        <f t="shared" si="0"/>
        <v>436118</v>
      </c>
      <c r="G16" s="7">
        <f>'US Raw Data_nsa'!F19</f>
        <v>5943439</v>
      </c>
      <c r="H16" s="7">
        <f t="shared" si="11"/>
        <v>5824782</v>
      </c>
      <c r="I16" s="7">
        <f t="shared" si="3"/>
        <v>118657</v>
      </c>
      <c r="J16" s="7">
        <f t="shared" si="4"/>
        <v>5301154</v>
      </c>
      <c r="K16" s="7">
        <f t="shared" si="5"/>
        <v>5943439</v>
      </c>
      <c r="M16">
        <f t="shared" si="1"/>
        <v>16.08273730830858</v>
      </c>
      <c r="N16">
        <f t="shared" si="2"/>
        <v>18.374165426676477</v>
      </c>
      <c r="O16" s="10">
        <f t="shared" si="6"/>
        <v>54.794097093536749</v>
      </c>
      <c r="P16">
        <f t="shared" si="7"/>
        <v>53.540508497390029</v>
      </c>
      <c r="Q16">
        <f t="shared" si="8"/>
        <v>5.4726124862762813</v>
      </c>
      <c r="R16">
        <f t="shared" si="9"/>
        <v>4.3757179497107916</v>
      </c>
      <c r="S16" s="10">
        <f t="shared" si="10"/>
        <v>54.794097093536742</v>
      </c>
      <c r="T16">
        <f t="shared" si="12"/>
        <v>56.194542466804862</v>
      </c>
      <c r="U16">
        <f t="shared" si="13"/>
        <v>54.943937427805849</v>
      </c>
    </row>
    <row r="17" spans="1:21" x14ac:dyDescent="0.35">
      <c r="A17" t="str">
        <f>'US Raw Data_nsa'!A20</f>
        <v>2002-Q1</v>
      </c>
      <c r="B17" s="7">
        <f>'US Raw Data_nsa'!B20</f>
        <v>2631119</v>
      </c>
      <c r="C17" s="7">
        <f>'US Raw Data_nsa'!C20</f>
        <v>459404</v>
      </c>
      <c r="D17" s="7">
        <f>'US Raw Data_nsa'!D20</f>
        <v>522337</v>
      </c>
      <c r="E17" s="7">
        <f>'US Raw Data_nsa'!E20</f>
        <v>76233</v>
      </c>
      <c r="F17" s="7">
        <f t="shared" si="0"/>
        <v>446104</v>
      </c>
      <c r="G17" s="7">
        <f>'US Raw Data_nsa'!F20</f>
        <v>6006032</v>
      </c>
      <c r="H17" s="7">
        <f t="shared" si="11"/>
        <v>6006372</v>
      </c>
      <c r="I17" s="7">
        <f t="shared" si="3"/>
        <v>-340</v>
      </c>
      <c r="J17" s="7">
        <f t="shared" si="4"/>
        <v>5364087</v>
      </c>
      <c r="K17" s="7">
        <f t="shared" si="5"/>
        <v>6006032</v>
      </c>
      <c r="M17">
        <f t="shared" si="1"/>
        <v>16.954915380110137</v>
      </c>
      <c r="N17">
        <f t="shared" si="2"/>
        <v>17.460403729363819</v>
      </c>
      <c r="O17" s="10">
        <f t="shared" si="6"/>
        <v>57.067278218887097</v>
      </c>
      <c r="P17">
        <f t="shared" si="7"/>
        <v>56.472540770675899</v>
      </c>
      <c r="Q17">
        <f t="shared" si="8"/>
        <v>5.1305649809815499</v>
      </c>
      <c r="R17">
        <f t="shared" si="9"/>
        <v>-1.2922258552349779E-2</v>
      </c>
      <c r="S17" s="10">
        <f t="shared" si="10"/>
        <v>57.067278218887104</v>
      </c>
      <c r="T17">
        <f t="shared" si="12"/>
        <v>55.519068379065203</v>
      </c>
      <c r="U17">
        <f t="shared" si="13"/>
        <v>57.219719256155571</v>
      </c>
    </row>
    <row r="18" spans="1:21" x14ac:dyDescent="0.35">
      <c r="A18" t="str">
        <f>'US Raw Data_nsa'!A21</f>
        <v>2002-Q2</v>
      </c>
      <c r="B18" s="7">
        <f>'US Raw Data_nsa'!B21</f>
        <v>2721842</v>
      </c>
      <c r="C18" s="7">
        <f>'US Raw Data_nsa'!C21</f>
        <v>477436</v>
      </c>
      <c r="D18" s="7">
        <f>'US Raw Data_nsa'!D21</f>
        <v>535303</v>
      </c>
      <c r="E18" s="7">
        <f>'US Raw Data_nsa'!E21</f>
        <v>75489</v>
      </c>
      <c r="F18" s="7">
        <f t="shared" si="0"/>
        <v>459814</v>
      </c>
      <c r="G18" s="7">
        <f>'US Raw Data_nsa'!F21</f>
        <v>6126469</v>
      </c>
      <c r="H18" s="7">
        <f t="shared" si="11"/>
        <v>6063899</v>
      </c>
      <c r="I18" s="7">
        <f t="shared" si="3"/>
        <v>62570</v>
      </c>
      <c r="J18" s="7">
        <f t="shared" si="4"/>
        <v>5421954</v>
      </c>
      <c r="K18" s="7">
        <f t="shared" si="5"/>
        <v>6126469</v>
      </c>
      <c r="M18">
        <f t="shared" si="1"/>
        <v>16.893486102426223</v>
      </c>
      <c r="N18">
        <f t="shared" si="2"/>
        <v>17.54091530661956</v>
      </c>
      <c r="O18" s="10">
        <f t="shared" si="6"/>
        <v>56.27135043106837</v>
      </c>
      <c r="P18">
        <f t="shared" si="7"/>
        <v>55.165141841444139</v>
      </c>
      <c r="Q18">
        <f t="shared" si="8"/>
        <v>5.0275456407824661</v>
      </c>
      <c r="R18">
        <f t="shared" si="9"/>
        <v>2.2988108788092769</v>
      </c>
      <c r="S18" s="10">
        <f t="shared" si="10"/>
        <v>56.27135043106837</v>
      </c>
      <c r="T18">
        <f t="shared" si="12"/>
        <v>58.35175155009226</v>
      </c>
      <c r="U18">
        <f t="shared" si="13"/>
        <v>56.406801785969648</v>
      </c>
    </row>
    <row r="19" spans="1:21" x14ac:dyDescent="0.35">
      <c r="A19" t="str">
        <f>'US Raw Data_nsa'!A22</f>
        <v>2002-Q3</v>
      </c>
      <c r="B19" s="7">
        <f>'US Raw Data_nsa'!B22</f>
        <v>2751463</v>
      </c>
      <c r="C19" s="7">
        <f>'US Raw Data_nsa'!C22</f>
        <v>455193</v>
      </c>
      <c r="D19" s="7">
        <f>'US Raw Data_nsa'!D22</f>
        <v>534775</v>
      </c>
      <c r="E19" s="7">
        <f>'US Raw Data_nsa'!E22</f>
        <v>75047</v>
      </c>
      <c r="F19" s="7">
        <f t="shared" si="0"/>
        <v>459728</v>
      </c>
      <c r="G19" s="7">
        <f>'US Raw Data_nsa'!F22</f>
        <v>6228236</v>
      </c>
      <c r="H19" s="7">
        <f t="shared" si="11"/>
        <v>6206051</v>
      </c>
      <c r="I19" s="7">
        <f t="shared" si="3"/>
        <v>22185</v>
      </c>
      <c r="J19" s="7">
        <f t="shared" si="4"/>
        <v>5501536</v>
      </c>
      <c r="K19" s="7">
        <f t="shared" si="5"/>
        <v>6228236</v>
      </c>
      <c r="M19">
        <f t="shared" si="1"/>
        <v>16.70849289995904</v>
      </c>
      <c r="N19">
        <f t="shared" si="2"/>
        <v>16.543671494037898</v>
      </c>
      <c r="O19" s="10">
        <f t="shared" si="6"/>
        <v>56.590221275008965</v>
      </c>
      <c r="P19">
        <f t="shared" si="7"/>
        <v>55.665558650070892</v>
      </c>
      <c r="Q19">
        <f t="shared" si="8"/>
        <v>4.8998534065870567</v>
      </c>
      <c r="R19">
        <f t="shared" si="9"/>
        <v>0.8062983220199581</v>
      </c>
      <c r="S19" s="10">
        <f t="shared" si="10"/>
        <v>56.590221275008972</v>
      </c>
      <c r="T19">
        <f t="shared" si="12"/>
        <v>57.340544367669089</v>
      </c>
      <c r="U19">
        <f t="shared" si="13"/>
        <v>56.723242130744687</v>
      </c>
    </row>
    <row r="20" spans="1:21" x14ac:dyDescent="0.35">
      <c r="A20" t="str">
        <f>'US Raw Data_nsa'!A23</f>
        <v>2002-Q4</v>
      </c>
      <c r="B20" s="7">
        <f>'US Raw Data_nsa'!B23</f>
        <v>2824686</v>
      </c>
      <c r="C20" s="7">
        <f>'US Raw Data_nsa'!C23</f>
        <v>478853</v>
      </c>
      <c r="D20" s="7">
        <f>'US Raw Data_nsa'!D23</f>
        <v>546285</v>
      </c>
      <c r="E20" s="7">
        <f>'US Raw Data_nsa'!E23</f>
        <v>74502</v>
      </c>
      <c r="F20" s="7">
        <f t="shared" si="0"/>
        <v>471783</v>
      </c>
      <c r="G20" s="7">
        <f>'US Raw Data_nsa'!F23</f>
        <v>6405707</v>
      </c>
      <c r="H20" s="7">
        <f t="shared" si="11"/>
        <v>6295668</v>
      </c>
      <c r="I20" s="7">
        <f t="shared" si="3"/>
        <v>110039</v>
      </c>
      <c r="J20" s="7">
        <f t="shared" si="4"/>
        <v>5568968</v>
      </c>
      <c r="K20" s="7">
        <f t="shared" si="5"/>
        <v>6405707</v>
      </c>
      <c r="M20">
        <f t="shared" si="1"/>
        <v>16.702139636051584</v>
      </c>
      <c r="N20">
        <f t="shared" si="2"/>
        <v>16.952432942989063</v>
      </c>
      <c r="O20" s="10">
        <f t="shared" si="6"/>
        <v>56.693974126681688</v>
      </c>
      <c r="P20">
        <f t="shared" si="7"/>
        <v>55.123259718071317</v>
      </c>
      <c r="Q20">
        <f t="shared" si="8"/>
        <v>4.784789786385744</v>
      </c>
      <c r="R20">
        <f t="shared" si="9"/>
        <v>3.8956188404658074</v>
      </c>
      <c r="S20" s="10">
        <f t="shared" si="10"/>
        <v>56.693974126681688</v>
      </c>
      <c r="T20">
        <f t="shared" si="12"/>
        <v>58.313095488121448</v>
      </c>
      <c r="U20">
        <f t="shared" si="13"/>
        <v>56.801472677328775</v>
      </c>
    </row>
    <row r="21" spans="1:21" x14ac:dyDescent="0.35">
      <c r="A21" t="str">
        <f>'US Raw Data_nsa'!A24</f>
        <v>2003-Q1</v>
      </c>
      <c r="B21" s="7">
        <f>'US Raw Data_nsa'!B24</f>
        <v>2743734</v>
      </c>
      <c r="C21" s="7">
        <f>'US Raw Data_nsa'!C24</f>
        <v>474351</v>
      </c>
      <c r="D21" s="7">
        <f>'US Raw Data_nsa'!D24</f>
        <v>556203</v>
      </c>
      <c r="E21" s="7">
        <f>'US Raw Data_nsa'!E24</f>
        <v>72698</v>
      </c>
      <c r="F21" s="7">
        <f t="shared" si="0"/>
        <v>483505</v>
      </c>
      <c r="G21" s="7">
        <f>'US Raw Data_nsa'!F24</f>
        <v>6460776</v>
      </c>
      <c r="H21" s="7">
        <f t="shared" si="11"/>
        <v>6487559</v>
      </c>
      <c r="I21" s="7">
        <f t="shared" si="3"/>
        <v>-26783</v>
      </c>
      <c r="J21" s="7">
        <f t="shared" si="4"/>
        <v>5650820</v>
      </c>
      <c r="K21" s="7">
        <f t="shared" si="5"/>
        <v>6460776</v>
      </c>
      <c r="M21">
        <f t="shared" si="1"/>
        <v>17.622152876335679</v>
      </c>
      <c r="N21">
        <f t="shared" si="2"/>
        <v>17.288519951278076</v>
      </c>
      <c r="O21" s="10">
        <f t="shared" si="6"/>
        <v>58.868461738637926</v>
      </c>
      <c r="P21">
        <f t="shared" si="7"/>
        <v>58.366691158836829</v>
      </c>
      <c r="Q21">
        <f t="shared" si="8"/>
        <v>4.5395769740951319</v>
      </c>
      <c r="R21">
        <f t="shared" si="9"/>
        <v>-0.97615147824096649</v>
      </c>
      <c r="S21" s="10">
        <f t="shared" si="10"/>
        <v>58.868461738637933</v>
      </c>
      <c r="T21">
        <f t="shared" si="12"/>
        <v>57.285479682684674</v>
      </c>
      <c r="U21">
        <f t="shared" si="13"/>
        <v>58.9756486827673</v>
      </c>
    </row>
    <row r="22" spans="1:21" x14ac:dyDescent="0.35">
      <c r="A22" t="str">
        <f>'US Raw Data_nsa'!A25</f>
        <v>2003-Q2</v>
      </c>
      <c r="B22" s="7">
        <f>'US Raw Data_nsa'!B25</f>
        <v>2831413</v>
      </c>
      <c r="C22" s="7">
        <f>'US Raw Data_nsa'!C25</f>
        <v>485868</v>
      </c>
      <c r="D22" s="7">
        <f>'US Raw Data_nsa'!D25</f>
        <v>577410</v>
      </c>
      <c r="E22" s="7">
        <f>'US Raw Data_nsa'!E25</f>
        <v>72580</v>
      </c>
      <c r="F22" s="7">
        <f t="shared" si="0"/>
        <v>504830</v>
      </c>
      <c r="G22" s="7">
        <f>'US Raw Data_nsa'!F25</f>
        <v>6670121</v>
      </c>
      <c r="H22" s="7">
        <f t="shared" si="11"/>
        <v>6552318</v>
      </c>
      <c r="I22" s="7">
        <f t="shared" si="3"/>
        <v>117803</v>
      </c>
      <c r="J22" s="7">
        <f t="shared" si="4"/>
        <v>5742362</v>
      </c>
      <c r="K22" s="7">
        <f t="shared" si="5"/>
        <v>6670121</v>
      </c>
      <c r="M22">
        <f t="shared" si="1"/>
        <v>17.829613694646454</v>
      </c>
      <c r="N22">
        <f t="shared" si="2"/>
        <v>17.15991273614976</v>
      </c>
      <c r="O22" s="10">
        <f t="shared" si="6"/>
        <v>58.893925047317367</v>
      </c>
      <c r="P22">
        <f t="shared" si="7"/>
        <v>57.045510492464366</v>
      </c>
      <c r="Q22">
        <f t="shared" si="8"/>
        <v>4.4935778612352442</v>
      </c>
      <c r="R22">
        <f t="shared" si="9"/>
        <v>4.1605728305973022</v>
      </c>
      <c r="S22" s="10">
        <f t="shared" si="10"/>
        <v>58.893925047317367</v>
      </c>
      <c r="T22">
        <f t="shared" si="12"/>
        <v>60.845746303222974</v>
      </c>
      <c r="U22">
        <f t="shared" si="13"/>
        <v>58.961565440127309</v>
      </c>
    </row>
    <row r="23" spans="1:21" x14ac:dyDescent="0.35">
      <c r="A23" t="str">
        <f>'US Raw Data_nsa'!A26</f>
        <v>2003-Q3</v>
      </c>
      <c r="B23" s="7">
        <f>'US Raw Data_nsa'!B26</f>
        <v>2886905</v>
      </c>
      <c r="C23" s="7">
        <f>'US Raw Data_nsa'!C26</f>
        <v>437064</v>
      </c>
      <c r="D23" s="7">
        <f>'US Raw Data_nsa'!D26</f>
        <v>575120</v>
      </c>
      <c r="E23" s="7">
        <f>'US Raw Data_nsa'!E26</f>
        <v>72915</v>
      </c>
      <c r="F23" s="7">
        <f t="shared" si="0"/>
        <v>502205</v>
      </c>
      <c r="G23" s="7">
        <f>'US Raw Data_nsa'!F26</f>
        <v>6783320</v>
      </c>
      <c r="H23" s="7">
        <f t="shared" si="11"/>
        <v>6808177</v>
      </c>
      <c r="I23" s="7">
        <f t="shared" si="3"/>
        <v>-24857</v>
      </c>
      <c r="J23" s="7">
        <f t="shared" si="4"/>
        <v>5880418</v>
      </c>
      <c r="K23" s="7">
        <f t="shared" si="5"/>
        <v>6783320</v>
      </c>
      <c r="M23">
        <f t="shared" si="1"/>
        <v>17.395965575590466</v>
      </c>
      <c r="N23">
        <f t="shared" si="2"/>
        <v>15.139535246223897</v>
      </c>
      <c r="O23" s="10">
        <f t="shared" si="6"/>
        <v>58.742147732606369</v>
      </c>
      <c r="P23">
        <f t="shared" si="7"/>
        <v>57.761867813454202</v>
      </c>
      <c r="Q23">
        <f t="shared" si="8"/>
        <v>4.3726343195273367</v>
      </c>
      <c r="R23">
        <f t="shared" si="9"/>
        <v>-0.86102590836899728</v>
      </c>
      <c r="S23" s="10">
        <f t="shared" si="10"/>
        <v>58.742147732606377</v>
      </c>
      <c r="T23">
        <f t="shared" si="12"/>
        <v>59.954959956818101</v>
      </c>
      <c r="U23">
        <f t="shared" si="13"/>
        <v>58.802507542234402</v>
      </c>
    </row>
    <row r="24" spans="1:21" x14ac:dyDescent="0.35">
      <c r="A24" t="str">
        <f>'US Raw Data_nsa'!A27</f>
        <v>2003-Q4</v>
      </c>
      <c r="B24" s="7">
        <f>'US Raw Data_nsa'!B27</f>
        <v>2994399</v>
      </c>
      <c r="C24" s="7">
        <f>'US Raw Data_nsa'!C27</f>
        <v>498832</v>
      </c>
      <c r="D24" s="7">
        <f>'US Raw Data_nsa'!D27</f>
        <v>584764</v>
      </c>
      <c r="E24" s="7">
        <f>'US Raw Data_nsa'!E27</f>
        <v>73527</v>
      </c>
      <c r="F24" s="7">
        <f t="shared" si="0"/>
        <v>511237</v>
      </c>
      <c r="G24" s="7">
        <f>'US Raw Data_nsa'!F27</f>
        <v>6997964</v>
      </c>
      <c r="H24" s="7">
        <f t="shared" si="11"/>
        <v>6869252</v>
      </c>
      <c r="I24" s="7">
        <f t="shared" si="3"/>
        <v>128712</v>
      </c>
      <c r="J24" s="7">
        <f t="shared" si="4"/>
        <v>5966350</v>
      </c>
      <c r="K24" s="7">
        <f t="shared" si="5"/>
        <v>6997964</v>
      </c>
      <c r="M24">
        <f t="shared" si="1"/>
        <v>17.073108827514304</v>
      </c>
      <c r="N24">
        <f t="shared" si="2"/>
        <v>16.658835378985899</v>
      </c>
      <c r="O24" s="10">
        <f t="shared" si="6"/>
        <v>58.42544697617118</v>
      </c>
      <c r="P24">
        <f t="shared" si="7"/>
        <v>56.633401226757023</v>
      </c>
      <c r="Q24">
        <f t="shared" si="8"/>
        <v>4.3357529941090798</v>
      </c>
      <c r="R24">
        <f t="shared" si="9"/>
        <v>4.2984251597732968</v>
      </c>
      <c r="S24" s="10">
        <f t="shared" si="10"/>
        <v>58.425446976171173</v>
      </c>
      <c r="T24">
        <f t="shared" si="12"/>
        <v>60.618065064653237</v>
      </c>
      <c r="U24">
        <f t="shared" si="13"/>
        <v>58.441976211410953</v>
      </c>
    </row>
    <row r="25" spans="1:21" x14ac:dyDescent="0.35">
      <c r="A25" t="str">
        <f>'US Raw Data_nsa'!A28</f>
        <v>2004-Q1</v>
      </c>
      <c r="B25" s="7">
        <f>'US Raw Data_nsa'!B28</f>
        <v>2924602</v>
      </c>
      <c r="C25" s="7">
        <f>'US Raw Data_nsa'!C28</f>
        <v>485658</v>
      </c>
      <c r="D25" s="7">
        <f>'US Raw Data_nsa'!D28</f>
        <v>596541</v>
      </c>
      <c r="E25" s="7">
        <f>'US Raw Data_nsa'!E28</f>
        <v>74471</v>
      </c>
      <c r="F25" s="7">
        <f t="shared" si="0"/>
        <v>522070</v>
      </c>
      <c r="G25" s="7">
        <f>'US Raw Data_nsa'!F28</f>
        <v>7131068</v>
      </c>
      <c r="H25" s="7">
        <f t="shared" si="11"/>
        <v>7108847</v>
      </c>
      <c r="I25" s="7">
        <f t="shared" si="3"/>
        <v>22221</v>
      </c>
      <c r="J25" s="7">
        <f t="shared" si="4"/>
        <v>6077233</v>
      </c>
      <c r="K25" s="7">
        <f t="shared" si="5"/>
        <v>7131068</v>
      </c>
      <c r="M25">
        <f t="shared" si="1"/>
        <v>17.850975961857372</v>
      </c>
      <c r="N25">
        <f t="shared" si="2"/>
        <v>16.605951852593961</v>
      </c>
      <c r="O25" s="10">
        <f t="shared" si="6"/>
        <v>60.957593546061993</v>
      </c>
      <c r="P25">
        <f t="shared" si="7"/>
        <v>59.819797702388222</v>
      </c>
      <c r="Q25">
        <f t="shared" si="8"/>
        <v>4.256723812811841</v>
      </c>
      <c r="R25">
        <f t="shared" si="9"/>
        <v>0.75979569185824258</v>
      </c>
      <c r="S25" s="10">
        <f t="shared" si="10"/>
        <v>60.957593546061986</v>
      </c>
      <c r="T25">
        <f t="shared" si="12"/>
        <v>59.565109541208599</v>
      </c>
      <c r="U25">
        <f t="shared" si="13"/>
        <v>60.986658849677831</v>
      </c>
    </row>
    <row r="26" spans="1:21" x14ac:dyDescent="0.35">
      <c r="A26" t="str">
        <f>'US Raw Data_nsa'!A29</f>
        <v>2004-Q2</v>
      </c>
      <c r="B26" s="7">
        <f>'US Raw Data_nsa'!B29</f>
        <v>3032386</v>
      </c>
      <c r="C26" s="7">
        <f>'US Raw Data_nsa'!C29</f>
        <v>510106</v>
      </c>
      <c r="D26" s="7">
        <f>'US Raw Data_nsa'!D29</f>
        <v>600847</v>
      </c>
      <c r="E26" s="7">
        <f>'US Raw Data_nsa'!E29</f>
        <v>74915</v>
      </c>
      <c r="F26" s="7">
        <f t="shared" si="0"/>
        <v>525932</v>
      </c>
      <c r="G26" s="7">
        <f>'US Raw Data_nsa'!F29</f>
        <v>7274335</v>
      </c>
      <c r="H26" s="7">
        <f t="shared" si="11"/>
        <v>7221809</v>
      </c>
      <c r="I26" s="7">
        <f t="shared" si="3"/>
        <v>52526</v>
      </c>
      <c r="J26" s="7">
        <f t="shared" si="4"/>
        <v>6167974</v>
      </c>
      <c r="K26" s="7">
        <f t="shared" si="5"/>
        <v>7274335</v>
      </c>
      <c r="M26">
        <f t="shared" si="1"/>
        <v>17.343834195250867</v>
      </c>
      <c r="N26">
        <f t="shared" si="2"/>
        <v>16.82193493836207</v>
      </c>
      <c r="O26" s="10">
        <f t="shared" si="6"/>
        <v>59.97204016902861</v>
      </c>
      <c r="P26">
        <f t="shared" si="7"/>
        <v>58.790899311631172</v>
      </c>
      <c r="Q26">
        <f t="shared" si="8"/>
        <v>4.2021756067955041</v>
      </c>
      <c r="R26">
        <f t="shared" si="9"/>
        <v>1.732167342811898</v>
      </c>
      <c r="S26" s="10">
        <f t="shared" si="10"/>
        <v>59.972040169028617</v>
      </c>
      <c r="T26">
        <f t="shared" si="12"/>
        <v>62.190867124998192</v>
      </c>
      <c r="U26">
        <f t="shared" si="13"/>
        <v>59.980337059828123</v>
      </c>
    </row>
    <row r="27" spans="1:21" x14ac:dyDescent="0.35">
      <c r="A27" t="str">
        <f>'US Raw Data_nsa'!A30</f>
        <v>2004-Q3</v>
      </c>
      <c r="B27" s="7">
        <f>'US Raw Data_nsa'!B30</f>
        <v>3069688</v>
      </c>
      <c r="C27" s="7">
        <f>'US Raw Data_nsa'!C30</f>
        <v>484663</v>
      </c>
      <c r="D27" s="7">
        <f>'US Raw Data_nsa'!D30</f>
        <v>604610</v>
      </c>
      <c r="E27" s="7">
        <f>'US Raw Data_nsa'!E30</f>
        <v>77040</v>
      </c>
      <c r="F27" s="7">
        <f t="shared" si="0"/>
        <v>527570</v>
      </c>
      <c r="G27" s="7">
        <f>'US Raw Data_nsa'!F30</f>
        <v>7379053</v>
      </c>
      <c r="H27" s="7">
        <f t="shared" si="11"/>
        <v>7394282</v>
      </c>
      <c r="I27" s="7">
        <f t="shared" si="3"/>
        <v>-15229</v>
      </c>
      <c r="J27" s="7">
        <f t="shared" si="4"/>
        <v>6287921</v>
      </c>
      <c r="K27" s="7">
        <f t="shared" si="5"/>
        <v>7379053</v>
      </c>
      <c r="M27">
        <f t="shared" si="1"/>
        <v>17.186437188404817</v>
      </c>
      <c r="N27">
        <f t="shared" si="2"/>
        <v>15.788672985658478</v>
      </c>
      <c r="O27" s="10">
        <f t="shared" si="6"/>
        <v>60.096115631295426</v>
      </c>
      <c r="P27">
        <f t="shared" si="7"/>
        <v>59.243276515398307</v>
      </c>
      <c r="Q27">
        <f t="shared" si="8"/>
        <v>4.2362635209953909</v>
      </c>
      <c r="R27">
        <f t="shared" si="9"/>
        <v>-0.4961090508221031</v>
      </c>
      <c r="S27" s="10">
        <f t="shared" si="10"/>
        <v>60.096115631295426</v>
      </c>
      <c r="T27">
        <f t="shared" si="12"/>
        <v>60.840982132468078</v>
      </c>
      <c r="U27">
        <f t="shared" si="13"/>
        <v>60.101659336305957</v>
      </c>
    </row>
    <row r="28" spans="1:21" x14ac:dyDescent="0.35">
      <c r="A28" t="str">
        <f>'US Raw Data_nsa'!A31</f>
        <v>2004-Q4</v>
      </c>
      <c r="B28" s="7">
        <f>'US Raw Data_nsa'!B31</f>
        <v>3190521</v>
      </c>
      <c r="C28" s="7">
        <f>'US Raw Data_nsa'!C31</f>
        <v>547653</v>
      </c>
      <c r="D28" s="7">
        <f>'US Raw Data_nsa'!D31</f>
        <v>619574</v>
      </c>
      <c r="E28" s="7">
        <f>'US Raw Data_nsa'!E31</f>
        <v>79596</v>
      </c>
      <c r="F28" s="7">
        <f t="shared" si="0"/>
        <v>539978</v>
      </c>
      <c r="G28" s="7">
        <f>'US Raw Data_nsa'!F31</f>
        <v>7596143</v>
      </c>
      <c r="H28" s="7">
        <f t="shared" si="11"/>
        <v>7450974</v>
      </c>
      <c r="I28" s="7">
        <f t="shared" si="3"/>
        <v>145169</v>
      </c>
      <c r="J28" s="7">
        <f t="shared" si="4"/>
        <v>6359842</v>
      </c>
      <c r="K28" s="7">
        <f t="shared" si="5"/>
        <v>7596143</v>
      </c>
      <c r="M28">
        <f t="shared" si="1"/>
        <v>16.924445882036196</v>
      </c>
      <c r="N28">
        <f t="shared" si="2"/>
        <v>17.165002204969031</v>
      </c>
      <c r="O28" s="10">
        <f t="shared" si="6"/>
        <v>59.52118008312749</v>
      </c>
      <c r="P28">
        <f t="shared" si="7"/>
        <v>57.820125615847694</v>
      </c>
      <c r="Q28">
        <f t="shared" si="8"/>
        <v>4.3147000028323417</v>
      </c>
      <c r="R28">
        <f t="shared" si="9"/>
        <v>4.5500092304673752</v>
      </c>
      <c r="S28" s="10">
        <f t="shared" si="10"/>
        <v>59.52118008312749</v>
      </c>
      <c r="T28">
        <f t="shared" si="12"/>
        <v>61.827324137461062</v>
      </c>
      <c r="U28">
        <f t="shared" si="13"/>
        <v>59.485768931429874</v>
      </c>
    </row>
    <row r="29" spans="1:21" x14ac:dyDescent="0.35">
      <c r="A29" t="str">
        <f>'US Raw Data_nsa'!A32</f>
        <v>2005-Q1</v>
      </c>
      <c r="B29" s="7">
        <f>'US Raw Data_nsa'!B32</f>
        <v>3111329</v>
      </c>
      <c r="C29" s="7">
        <f>'US Raw Data_nsa'!C32</f>
        <v>551292</v>
      </c>
      <c r="D29" s="7">
        <f>'US Raw Data_nsa'!D32</f>
        <v>638822</v>
      </c>
      <c r="E29" s="7">
        <f>'US Raw Data_nsa'!E32</f>
        <v>82352</v>
      </c>
      <c r="F29" s="7">
        <f t="shared" si="0"/>
        <v>556470</v>
      </c>
      <c r="G29" s="7">
        <f>'US Raw Data_nsa'!F32</f>
        <v>7776939</v>
      </c>
      <c r="H29" s="7">
        <f t="shared" si="11"/>
        <v>7683673</v>
      </c>
      <c r="I29" s="7">
        <f t="shared" si="3"/>
        <v>93266</v>
      </c>
      <c r="J29" s="7">
        <f t="shared" si="4"/>
        <v>6447372</v>
      </c>
      <c r="K29" s="7">
        <f t="shared" si="5"/>
        <v>7776939</v>
      </c>
      <c r="M29">
        <f t="shared" si="1"/>
        <v>17.885283105708204</v>
      </c>
      <c r="N29">
        <f t="shared" si="2"/>
        <v>17.718859047050312</v>
      </c>
      <c r="O29" s="10">
        <f t="shared" si="6"/>
        <v>62.488883367846988</v>
      </c>
      <c r="P29">
        <f t="shared" si="7"/>
        <v>61.036160110357983</v>
      </c>
      <c r="Q29">
        <f t="shared" si="8"/>
        <v>4.3365165716337888</v>
      </c>
      <c r="R29">
        <f t="shared" si="9"/>
        <v>2.9976257734235112</v>
      </c>
      <c r="S29" s="10">
        <f t="shared" si="10"/>
        <v>62.488883367846995</v>
      </c>
      <c r="T29">
        <f t="shared" si="12"/>
        <v>60.921683946319035</v>
      </c>
      <c r="U29">
        <f t="shared" si="13"/>
        <v>62.472310702626991</v>
      </c>
    </row>
    <row r="30" spans="1:21" x14ac:dyDescent="0.35">
      <c r="A30" t="str">
        <f>'US Raw Data_nsa'!A33</f>
        <v>2005-Q2</v>
      </c>
      <c r="B30" s="7">
        <f>'US Raw Data_nsa'!B33</f>
        <v>3232051</v>
      </c>
      <c r="C30" s="7">
        <f>'US Raw Data_nsa'!C33</f>
        <v>578280</v>
      </c>
      <c r="D30" s="7">
        <f>'US Raw Data_nsa'!D33</f>
        <v>645540</v>
      </c>
      <c r="E30" s="7">
        <f>'US Raw Data_nsa'!E33</f>
        <v>85895</v>
      </c>
      <c r="F30" s="7">
        <f t="shared" si="0"/>
        <v>559645</v>
      </c>
      <c r="G30" s="7">
        <f>'US Raw Data_nsa'!F33</f>
        <v>7836496</v>
      </c>
      <c r="H30" s="7">
        <f t="shared" si="11"/>
        <v>7844199</v>
      </c>
      <c r="I30" s="7">
        <f t="shared" si="3"/>
        <v>-7703</v>
      </c>
      <c r="J30" s="7">
        <f t="shared" si="4"/>
        <v>6514632</v>
      </c>
      <c r="K30" s="7">
        <f t="shared" si="5"/>
        <v>7836496</v>
      </c>
      <c r="M30">
        <f t="shared" si="1"/>
        <v>17.315475529315595</v>
      </c>
      <c r="N30">
        <f t="shared" si="2"/>
        <v>17.89204440152708</v>
      </c>
      <c r="O30" s="10">
        <f t="shared" si="6"/>
        <v>60.615503901392643</v>
      </c>
      <c r="P30">
        <f t="shared" si="7"/>
        <v>60.154828930607842</v>
      </c>
      <c r="Q30">
        <f t="shared" si="8"/>
        <v>4.4179335854376642</v>
      </c>
      <c r="R30">
        <f t="shared" si="9"/>
        <v>-0.2383316352371915</v>
      </c>
      <c r="S30" s="10">
        <f t="shared" si="10"/>
        <v>60.61550390139265</v>
      </c>
      <c r="T30">
        <f t="shared" si="12"/>
        <v>62.95858187479741</v>
      </c>
      <c r="U30">
        <f t="shared" si="13"/>
        <v>60.606983486934936</v>
      </c>
    </row>
    <row r="31" spans="1:21" x14ac:dyDescent="0.35">
      <c r="A31" t="str">
        <f>'US Raw Data_nsa'!A34</f>
        <v>2005-Q3</v>
      </c>
      <c r="B31" s="7">
        <f>'US Raw Data_nsa'!B34</f>
        <v>3306451</v>
      </c>
      <c r="C31" s="7">
        <f>'US Raw Data_nsa'!C34</f>
        <v>566092</v>
      </c>
      <c r="D31" s="7">
        <f>'US Raw Data_nsa'!D34</f>
        <v>651726</v>
      </c>
      <c r="E31" s="7">
        <f>'US Raw Data_nsa'!E34</f>
        <v>87307</v>
      </c>
      <c r="F31" s="7">
        <f t="shared" si="0"/>
        <v>564419</v>
      </c>
      <c r="G31" s="7">
        <f>'US Raw Data_nsa'!F34</f>
        <v>7932710</v>
      </c>
      <c r="H31" s="7">
        <f t="shared" si="11"/>
        <v>7922130</v>
      </c>
      <c r="I31" s="7">
        <f t="shared" si="3"/>
        <v>10580</v>
      </c>
      <c r="J31" s="7">
        <f t="shared" si="4"/>
        <v>6600266</v>
      </c>
      <c r="K31" s="7">
        <f t="shared" si="5"/>
        <v>7932710</v>
      </c>
      <c r="M31">
        <f t="shared" si="1"/>
        <v>17.070236334970637</v>
      </c>
      <c r="N31">
        <f t="shared" si="2"/>
        <v>17.120834393130277</v>
      </c>
      <c r="O31" s="10">
        <f t="shared" si="6"/>
        <v>59.979037947333865</v>
      </c>
      <c r="P31">
        <f t="shared" si="7"/>
        <v>59.251566105168351</v>
      </c>
      <c r="Q31">
        <f t="shared" si="8"/>
        <v>4.4564305271131381</v>
      </c>
      <c r="R31">
        <f t="shared" si="9"/>
        <v>0.31998054711834534</v>
      </c>
      <c r="S31" s="10">
        <f t="shared" si="10"/>
        <v>59.979037947333865</v>
      </c>
      <c r="T31">
        <f t="shared" si="12"/>
        <v>61.349556137593162</v>
      </c>
      <c r="U31">
        <f t="shared" si="13"/>
        <v>59.96910108876984</v>
      </c>
    </row>
    <row r="32" spans="1:21" x14ac:dyDescent="0.35">
      <c r="A32" t="str">
        <f>'US Raw Data_nsa'!A35</f>
        <v>2005-Q4</v>
      </c>
      <c r="B32" s="7">
        <f>'US Raw Data_nsa'!B35</f>
        <v>3389367</v>
      </c>
      <c r="C32" s="7">
        <f>'US Raw Data_nsa'!C35</f>
        <v>609043</v>
      </c>
      <c r="D32" s="7">
        <f>'US Raw Data_nsa'!D35</f>
        <v>662376</v>
      </c>
      <c r="E32" s="7">
        <f>'US Raw Data_nsa'!E35</f>
        <v>88821</v>
      </c>
      <c r="F32" s="7">
        <f t="shared" si="0"/>
        <v>573555</v>
      </c>
      <c r="G32" s="7">
        <f>'US Raw Data_nsa'!F35</f>
        <v>8170413</v>
      </c>
      <c r="H32" s="7">
        <f t="shared" si="11"/>
        <v>7986043</v>
      </c>
      <c r="I32" s="7">
        <f t="shared" si="3"/>
        <v>184370</v>
      </c>
      <c r="J32" s="7">
        <f t="shared" si="4"/>
        <v>6653599</v>
      </c>
      <c r="K32" s="7">
        <f t="shared" si="5"/>
        <v>8170413</v>
      </c>
      <c r="M32">
        <f t="shared" si="1"/>
        <v>16.922186355151272</v>
      </c>
      <c r="N32">
        <f t="shared" si="2"/>
        <v>17.969225522051758</v>
      </c>
      <c r="O32" s="10">
        <f t="shared" si="6"/>
        <v>60.26503621472682</v>
      </c>
      <c r="P32">
        <f t="shared" si="7"/>
        <v>58.511736852338501</v>
      </c>
      <c r="Q32">
        <f t="shared" si="8"/>
        <v>4.4787216474571743</v>
      </c>
      <c r="R32">
        <f t="shared" si="9"/>
        <v>5.4396587917448889</v>
      </c>
      <c r="S32" s="10">
        <f t="shared" si="10"/>
        <v>60.26503621472682</v>
      </c>
      <c r="T32">
        <f t="shared" si="12"/>
        <v>61.738718273042998</v>
      </c>
      <c r="U32">
        <f t="shared" si="13"/>
        <v>60.228369123975448</v>
      </c>
    </row>
    <row r="33" spans="1:21" x14ac:dyDescent="0.35">
      <c r="A33" t="str">
        <f>'US Raw Data_nsa'!A36</f>
        <v>2006-Q1</v>
      </c>
      <c r="B33" s="7">
        <f>'US Raw Data_nsa'!B36</f>
        <v>3333266</v>
      </c>
      <c r="C33" s="7">
        <f>'US Raw Data_nsa'!C36</f>
        <v>621873</v>
      </c>
      <c r="D33" s="7">
        <f>'US Raw Data_nsa'!D36</f>
        <v>684176</v>
      </c>
      <c r="E33" s="7">
        <f>'US Raw Data_nsa'!E36</f>
        <v>89552</v>
      </c>
      <c r="F33" s="7">
        <f t="shared" si="0"/>
        <v>594624</v>
      </c>
      <c r="G33" s="7">
        <f>'US Raw Data_nsa'!F36</f>
        <v>8371156</v>
      </c>
      <c r="H33" s="7">
        <f t="shared" si="11"/>
        <v>8232716</v>
      </c>
      <c r="I33" s="7">
        <f t="shared" si="3"/>
        <v>138440</v>
      </c>
      <c r="J33" s="7">
        <f t="shared" si="4"/>
        <v>6715902</v>
      </c>
      <c r="K33" s="7">
        <f t="shared" si="5"/>
        <v>8371156</v>
      </c>
      <c r="M33">
        <f t="shared" si="1"/>
        <v>17.839080349423057</v>
      </c>
      <c r="N33">
        <f t="shared" si="2"/>
        <v>18.656566862650624</v>
      </c>
      <c r="O33" s="10">
        <f t="shared" si="6"/>
        <v>62.784938255752763</v>
      </c>
      <c r="P33">
        <f t="shared" si="7"/>
        <v>61.279335342573923</v>
      </c>
      <c r="Q33">
        <f t="shared" si="8"/>
        <v>4.3842092192891586</v>
      </c>
      <c r="R33">
        <f t="shared" si="9"/>
        <v>4.1532838963347061</v>
      </c>
      <c r="S33" s="10">
        <f t="shared" si="10"/>
        <v>62.784938255752763</v>
      </c>
      <c r="T33">
        <f t="shared" si="12"/>
        <v>61.722452897692442</v>
      </c>
      <c r="U33">
        <f t="shared" si="13"/>
        <v>62.761281281029817</v>
      </c>
    </row>
    <row r="34" spans="1:21" x14ac:dyDescent="0.35">
      <c r="A34" t="str">
        <f>'US Raw Data_nsa'!A37</f>
        <v>2006-Q2</v>
      </c>
      <c r="B34" s="7">
        <f>'US Raw Data_nsa'!B37</f>
        <v>3460990</v>
      </c>
      <c r="C34" s="7">
        <f>'US Raw Data_nsa'!C37</f>
        <v>634656</v>
      </c>
      <c r="D34" s="7">
        <f>'US Raw Data_nsa'!D37</f>
        <v>690465</v>
      </c>
      <c r="E34" s="7">
        <f>'US Raw Data_nsa'!E37</f>
        <v>91854</v>
      </c>
      <c r="F34" s="7">
        <f t="shared" si="0"/>
        <v>598611</v>
      </c>
      <c r="G34" s="7">
        <f>'US Raw Data_nsa'!F37</f>
        <v>8420042</v>
      </c>
      <c r="H34" s="7">
        <f t="shared" si="11"/>
        <v>8426965</v>
      </c>
      <c r="I34" s="7">
        <f t="shared" si="3"/>
        <v>-6923</v>
      </c>
      <c r="J34" s="7">
        <f t="shared" si="4"/>
        <v>6771711</v>
      </c>
      <c r="K34" s="7">
        <f t="shared" si="5"/>
        <v>8420042</v>
      </c>
      <c r="M34">
        <f t="shared" si="1"/>
        <v>17.295947113398189</v>
      </c>
      <c r="N34">
        <f t="shared" si="2"/>
        <v>18.337412127743796</v>
      </c>
      <c r="O34" s="10">
        <f t="shared" si="6"/>
        <v>60.821051202112692</v>
      </c>
      <c r="P34">
        <f t="shared" si="7"/>
        <v>60.467929696416341</v>
      </c>
      <c r="Q34">
        <f t="shared" si="8"/>
        <v>4.3890712346060683</v>
      </c>
      <c r="R34">
        <f t="shared" si="9"/>
        <v>-0.20002947133623616</v>
      </c>
      <c r="S34" s="10">
        <f t="shared" si="10"/>
        <v>60.821051202112685</v>
      </c>
      <c r="T34">
        <f t="shared" si="12"/>
        <v>63.139566995403328</v>
      </c>
      <c r="U34">
        <f t="shared" si="13"/>
        <v>60.80947125547894</v>
      </c>
    </row>
    <row r="35" spans="1:21" x14ac:dyDescent="0.35">
      <c r="A35" t="str">
        <f>'US Raw Data_nsa'!A38</f>
        <v>2006-Q3</v>
      </c>
      <c r="B35" s="7">
        <f>'US Raw Data_nsa'!B38</f>
        <v>3463694</v>
      </c>
      <c r="C35" s="7">
        <f>'US Raw Data_nsa'!C38</f>
        <v>612681</v>
      </c>
      <c r="D35" s="7">
        <f>'US Raw Data_nsa'!D38</f>
        <v>689447</v>
      </c>
      <c r="E35" s="7">
        <f>'US Raw Data_nsa'!E38</f>
        <v>94075</v>
      </c>
      <c r="F35" s="7">
        <f t="shared" si="0"/>
        <v>595372</v>
      </c>
      <c r="G35" s="7">
        <f>'US Raw Data_nsa'!F38</f>
        <v>8506974</v>
      </c>
      <c r="H35" s="7">
        <f t="shared" si="11"/>
        <v>8496808</v>
      </c>
      <c r="I35" s="7">
        <f t="shared" si="3"/>
        <v>10166</v>
      </c>
      <c r="J35" s="7">
        <f t="shared" si="4"/>
        <v>6848477</v>
      </c>
      <c r="K35" s="7">
        <f t="shared" si="5"/>
        <v>8506974</v>
      </c>
      <c r="M35">
        <f t="shared" si="1"/>
        <v>17.188931816725148</v>
      </c>
      <c r="N35">
        <f t="shared" si="2"/>
        <v>17.688658409201274</v>
      </c>
      <c r="O35" s="10">
        <f t="shared" si="6"/>
        <v>61.401021568302511</v>
      </c>
      <c r="P35">
        <f t="shared" si="7"/>
        <v>60.773570067101772</v>
      </c>
      <c r="Q35">
        <f t="shared" si="8"/>
        <v>4.469098847725463</v>
      </c>
      <c r="R35">
        <f t="shared" si="9"/>
        <v>0.29350167768861801</v>
      </c>
      <c r="S35" s="10">
        <f t="shared" si="10"/>
        <v>61.401021568302518</v>
      </c>
      <c r="T35">
        <f t="shared" si="12"/>
        <v>61.437323871578705</v>
      </c>
      <c r="U35">
        <f t="shared" si="13"/>
        <v>61.38936163133787</v>
      </c>
    </row>
    <row r="36" spans="1:21" x14ac:dyDescent="0.35">
      <c r="A36" t="str">
        <f>'US Raw Data_nsa'!A39</f>
        <v>2006-Q4</v>
      </c>
      <c r="B36" s="7">
        <f>'US Raw Data_nsa'!B39</f>
        <v>3557633</v>
      </c>
      <c r="C36" s="7">
        <f>'US Raw Data_nsa'!C39</f>
        <v>669569</v>
      </c>
      <c r="D36" s="7">
        <f>'US Raw Data_nsa'!D39</f>
        <v>696633</v>
      </c>
      <c r="E36" s="7">
        <f>'US Raw Data_nsa'!E39</f>
        <v>96731</v>
      </c>
      <c r="F36" s="7">
        <f t="shared" si="0"/>
        <v>599902</v>
      </c>
      <c r="G36" s="7">
        <f>'US Raw Data_nsa'!F39</f>
        <v>8680224</v>
      </c>
      <c r="H36" s="7">
        <f t="shared" si="11"/>
        <v>8534038</v>
      </c>
      <c r="I36" s="7">
        <f t="shared" si="3"/>
        <v>146186</v>
      </c>
      <c r="J36" s="7">
        <f t="shared" si="4"/>
        <v>6875541</v>
      </c>
      <c r="K36" s="7">
        <f t="shared" si="5"/>
        <v>8680224</v>
      </c>
      <c r="M36">
        <f t="shared" si="1"/>
        <v>16.862391370891824</v>
      </c>
      <c r="N36">
        <f t="shared" si="2"/>
        <v>18.820631582852982</v>
      </c>
      <c r="O36" s="10">
        <f t="shared" si="6"/>
        <v>60.997185488216466</v>
      </c>
      <c r="P36">
        <f t="shared" si="7"/>
        <v>59.779732760518016</v>
      </c>
      <c r="Q36">
        <f t="shared" si="8"/>
        <v>4.5483152998939458</v>
      </c>
      <c r="R36">
        <f t="shared" si="9"/>
        <v>4.1090803913725784</v>
      </c>
      <c r="S36" s="10">
        <f t="shared" si="10"/>
        <v>60.997185488216466</v>
      </c>
      <c r="T36">
        <f t="shared" si="12"/>
        <v>62.625117108087075</v>
      </c>
      <c r="U36">
        <f t="shared" si="13"/>
        <v>60.971506160578834</v>
      </c>
    </row>
    <row r="37" spans="1:21" x14ac:dyDescent="0.35">
      <c r="A37" t="str">
        <f>'US Raw Data_nsa'!A40</f>
        <v>2007-Q1</v>
      </c>
      <c r="B37" s="7">
        <f>'US Raw Data_nsa'!B40</f>
        <v>3482006</v>
      </c>
      <c r="C37" s="7">
        <f>'US Raw Data_nsa'!C40</f>
        <v>668631</v>
      </c>
      <c r="D37" s="7">
        <f>'US Raw Data_nsa'!D40</f>
        <v>717262</v>
      </c>
      <c r="E37" s="7">
        <f>'US Raw Data_nsa'!E40</f>
        <v>99002</v>
      </c>
      <c r="F37" s="7">
        <f t="shared" si="0"/>
        <v>618260</v>
      </c>
      <c r="G37" s="7">
        <f>'US Raw Data_nsa'!F40</f>
        <v>8849665</v>
      </c>
      <c r="H37" s="7">
        <f t="shared" si="11"/>
        <v>8728855</v>
      </c>
      <c r="I37" s="7">
        <f t="shared" si="3"/>
        <v>120810</v>
      </c>
      <c r="J37" s="7">
        <f t="shared" si="4"/>
        <v>6924172</v>
      </c>
      <c r="K37" s="7">
        <f t="shared" si="5"/>
        <v>8849665</v>
      </c>
      <c r="M37">
        <f t="shared" si="1"/>
        <v>17.755856825060036</v>
      </c>
      <c r="N37">
        <f t="shared" si="2"/>
        <v>19.202465475361041</v>
      </c>
      <c r="O37" s="10">
        <f t="shared" si="6"/>
        <v>63.538553638333767</v>
      </c>
      <c r="P37">
        <f t="shared" si="7"/>
        <v>62.322006337726009</v>
      </c>
      <c r="Q37">
        <f t="shared" si="8"/>
        <v>4.5621864136225057</v>
      </c>
      <c r="R37">
        <f t="shared" si="9"/>
        <v>3.4695517468953243</v>
      </c>
      <c r="S37" s="10">
        <f t="shared" si="10"/>
        <v>63.538553638333774</v>
      </c>
      <c r="T37">
        <f t="shared" si="12"/>
        <v>62.172650377287155</v>
      </c>
      <c r="U37">
        <f t="shared" si="13"/>
        <v>63.523001591524888</v>
      </c>
    </row>
    <row r="38" spans="1:21" x14ac:dyDescent="0.35">
      <c r="A38" t="str">
        <f>'US Raw Data_nsa'!A41</f>
        <v>2007-Q2</v>
      </c>
      <c r="B38" s="7">
        <f>'US Raw Data_nsa'!B41</f>
        <v>3613882</v>
      </c>
      <c r="C38" s="7">
        <f>'US Raw Data_nsa'!C41</f>
        <v>677489</v>
      </c>
      <c r="D38" s="7">
        <f>'US Raw Data_nsa'!D41</f>
        <v>728618</v>
      </c>
      <c r="E38" s="7">
        <f>'US Raw Data_nsa'!E41</f>
        <v>101978</v>
      </c>
      <c r="F38" s="7">
        <f t="shared" si="0"/>
        <v>626640</v>
      </c>
      <c r="G38" s="7">
        <f>'US Raw Data_nsa'!F41</f>
        <v>8867677</v>
      </c>
      <c r="H38" s="7">
        <f t="shared" si="11"/>
        <v>8900794</v>
      </c>
      <c r="I38" s="7">
        <f t="shared" si="3"/>
        <v>-33117</v>
      </c>
      <c r="J38" s="7">
        <f t="shared" si="4"/>
        <v>6975301</v>
      </c>
      <c r="K38" s="7">
        <f t="shared" si="5"/>
        <v>8867677</v>
      </c>
      <c r="M38">
        <f t="shared" si="1"/>
        <v>17.339802461729519</v>
      </c>
      <c r="N38">
        <f t="shared" si="2"/>
        <v>18.746848956330062</v>
      </c>
      <c r="O38" s="10">
        <f t="shared" si="6"/>
        <v>61.344538919643753</v>
      </c>
      <c r="P38">
        <f t="shared" si="7"/>
        <v>61.219936068748233</v>
      </c>
      <c r="Q38">
        <f t="shared" si="8"/>
        <v>4.6093496194488717</v>
      </c>
      <c r="R38">
        <f t="shared" si="9"/>
        <v>-0.91638299202907014</v>
      </c>
      <c r="S38" s="10">
        <f t="shared" si="10"/>
        <v>61.34453891964376</v>
      </c>
      <c r="T38">
        <f t="shared" si="12"/>
        <v>63.674143527897854</v>
      </c>
      <c r="U38">
        <f t="shared" si="13"/>
        <v>61.350578078919426</v>
      </c>
    </row>
    <row r="39" spans="1:21" x14ac:dyDescent="0.35">
      <c r="A39" t="str">
        <f>'US Raw Data_nsa'!A42</f>
        <v>2007-Q3</v>
      </c>
      <c r="B39" s="7">
        <f>'US Raw Data_nsa'!B42</f>
        <v>3637993</v>
      </c>
      <c r="C39" s="7">
        <f>'US Raw Data_nsa'!C42</f>
        <v>644609</v>
      </c>
      <c r="D39" s="7">
        <f>'US Raw Data_nsa'!D42</f>
        <v>732861</v>
      </c>
      <c r="E39" s="7">
        <f>'US Raw Data_nsa'!E42</f>
        <v>103541</v>
      </c>
      <c r="F39" s="7">
        <f t="shared" si="0"/>
        <v>629320</v>
      </c>
      <c r="G39" s="7">
        <f>'US Raw Data_nsa'!F42</f>
        <v>9007653</v>
      </c>
      <c r="H39" s="7">
        <f t="shared" si="11"/>
        <v>8955929</v>
      </c>
      <c r="I39" s="7">
        <f t="shared" si="3"/>
        <v>51724</v>
      </c>
      <c r="J39" s="7">
        <f t="shared" si="4"/>
        <v>7063553</v>
      </c>
      <c r="K39" s="7">
        <f t="shared" si="5"/>
        <v>9007653</v>
      </c>
      <c r="M39">
        <f t="shared" si="1"/>
        <v>17.298548952678029</v>
      </c>
      <c r="N39">
        <f t="shared" si="2"/>
        <v>17.718808145040413</v>
      </c>
      <c r="O39" s="10">
        <f t="shared" si="6"/>
        <v>61.899878586902176</v>
      </c>
      <c r="P39">
        <f t="shared" si="7"/>
        <v>60.937974592034671</v>
      </c>
      <c r="Q39">
        <f t="shared" si="8"/>
        <v>4.6704903663045005</v>
      </c>
      <c r="R39">
        <f t="shared" si="9"/>
        <v>1.4217729390903171</v>
      </c>
      <c r="S39" s="10">
        <f t="shared" si="10"/>
        <v>61.899878586902169</v>
      </c>
      <c r="T39">
        <f t="shared" si="12"/>
        <v>62.317299725313426</v>
      </c>
      <c r="U39">
        <f t="shared" si="13"/>
        <v>61.904288371614555</v>
      </c>
    </row>
    <row r="40" spans="1:21" x14ac:dyDescent="0.35">
      <c r="A40" t="str">
        <f>'US Raw Data_nsa'!A43</f>
        <v>2007-Q4</v>
      </c>
      <c r="B40" s="7">
        <f>'US Raw Data_nsa'!B43</f>
        <v>3740350</v>
      </c>
      <c r="C40" s="7">
        <f>'US Raw Data_nsa'!C43</f>
        <v>677597</v>
      </c>
      <c r="D40" s="7">
        <f>'US Raw Data_nsa'!D43</f>
        <v>749263</v>
      </c>
      <c r="E40" s="7">
        <f>'US Raw Data_nsa'!E43</f>
        <v>103456</v>
      </c>
      <c r="F40" s="7">
        <f t="shared" si="0"/>
        <v>645807</v>
      </c>
      <c r="G40" s="7">
        <f>'US Raw Data_nsa'!F43</f>
        <v>9229172</v>
      </c>
      <c r="H40" s="7">
        <f t="shared" si="11"/>
        <v>9079319</v>
      </c>
      <c r="I40" s="7">
        <f t="shared" si="3"/>
        <v>149853</v>
      </c>
      <c r="J40" s="7">
        <f t="shared" si="4"/>
        <v>7135219</v>
      </c>
      <c r="K40" s="7">
        <f t="shared" si="5"/>
        <v>9229172</v>
      </c>
      <c r="M40">
        <f t="shared" si="1"/>
        <v>17.265951047361877</v>
      </c>
      <c r="N40">
        <f t="shared" si="2"/>
        <v>18.115871509350729</v>
      </c>
      <c r="O40" s="10">
        <f t="shared" si="6"/>
        <v>61.686553397409334</v>
      </c>
      <c r="P40">
        <f t="shared" si="7"/>
        <v>60.205949977943241</v>
      </c>
      <c r="Q40">
        <f t="shared" si="8"/>
        <v>4.5941378958536703</v>
      </c>
      <c r="R40">
        <f t="shared" si="9"/>
        <v>4.0063897763578273</v>
      </c>
      <c r="S40" s="10">
        <f t="shared" si="10"/>
        <v>61.686553397409327</v>
      </c>
      <c r="T40">
        <f t="shared" si="12"/>
        <v>63.404397793016514</v>
      </c>
      <c r="U40">
        <f t="shared" si="13"/>
        <v>61.669297081879918</v>
      </c>
    </row>
    <row r="41" spans="1:21" x14ac:dyDescent="0.35">
      <c r="A41" t="str">
        <f>'US Raw Data_nsa'!A44</f>
        <v>2008-Q1</v>
      </c>
      <c r="B41" s="7">
        <f>'US Raw Data_nsa'!B44</f>
        <v>3657487</v>
      </c>
      <c r="C41" s="7">
        <f>'US Raw Data_nsa'!C44</f>
        <v>665670</v>
      </c>
      <c r="D41" s="7">
        <f>'US Raw Data_nsa'!D44</f>
        <v>761256</v>
      </c>
      <c r="E41" s="7">
        <f>'US Raw Data_nsa'!E44</f>
        <v>100868</v>
      </c>
      <c r="F41" s="7">
        <f t="shared" si="0"/>
        <v>660388</v>
      </c>
      <c r="G41" s="7">
        <f>'US Raw Data_nsa'!F44</f>
        <v>9437594</v>
      </c>
      <c r="H41" s="7">
        <f t="shared" si="11"/>
        <v>9324758</v>
      </c>
      <c r="I41" s="7">
        <f t="shared" si="3"/>
        <v>112836</v>
      </c>
      <c r="J41" s="7">
        <f t="shared" si="4"/>
        <v>7230805</v>
      </c>
      <c r="K41" s="7">
        <f t="shared" si="5"/>
        <v>9437594</v>
      </c>
      <c r="M41">
        <f t="shared" si="1"/>
        <v>18.055785297391353</v>
      </c>
      <c r="N41">
        <f t="shared" si="2"/>
        <v>18.200201395110906</v>
      </c>
      <c r="O41" s="10">
        <f t="shared" si="6"/>
        <v>64.508732361864858</v>
      </c>
      <c r="P41">
        <f t="shared" si="7"/>
        <v>63.084106655744776</v>
      </c>
      <c r="Q41">
        <f t="shared" si="8"/>
        <v>4.3717031170293499</v>
      </c>
      <c r="R41">
        <f t="shared" si="9"/>
        <v>3.0850690651805461</v>
      </c>
      <c r="S41" s="10">
        <f t="shared" si="10"/>
        <v>64.508732361864858</v>
      </c>
      <c r="T41">
        <f t="shared" si="12"/>
        <v>63.078459969439834</v>
      </c>
      <c r="U41">
        <f t="shared" si="13"/>
        <v>64.507547872813845</v>
      </c>
    </row>
    <row r="42" spans="1:21" x14ac:dyDescent="0.35">
      <c r="A42" t="str">
        <f>'US Raw Data_nsa'!A45</f>
        <v>2008-Q2</v>
      </c>
      <c r="B42" s="7">
        <f>'US Raw Data_nsa'!B45</f>
        <v>3715835</v>
      </c>
      <c r="C42" s="7">
        <f>'US Raw Data_nsa'!C45</f>
        <v>662766</v>
      </c>
      <c r="D42" s="7">
        <f>'US Raw Data_nsa'!D45</f>
        <v>848721</v>
      </c>
      <c r="E42" s="7">
        <f>'US Raw Data_nsa'!E45</f>
        <v>97088</v>
      </c>
      <c r="F42" s="7">
        <f t="shared" si="0"/>
        <v>751633</v>
      </c>
      <c r="G42" s="7">
        <f>'US Raw Data_nsa'!F45</f>
        <v>9492006</v>
      </c>
      <c r="H42" s="7">
        <f t="shared" si="11"/>
        <v>9623549</v>
      </c>
      <c r="I42" s="7">
        <f t="shared" si="3"/>
        <v>-131543</v>
      </c>
      <c r="J42" s="7">
        <f t="shared" si="4"/>
        <v>7416760</v>
      </c>
      <c r="K42" s="7">
        <f t="shared" si="5"/>
        <v>9492006</v>
      </c>
      <c r="M42">
        <f t="shared" si="1"/>
        <v>20.227835735440351</v>
      </c>
      <c r="N42">
        <f t="shared" si="2"/>
        <v>17.836260221457625</v>
      </c>
      <c r="O42" s="10">
        <f t="shared" si="6"/>
        <v>63.861864157046803</v>
      </c>
      <c r="P42">
        <f t="shared" si="7"/>
        <v>63.495782240061793</v>
      </c>
      <c r="Q42">
        <f t="shared" si="8"/>
        <v>4.1149470935070953</v>
      </c>
      <c r="R42">
        <f t="shared" si="9"/>
        <v>-3.5400656918296964</v>
      </c>
      <c r="S42" s="10">
        <f t="shared" si="10"/>
        <v>63.861864157046803</v>
      </c>
      <c r="T42">
        <f t="shared" si="12"/>
        <v>64.884038194923377</v>
      </c>
      <c r="U42">
        <f t="shared" si="13"/>
        <v>63.865194823084373</v>
      </c>
    </row>
    <row r="43" spans="1:21" x14ac:dyDescent="0.35">
      <c r="A43" t="str">
        <f>'US Raw Data_nsa'!A46</f>
        <v>2008-Q3</v>
      </c>
      <c r="B43" s="7">
        <f>'US Raw Data_nsa'!B46</f>
        <v>3698182</v>
      </c>
      <c r="C43" s="7">
        <f>'US Raw Data_nsa'!C46</f>
        <v>619425</v>
      </c>
      <c r="D43" s="7">
        <f>'US Raw Data_nsa'!D46</f>
        <v>795219</v>
      </c>
      <c r="E43" s="7">
        <f>'US Raw Data_nsa'!E46</f>
        <v>95538</v>
      </c>
      <c r="F43" s="7">
        <f t="shared" si="0"/>
        <v>699681</v>
      </c>
      <c r="G43" s="7">
        <f>'US Raw Data_nsa'!F46</f>
        <v>10024725</v>
      </c>
      <c r="H43" s="7">
        <f t="shared" si="11"/>
        <v>9667800</v>
      </c>
      <c r="I43" s="7">
        <f t="shared" si="3"/>
        <v>356925</v>
      </c>
      <c r="J43" s="7">
        <f t="shared" si="4"/>
        <v>7592554</v>
      </c>
      <c r="K43" s="7">
        <f t="shared" si="5"/>
        <v>10024725</v>
      </c>
      <c r="M43">
        <f t="shared" si="1"/>
        <v>18.919593465113397</v>
      </c>
      <c r="N43">
        <f t="shared" si="2"/>
        <v>16.74944607918161</v>
      </c>
      <c r="O43" s="10">
        <f t="shared" si="6"/>
        <v>67.767926240514939</v>
      </c>
      <c r="P43">
        <f t="shared" si="7"/>
        <v>64.166704072433433</v>
      </c>
      <c r="Q43">
        <f t="shared" si="8"/>
        <v>4.0260404386596464</v>
      </c>
      <c r="R43">
        <f t="shared" si="9"/>
        <v>9.651363832282998</v>
      </c>
      <c r="S43" s="10">
        <f t="shared" si="10"/>
        <v>67.767926240514925</v>
      </c>
      <c r="T43">
        <f t="shared" si="12"/>
        <v>67.463382270089596</v>
      </c>
      <c r="U43">
        <f t="shared" si="13"/>
        <v>67.785413767515593</v>
      </c>
    </row>
    <row r="44" spans="1:21" x14ac:dyDescent="0.35">
      <c r="A44" t="str">
        <f>'US Raw Data_nsa'!A47</f>
        <v>2008-Q4</v>
      </c>
      <c r="B44" s="7">
        <f>'US Raw Data_nsa'!B47</f>
        <v>3698360</v>
      </c>
      <c r="C44" s="7">
        <f>'US Raw Data_nsa'!C47</f>
        <v>634189</v>
      </c>
      <c r="D44" s="7">
        <f>'US Raw Data_nsa'!D47</f>
        <v>801794</v>
      </c>
      <c r="E44" s="7">
        <f>'US Raw Data_nsa'!E47</f>
        <v>94903</v>
      </c>
      <c r="F44" s="7">
        <f t="shared" si="0"/>
        <v>706891</v>
      </c>
      <c r="G44" s="7">
        <f>'US Raw Data_nsa'!F47</f>
        <v>10699805</v>
      </c>
      <c r="H44" s="7">
        <f t="shared" si="11"/>
        <v>10192330</v>
      </c>
      <c r="I44" s="7">
        <f t="shared" si="3"/>
        <v>507475</v>
      </c>
      <c r="J44" s="7">
        <f t="shared" si="4"/>
        <v>7760159</v>
      </c>
      <c r="K44" s="7">
        <f t="shared" si="5"/>
        <v>10699805</v>
      </c>
      <c r="M44">
        <f t="shared" si="1"/>
        <v>19.113634151353573</v>
      </c>
      <c r="N44">
        <f t="shared" si="2"/>
        <v>17.147843909192183</v>
      </c>
      <c r="O44" s="10">
        <f t="shared" si="6"/>
        <v>72.328038644155782</v>
      </c>
      <c r="P44">
        <f t="shared" si="7"/>
        <v>67.764664608096567</v>
      </c>
      <c r="Q44">
        <f t="shared" si="8"/>
        <v>3.7867572427173806</v>
      </c>
      <c r="R44">
        <f t="shared" si="9"/>
        <v>13.721622557025276</v>
      </c>
      <c r="S44" s="10">
        <f t="shared" si="10"/>
        <v>72.328038644155797</v>
      </c>
      <c r="T44">
        <f t="shared" si="12"/>
        <v>72.348984233649091</v>
      </c>
      <c r="U44">
        <f t="shared" si="13"/>
        <v>72.345502117469593</v>
      </c>
    </row>
    <row r="45" spans="1:21" x14ac:dyDescent="0.35">
      <c r="A45" t="str">
        <f>'US Raw Data_nsa'!A48</f>
        <v>2009-Q1</v>
      </c>
      <c r="B45" s="7">
        <f>'US Raw Data_nsa'!B48</f>
        <v>3522117</v>
      </c>
      <c r="C45" s="7">
        <f>'US Raw Data_nsa'!C48</f>
        <v>559143</v>
      </c>
      <c r="D45" s="7">
        <f>'US Raw Data_nsa'!D48</f>
        <v>828974</v>
      </c>
      <c r="E45" s="7">
        <f>'US Raw Data_nsa'!E48</f>
        <v>90467</v>
      </c>
      <c r="F45" s="7">
        <f t="shared" si="0"/>
        <v>738507</v>
      </c>
      <c r="G45" s="7">
        <f>'US Raw Data_nsa'!F48</f>
        <v>11126941</v>
      </c>
      <c r="H45" s="7">
        <f t="shared" si="11"/>
        <v>10969636</v>
      </c>
      <c r="I45" s="7">
        <f t="shared" si="3"/>
        <v>157305</v>
      </c>
      <c r="J45" s="7">
        <f t="shared" si="4"/>
        <v>8029990</v>
      </c>
      <c r="K45" s="7">
        <f t="shared" si="5"/>
        <v>11126941</v>
      </c>
      <c r="M45">
        <f t="shared" si="1"/>
        <v>20.967702095075207</v>
      </c>
      <c r="N45">
        <f t="shared" si="2"/>
        <v>15.875196650196459</v>
      </c>
      <c r="O45" s="10">
        <f t="shared" si="6"/>
        <v>78.979069974109322</v>
      </c>
      <c r="P45">
        <f t="shared" si="7"/>
        <v>75.947257004807057</v>
      </c>
      <c r="Q45">
        <f t="shared" si="8"/>
        <v>3.3820055599144094</v>
      </c>
      <c r="R45">
        <f t="shared" si="9"/>
        <v>4.4662059778252683</v>
      </c>
      <c r="S45" s="10">
        <f t="shared" si="10"/>
        <v>78.979069974109322</v>
      </c>
      <c r="T45">
        <f t="shared" si="12"/>
        <v>75.346862199135799</v>
      </c>
      <c r="U45">
        <f t="shared" si="13"/>
        <v>79.117139289465925</v>
      </c>
    </row>
    <row r="46" spans="1:21" x14ac:dyDescent="0.35">
      <c r="A46" t="str">
        <f>'US Raw Data_nsa'!A49</f>
        <v>2009-Q2</v>
      </c>
      <c r="B46" s="7">
        <f>'US Raw Data_nsa'!B49</f>
        <v>3598010</v>
      </c>
      <c r="C46" s="7">
        <f>'US Raw Data_nsa'!C49</f>
        <v>563178</v>
      </c>
      <c r="D46" s="7">
        <f>'US Raw Data_nsa'!D49</f>
        <v>887955</v>
      </c>
      <c r="E46" s="7">
        <f>'US Raw Data_nsa'!E49</f>
        <v>88033</v>
      </c>
      <c r="F46" s="7">
        <f t="shared" si="0"/>
        <v>799922</v>
      </c>
      <c r="G46" s="7">
        <f>'US Raw Data_nsa'!F49</f>
        <v>11545275</v>
      </c>
      <c r="H46" s="7">
        <f t="shared" si="11"/>
        <v>11451718</v>
      </c>
      <c r="I46" s="7">
        <f t="shared" si="3"/>
        <v>93557</v>
      </c>
      <c r="J46" s="7">
        <f t="shared" si="4"/>
        <v>8354767</v>
      </c>
      <c r="K46" s="7">
        <f t="shared" si="5"/>
        <v>11545275</v>
      </c>
      <c r="M46">
        <f t="shared" si="1"/>
        <v>22.232345101875758</v>
      </c>
      <c r="N46">
        <f t="shared" si="2"/>
        <v>15.652485679583993</v>
      </c>
      <c r="O46" s="10">
        <f t="shared" si="6"/>
        <v>80.219864591816034</v>
      </c>
      <c r="P46">
        <f t="shared" si="7"/>
        <v>77.313160608225104</v>
      </c>
      <c r="Q46">
        <f t="shared" si="8"/>
        <v>3.1646793130295201</v>
      </c>
      <c r="R46">
        <f t="shared" si="9"/>
        <v>2.6002429120541635</v>
      </c>
      <c r="S46" s="10">
        <f t="shared" si="10"/>
        <v>80.219864591816034</v>
      </c>
      <c r="T46">
        <f t="shared" si="12"/>
        <v>82.038115808091021</v>
      </c>
      <c r="U46">
        <f t="shared" si="13"/>
        <v>80.307681839585243</v>
      </c>
    </row>
    <row r="47" spans="1:21" x14ac:dyDescent="0.35">
      <c r="A47" t="str">
        <f>'US Raw Data_nsa'!A50</f>
        <v>2009-Q3</v>
      </c>
      <c r="B47" s="7">
        <f>'US Raw Data_nsa'!B50</f>
        <v>3623204</v>
      </c>
      <c r="C47" s="7">
        <f>'US Raw Data_nsa'!C50</f>
        <v>530057</v>
      </c>
      <c r="D47" s="7">
        <f>'US Raw Data_nsa'!D50</f>
        <v>877357</v>
      </c>
      <c r="E47" s="7">
        <f>'US Raw Data_nsa'!E50</f>
        <v>87579</v>
      </c>
      <c r="F47" s="7">
        <f t="shared" si="0"/>
        <v>789778</v>
      </c>
      <c r="G47" s="7">
        <f>'US Raw Data_nsa'!F50</f>
        <v>11909828</v>
      </c>
      <c r="H47" s="7">
        <f t="shared" si="11"/>
        <v>11892575</v>
      </c>
      <c r="I47" s="7">
        <f t="shared" si="3"/>
        <v>17253</v>
      </c>
      <c r="J47" s="7">
        <f t="shared" si="4"/>
        <v>8702067</v>
      </c>
      <c r="K47" s="7">
        <f t="shared" si="5"/>
        <v>11909828</v>
      </c>
      <c r="M47">
        <f t="shared" si="1"/>
        <v>21.797778982359262</v>
      </c>
      <c r="N47">
        <f t="shared" si="2"/>
        <v>14.629510234587951</v>
      </c>
      <c r="O47" s="10">
        <f t="shared" si="6"/>
        <v>82.17745950821427</v>
      </c>
      <c r="P47">
        <f t="shared" si="7"/>
        <v>79.662054634516849</v>
      </c>
      <c r="Q47">
        <f t="shared" si="8"/>
        <v>3.0342802575079415</v>
      </c>
      <c r="R47">
        <f t="shared" si="9"/>
        <v>0.47618075051804976</v>
      </c>
      <c r="S47" s="10">
        <f t="shared" si="10"/>
        <v>82.17745950821427</v>
      </c>
      <c r="T47">
        <f t="shared" si="12"/>
        <v>82.827984247987786</v>
      </c>
      <c r="U47">
        <f t="shared" si="13"/>
        <v>82.252038693957758</v>
      </c>
    </row>
    <row r="48" spans="1:21" x14ac:dyDescent="0.35">
      <c r="A48" t="str">
        <f>'US Raw Data_nsa'!A51</f>
        <v>2009-Q4</v>
      </c>
      <c r="B48" s="7">
        <f>'US Raw Data_nsa'!B51</f>
        <v>3734738</v>
      </c>
      <c r="C48" s="7">
        <f>'US Raw Data_nsa'!C51</f>
        <v>589687</v>
      </c>
      <c r="D48" s="7">
        <f>'US Raw Data_nsa'!D51</f>
        <v>890955</v>
      </c>
      <c r="E48" s="7">
        <f>'US Raw Data_nsa'!E51</f>
        <v>88453</v>
      </c>
      <c r="F48" s="7">
        <f t="shared" si="0"/>
        <v>802502</v>
      </c>
      <c r="G48" s="7">
        <f>'US Raw Data_nsa'!F51</f>
        <v>12311349</v>
      </c>
      <c r="H48" s="7">
        <f t="shared" si="11"/>
        <v>12211096</v>
      </c>
      <c r="I48" s="7">
        <f t="shared" si="3"/>
        <v>100253</v>
      </c>
      <c r="J48" s="7">
        <f t="shared" si="4"/>
        <v>9003335</v>
      </c>
      <c r="K48" s="7">
        <f t="shared" si="5"/>
        <v>12311349</v>
      </c>
      <c r="M48">
        <f t="shared" si="1"/>
        <v>21.487504612103983</v>
      </c>
      <c r="N48">
        <f t="shared" si="2"/>
        <v>15.789246795893046</v>
      </c>
      <c r="O48" s="10">
        <f t="shared" si="6"/>
        <v>82.411062034338158</v>
      </c>
      <c r="P48">
        <f t="shared" si="7"/>
        <v>79.723316602128449</v>
      </c>
      <c r="Q48">
        <f t="shared" si="8"/>
        <v>2.9707565885922116</v>
      </c>
      <c r="R48">
        <f t="shared" si="9"/>
        <v>2.6843382320259144</v>
      </c>
      <c r="S48" s="10">
        <f t="shared" si="10"/>
        <v>82.411062034338158</v>
      </c>
      <c r="T48">
        <f t="shared" si="12"/>
        <v>84.958564670705016</v>
      </c>
      <c r="U48">
        <f t="shared" si="13"/>
        <v>82.421367000618815</v>
      </c>
    </row>
    <row r="49" spans="1:21" x14ac:dyDescent="0.35">
      <c r="A49" t="str">
        <f>'US Raw Data_nsa'!A52</f>
        <v>2010-Q1</v>
      </c>
      <c r="B49" s="7">
        <f>'US Raw Data_nsa'!B52</f>
        <v>3602418</v>
      </c>
      <c r="C49" s="7">
        <f>'US Raw Data_nsa'!C52</f>
        <v>589161</v>
      </c>
      <c r="D49" s="7">
        <f>'US Raw Data_nsa'!D52</f>
        <v>923970</v>
      </c>
      <c r="E49" s="7">
        <f>'US Raw Data_nsa'!E52</f>
        <v>90065</v>
      </c>
      <c r="F49" s="7">
        <f t="shared" si="0"/>
        <v>833905</v>
      </c>
      <c r="G49" s="7">
        <f>'US Raw Data_nsa'!F52</f>
        <v>12773123</v>
      </c>
      <c r="H49" s="7">
        <f t="shared" si="11"/>
        <v>12646158</v>
      </c>
      <c r="I49" s="7">
        <f t="shared" si="3"/>
        <v>126965</v>
      </c>
      <c r="J49" s="7">
        <f t="shared" si="4"/>
        <v>9338144</v>
      </c>
      <c r="K49" s="7">
        <f t="shared" si="5"/>
        <v>12773123</v>
      </c>
      <c r="M49">
        <f t="shared" si="1"/>
        <v>23.148479715568822</v>
      </c>
      <c r="N49">
        <f t="shared" si="2"/>
        <v>16.354598494677742</v>
      </c>
      <c r="O49" s="10">
        <f t="shared" si="6"/>
        <v>88.642704705561655</v>
      </c>
      <c r="P49">
        <f t="shared" si="7"/>
        <v>85.438093247368855</v>
      </c>
      <c r="Q49">
        <f t="shared" si="8"/>
        <v>2.9262430948874893</v>
      </c>
      <c r="R49">
        <f t="shared" si="9"/>
        <v>3.524438307825466</v>
      </c>
      <c r="S49" s="10">
        <f t="shared" si="10"/>
        <v>88.642704705561655</v>
      </c>
      <c r="T49">
        <f t="shared" si="12"/>
        <v>85.603909272939816</v>
      </c>
      <c r="U49">
        <f t="shared" si="13"/>
        <v>88.748216589579755</v>
      </c>
    </row>
    <row r="50" spans="1:21" x14ac:dyDescent="0.35">
      <c r="A50" t="str">
        <f>'US Raw Data_nsa'!A53</f>
        <v>2010-Q2</v>
      </c>
      <c r="B50" s="7">
        <f>'US Raw Data_nsa'!B53</f>
        <v>3755370</v>
      </c>
      <c r="C50" s="7">
        <f>'US Raw Data_nsa'!C53</f>
        <v>613670</v>
      </c>
      <c r="D50" s="7">
        <f>'US Raw Data_nsa'!D53</f>
        <v>939615</v>
      </c>
      <c r="E50" s="7">
        <f>'US Raw Data_nsa'!E53</f>
        <v>94232</v>
      </c>
      <c r="F50" s="7">
        <f t="shared" si="0"/>
        <v>845383</v>
      </c>
      <c r="G50" s="7">
        <f>'US Raw Data_nsa'!F53</f>
        <v>13201792</v>
      </c>
      <c r="H50" s="7">
        <f t="shared" si="11"/>
        <v>13099068</v>
      </c>
      <c r="I50" s="7">
        <f t="shared" si="3"/>
        <v>102724</v>
      </c>
      <c r="J50" s="7">
        <f t="shared" si="4"/>
        <v>9664089</v>
      </c>
      <c r="K50" s="7">
        <f t="shared" si="5"/>
        <v>13201792</v>
      </c>
      <c r="M50">
        <f t="shared" si="1"/>
        <v>22.511310470073521</v>
      </c>
      <c r="N50">
        <f t="shared" si="2"/>
        <v>16.341132831119172</v>
      </c>
      <c r="O50" s="10">
        <f t="shared" si="6"/>
        <v>87.886093780373173</v>
      </c>
      <c r="P50">
        <f t="shared" si="7"/>
        <v>85.032386955213468</v>
      </c>
      <c r="Q50">
        <f t="shared" si="8"/>
        <v>2.9509462955927064</v>
      </c>
      <c r="R50">
        <f t="shared" si="9"/>
        <v>2.7353895887755399</v>
      </c>
      <c r="S50" s="10">
        <f t="shared" si="10"/>
        <v>87.886093780373173</v>
      </c>
      <c r="T50">
        <f t="shared" si="12"/>
        <v>91.62933644897592</v>
      </c>
      <c r="U50">
        <f t="shared" si="13"/>
        <v>87.897376543948241</v>
      </c>
    </row>
    <row r="51" spans="1:21" x14ac:dyDescent="0.35">
      <c r="A51" t="str">
        <f>'US Raw Data_nsa'!A54</f>
        <v>2010-Q3</v>
      </c>
      <c r="B51" s="7">
        <f>'US Raw Data_nsa'!B54</f>
        <v>3793867</v>
      </c>
      <c r="C51" s="7">
        <f>'US Raw Data_nsa'!C54</f>
        <v>594259</v>
      </c>
      <c r="D51" s="7">
        <f>'US Raw Data_nsa'!D54</f>
        <v>944105</v>
      </c>
      <c r="E51" s="7">
        <f>'US Raw Data_nsa'!E54</f>
        <v>97312</v>
      </c>
      <c r="F51" s="7">
        <f t="shared" si="0"/>
        <v>846793</v>
      </c>
      <c r="G51" s="7">
        <f>'US Raw Data_nsa'!F54</f>
        <v>13561622</v>
      </c>
      <c r="H51" s="7">
        <f t="shared" si="11"/>
        <v>13551638</v>
      </c>
      <c r="I51" s="7">
        <f t="shared" si="3"/>
        <v>9984</v>
      </c>
      <c r="J51" s="7">
        <f t="shared" si="4"/>
        <v>10013935</v>
      </c>
      <c r="K51" s="7">
        <f t="shared" si="5"/>
        <v>13561622</v>
      </c>
      <c r="M51">
        <f t="shared" si="1"/>
        <v>22.320049701267862</v>
      </c>
      <c r="N51">
        <f t="shared" si="2"/>
        <v>15.663675084023767</v>
      </c>
      <c r="O51" s="10">
        <f t="shared" si="6"/>
        <v>89.365428466522417</v>
      </c>
      <c r="P51">
        <f t="shared" si="7"/>
        <v>86.994298956710921</v>
      </c>
      <c r="Q51">
        <f t="shared" si="8"/>
        <v>2.9484482106671579</v>
      </c>
      <c r="R51">
        <f t="shared" si="9"/>
        <v>0.26316157103029708</v>
      </c>
      <c r="S51" s="10">
        <f t="shared" si="10"/>
        <v>89.365428466522417</v>
      </c>
      <c r="T51">
        <f t="shared" si="12"/>
        <v>90.275162747500204</v>
      </c>
      <c r="U51">
        <f t="shared" si="13"/>
        <v>89.359125643329051</v>
      </c>
    </row>
    <row r="52" spans="1:21" x14ac:dyDescent="0.35">
      <c r="A52" t="str">
        <f>'US Raw Data_nsa'!A55</f>
        <v>2010-Q4</v>
      </c>
      <c r="B52" s="7">
        <f>'US Raw Data_nsa'!B55</f>
        <v>3897315</v>
      </c>
      <c r="C52" s="7">
        <f>'US Raw Data_nsa'!C55</f>
        <v>649174</v>
      </c>
      <c r="D52" s="7">
        <f>'US Raw Data_nsa'!D55</f>
        <v>956935</v>
      </c>
      <c r="E52" s="7">
        <f>'US Raw Data_nsa'!E55</f>
        <v>99879</v>
      </c>
      <c r="F52" s="7">
        <f t="shared" si="0"/>
        <v>857056</v>
      </c>
      <c r="G52" s="7">
        <f>'US Raw Data_nsa'!F55</f>
        <v>14025215</v>
      </c>
      <c r="H52" s="7">
        <f t="shared" si="11"/>
        <v>13869383</v>
      </c>
      <c r="I52" s="7">
        <f t="shared" si="3"/>
        <v>155832</v>
      </c>
      <c r="J52" s="7">
        <f t="shared" si="4"/>
        <v>10321696</v>
      </c>
      <c r="K52" s="7">
        <f t="shared" si="5"/>
        <v>14025215</v>
      </c>
      <c r="M52">
        <f t="shared" si="1"/>
        <v>21.990934784588877</v>
      </c>
      <c r="N52">
        <f t="shared" si="2"/>
        <v>16.656954852250845</v>
      </c>
      <c r="O52" s="10">
        <f t="shared" si="6"/>
        <v>89.967163290624441</v>
      </c>
      <c r="P52">
        <f t="shared" si="7"/>
        <v>86.993365945529163</v>
      </c>
      <c r="Q52">
        <f t="shared" si="8"/>
        <v>2.9459308038522232</v>
      </c>
      <c r="R52">
        <f t="shared" si="9"/>
        <v>3.998445083345842</v>
      </c>
      <c r="S52" s="10">
        <f t="shared" si="10"/>
        <v>89.967163290624441</v>
      </c>
      <c r="T52">
        <f t="shared" si="12"/>
        <v>92.350346399344986</v>
      </c>
      <c r="U52">
        <f t="shared" si="13"/>
        <v>89.89905400077842</v>
      </c>
    </row>
    <row r="53" spans="1:21" x14ac:dyDescent="0.35">
      <c r="A53" t="str">
        <f>'US Raw Data_nsa'!A56</f>
        <v>2011-Q1</v>
      </c>
      <c r="B53" s="7">
        <f>'US Raw Data_nsa'!B56</f>
        <v>3764835</v>
      </c>
      <c r="C53" s="7">
        <f>'US Raw Data_nsa'!C56</f>
        <v>645502</v>
      </c>
      <c r="D53" s="7">
        <f>'US Raw Data_nsa'!D56</f>
        <v>946475</v>
      </c>
      <c r="E53" s="7">
        <f>'US Raw Data_nsa'!E56</f>
        <v>102701</v>
      </c>
      <c r="F53" s="7">
        <f t="shared" si="0"/>
        <v>843774</v>
      </c>
      <c r="G53" s="7">
        <f>'US Raw Data_nsa'!F56</f>
        <v>14270114</v>
      </c>
      <c r="H53" s="7">
        <f t="shared" si="11"/>
        <v>14326188</v>
      </c>
      <c r="I53" s="7">
        <f t="shared" si="3"/>
        <v>-56074</v>
      </c>
      <c r="J53" s="7">
        <f t="shared" si="4"/>
        <v>10622669</v>
      </c>
      <c r="K53" s="7">
        <f t="shared" si="5"/>
        <v>14270114</v>
      </c>
      <c r="M53">
        <f t="shared" si="1"/>
        <v>22.411978214184685</v>
      </c>
      <c r="N53">
        <f t="shared" si="2"/>
        <v>17.1455588359118</v>
      </c>
      <c r="O53" s="10">
        <f t="shared" si="6"/>
        <v>94.759225835926415</v>
      </c>
      <c r="P53">
        <f t="shared" si="7"/>
        <v>93.132999188543451</v>
      </c>
      <c r="Q53">
        <f t="shared" si="8"/>
        <v>2.929038877478884</v>
      </c>
      <c r="R53">
        <f t="shared" si="9"/>
        <v>-1.4894145427356047</v>
      </c>
      <c r="S53" s="10">
        <f t="shared" si="10"/>
        <v>94.759225835926415</v>
      </c>
      <c r="T53">
        <f t="shared" si="12"/>
        <v>91.501599770204876</v>
      </c>
      <c r="U53">
        <f t="shared" si="13"/>
        <v>94.721430635981662</v>
      </c>
    </row>
    <row r="54" spans="1:21" x14ac:dyDescent="0.35">
      <c r="A54" t="str">
        <f>'US Raw Data_nsa'!A57</f>
        <v>2011-Q2</v>
      </c>
      <c r="B54" s="7">
        <f>'US Raw Data_nsa'!B57</f>
        <v>3893028</v>
      </c>
      <c r="C54" s="7">
        <f>'US Raw Data_nsa'!C57</f>
        <v>643921</v>
      </c>
      <c r="D54" s="7">
        <f>'US Raw Data_nsa'!D57</f>
        <v>966997</v>
      </c>
      <c r="E54" s="7">
        <f>'US Raw Data_nsa'!E57</f>
        <v>106247</v>
      </c>
      <c r="F54" s="7">
        <f t="shared" si="0"/>
        <v>860750</v>
      </c>
      <c r="G54" s="7">
        <f>'US Raw Data_nsa'!F57</f>
        <v>14343087</v>
      </c>
      <c r="H54" s="7">
        <f t="shared" si="11"/>
        <v>14593190</v>
      </c>
      <c r="I54" s="7">
        <f t="shared" si="3"/>
        <v>-250103</v>
      </c>
      <c r="J54" s="7">
        <f t="shared" si="4"/>
        <v>10945745</v>
      </c>
      <c r="K54" s="7">
        <f t="shared" si="5"/>
        <v>14343087</v>
      </c>
      <c r="M54">
        <f t="shared" si="1"/>
        <v>22.110038766738899</v>
      </c>
      <c r="N54">
        <f t="shared" si="2"/>
        <v>16.540363953200441</v>
      </c>
      <c r="O54" s="10">
        <f t="shared" si="6"/>
        <v>92.107525299073117</v>
      </c>
      <c r="P54">
        <f t="shared" si="7"/>
        <v>91.638911921517135</v>
      </c>
      <c r="Q54">
        <f t="shared" si="8"/>
        <v>2.9781682192587948</v>
      </c>
      <c r="R54">
        <f t="shared" si="9"/>
        <v>-6.4243822546357228</v>
      </c>
      <c r="S54" s="10">
        <f t="shared" si="10"/>
        <v>92.107525299073103</v>
      </c>
      <c r="T54">
        <f t="shared" si="12"/>
        <v>95.212994661714347</v>
      </c>
      <c r="U54">
        <f t="shared" si="13"/>
        <v>92.077738654136411</v>
      </c>
    </row>
    <row r="55" spans="1:21" x14ac:dyDescent="0.35">
      <c r="A55" t="str">
        <f>'US Raw Data_nsa'!A58</f>
        <v>2011-Q3</v>
      </c>
      <c r="B55" s="7">
        <f>'US Raw Data_nsa'!B58</f>
        <v>3927583</v>
      </c>
      <c r="C55" s="7">
        <f>'US Raw Data_nsa'!C58</f>
        <v>623918</v>
      </c>
      <c r="D55" s="7">
        <f>'US Raw Data_nsa'!D58</f>
        <v>946054</v>
      </c>
      <c r="E55" s="7">
        <f>'US Raw Data_nsa'!E58</f>
        <v>108156</v>
      </c>
      <c r="F55" s="7">
        <f t="shared" si="0"/>
        <v>837898</v>
      </c>
      <c r="G55" s="7">
        <f>'US Raw Data_nsa'!F58</f>
        <v>14790340</v>
      </c>
      <c r="H55" s="7">
        <f t="shared" si="11"/>
        <v>14665223</v>
      </c>
      <c r="I55" s="7">
        <f t="shared" si="3"/>
        <v>125117</v>
      </c>
      <c r="J55" s="7">
        <f t="shared" si="4"/>
        <v>11267881</v>
      </c>
      <c r="K55" s="7">
        <f t="shared" si="5"/>
        <v>14790340</v>
      </c>
      <c r="M55">
        <f t="shared" si="1"/>
        <v>21.333680281231484</v>
      </c>
      <c r="N55">
        <f t="shared" si="2"/>
        <v>15.885545894256087</v>
      </c>
      <c r="O55" s="10">
        <f t="shared" si="6"/>
        <v>94.144032093020058</v>
      </c>
      <c r="P55">
        <f t="shared" si="7"/>
        <v>91.297160365547967</v>
      </c>
      <c r="Q55">
        <f t="shared" si="8"/>
        <v>3.0162544506632361</v>
      </c>
      <c r="R55">
        <f t="shared" si="9"/>
        <v>3.1855978600579542</v>
      </c>
      <c r="S55" s="10">
        <f t="shared" si="10"/>
        <v>94.144032093020058</v>
      </c>
      <c r="T55">
        <f t="shared" si="12"/>
        <v>94.930496438451115</v>
      </c>
      <c r="U55">
        <f t="shared" si="13"/>
        <v>94.095294915165496</v>
      </c>
    </row>
    <row r="56" spans="1:21" x14ac:dyDescent="0.35">
      <c r="A56" t="str">
        <f>'US Raw Data_nsa'!A59</f>
        <v>2011-Q4</v>
      </c>
      <c r="B56" s="7">
        <f>'US Raw Data_nsa'!B59</f>
        <v>4014288</v>
      </c>
      <c r="C56" s="7">
        <f>'US Raw Data_nsa'!C59</f>
        <v>660269</v>
      </c>
      <c r="D56" s="7">
        <f>'US Raw Data_nsa'!D59</f>
        <v>948226</v>
      </c>
      <c r="E56" s="7">
        <f>'US Raw Data_nsa'!E59</f>
        <v>108337</v>
      </c>
      <c r="F56" s="7">
        <f t="shared" si="0"/>
        <v>839889</v>
      </c>
      <c r="G56" s="7">
        <f>'US Raw Data_nsa'!F59</f>
        <v>15222940</v>
      </c>
      <c r="H56" s="7">
        <f t="shared" si="11"/>
        <v>15078297</v>
      </c>
      <c r="I56" s="7">
        <f t="shared" si="3"/>
        <v>144643</v>
      </c>
      <c r="J56" s="7">
        <f t="shared" si="4"/>
        <v>11555838</v>
      </c>
      <c r="K56" s="7">
        <f t="shared" si="5"/>
        <v>15222940</v>
      </c>
      <c r="M56">
        <f t="shared" si="1"/>
        <v>20.922489866197942</v>
      </c>
      <c r="N56">
        <f t="shared" si="2"/>
        <v>16.447972841011904</v>
      </c>
      <c r="O56" s="10">
        <f t="shared" si="6"/>
        <v>94.804732495525982</v>
      </c>
      <c r="P56">
        <f t="shared" si="7"/>
        <v>92.110605915669225</v>
      </c>
      <c r="Q56">
        <f t="shared" si="8"/>
        <v>2.9299394063963371</v>
      </c>
      <c r="R56">
        <f t="shared" si="9"/>
        <v>3.6032043540473429</v>
      </c>
      <c r="S56" s="10">
        <f t="shared" si="10"/>
        <v>94.804732495525982</v>
      </c>
      <c r="T56">
        <f t="shared" si="12"/>
        <v>96.803959041294917</v>
      </c>
      <c r="U56">
        <f t="shared" si="13"/>
        <v>94.713080841057291</v>
      </c>
    </row>
    <row r="57" spans="1:21" x14ac:dyDescent="0.35">
      <c r="A57" t="str">
        <f>'US Raw Data_nsa'!A60</f>
        <v>2012-Q1</v>
      </c>
      <c r="B57" s="7">
        <f>'US Raw Data_nsa'!B60</f>
        <v>3960259</v>
      </c>
      <c r="C57" s="7">
        <f>'US Raw Data_nsa'!C60</f>
        <v>678688</v>
      </c>
      <c r="D57" s="7">
        <f>'US Raw Data_nsa'!D60</f>
        <v>940733</v>
      </c>
      <c r="E57" s="7">
        <f>'US Raw Data_nsa'!E60</f>
        <v>107086</v>
      </c>
      <c r="F57" s="7">
        <f t="shared" si="0"/>
        <v>833647</v>
      </c>
      <c r="G57" s="7">
        <f>'US Raw Data_nsa'!F60</f>
        <v>15606518</v>
      </c>
      <c r="H57" s="7">
        <f t="shared" si="11"/>
        <v>15484985</v>
      </c>
      <c r="I57" s="7">
        <f t="shared" si="3"/>
        <v>121533</v>
      </c>
      <c r="J57" s="7">
        <f t="shared" si="4"/>
        <v>11817883</v>
      </c>
      <c r="K57" s="7">
        <f t="shared" si="5"/>
        <v>15606518</v>
      </c>
      <c r="M57">
        <f t="shared" si="1"/>
        <v>21.050315143529755</v>
      </c>
      <c r="N57">
        <f t="shared" si="2"/>
        <v>17.137464999132632</v>
      </c>
      <c r="O57" s="10">
        <f t="shared" si="6"/>
        <v>98.519553897863744</v>
      </c>
      <c r="P57">
        <f t="shared" si="7"/>
        <v>96.098133985681244</v>
      </c>
      <c r="Q57">
        <f t="shared" si="8"/>
        <v>2.8138060059357781</v>
      </c>
      <c r="R57">
        <f t="shared" si="9"/>
        <v>3.0688144386516134</v>
      </c>
      <c r="S57" s="10">
        <f t="shared" si="10"/>
        <v>98.519553897863744</v>
      </c>
      <c r="T57">
        <f t="shared" si="12"/>
        <v>97.124757576097593</v>
      </c>
      <c r="U57">
        <f t="shared" si="13"/>
        <v>98.449810691835467</v>
      </c>
    </row>
    <row r="58" spans="1:21" x14ac:dyDescent="0.35">
      <c r="A58" t="str">
        <f>'US Raw Data_nsa'!A61</f>
        <v>2012-Q2</v>
      </c>
      <c r="B58" s="7">
        <f>'US Raw Data_nsa'!B61</f>
        <v>4047165</v>
      </c>
      <c r="C58" s="7">
        <f>'US Raw Data_nsa'!C61</f>
        <v>679094</v>
      </c>
      <c r="D58" s="7">
        <f>'US Raw Data_nsa'!D61</f>
        <v>945236</v>
      </c>
      <c r="E58" s="7">
        <f>'US Raw Data_nsa'!E61</f>
        <v>106086</v>
      </c>
      <c r="F58" s="7">
        <f t="shared" si="0"/>
        <v>839150</v>
      </c>
      <c r="G58" s="7">
        <f>'US Raw Data_nsa'!F61</f>
        <v>15855037</v>
      </c>
      <c r="H58" s="7">
        <f t="shared" si="11"/>
        <v>15872660</v>
      </c>
      <c r="I58" s="7">
        <f t="shared" si="3"/>
        <v>-17623</v>
      </c>
      <c r="J58" s="7">
        <f t="shared" si="4"/>
        <v>12084025</v>
      </c>
      <c r="K58" s="7">
        <f t="shared" si="5"/>
        <v>15855037</v>
      </c>
      <c r="M58">
        <f t="shared" si="1"/>
        <v>20.734267073371115</v>
      </c>
      <c r="N58">
        <f t="shared" si="2"/>
        <v>16.779498735534627</v>
      </c>
      <c r="O58" s="10">
        <f t="shared" si="6"/>
        <v>97.93915617475443</v>
      </c>
      <c r="P58">
        <f t="shared" si="7"/>
        <v>96.404013673769171</v>
      </c>
      <c r="Q58">
        <f t="shared" si="8"/>
        <v>2.7190177847486541</v>
      </c>
      <c r="R58">
        <f t="shared" si="9"/>
        <v>-0.43544061089676356</v>
      </c>
      <c r="S58" s="10">
        <f t="shared" si="10"/>
        <v>97.939156174754416</v>
      </c>
      <c r="T58">
        <f t="shared" si="12"/>
        <v>99.998859589010976</v>
      </c>
      <c r="U58">
        <f t="shared" si="13"/>
        <v>97.851553785703587</v>
      </c>
    </row>
    <row r="59" spans="1:21" x14ac:dyDescent="0.35">
      <c r="A59" t="str">
        <f>'US Raw Data_nsa'!A62</f>
        <v>2012-Q3</v>
      </c>
      <c r="B59" s="7">
        <f>'US Raw Data_nsa'!B62</f>
        <v>4086346</v>
      </c>
      <c r="C59" s="7">
        <f>'US Raw Data_nsa'!C62</f>
        <v>640065</v>
      </c>
      <c r="D59" s="7">
        <f>'US Raw Data_nsa'!D62</f>
        <v>945741</v>
      </c>
      <c r="E59" s="7">
        <f>'US Raw Data_nsa'!E62</f>
        <v>105244</v>
      </c>
      <c r="F59" s="7">
        <f t="shared" si="0"/>
        <v>840497</v>
      </c>
      <c r="G59" s="7">
        <f>'US Raw Data_nsa'!F62</f>
        <v>16066240</v>
      </c>
      <c r="H59" s="7">
        <f t="shared" si="11"/>
        <v>16160713</v>
      </c>
      <c r="I59" s="7">
        <f t="shared" si="3"/>
        <v>-94473</v>
      </c>
      <c r="J59" s="7">
        <f t="shared" si="4"/>
        <v>12389701</v>
      </c>
      <c r="K59" s="7">
        <f t="shared" si="5"/>
        <v>16066240</v>
      </c>
      <c r="M59">
        <f t="shared" si="1"/>
        <v>20.56842470020894</v>
      </c>
      <c r="N59">
        <f t="shared" si="2"/>
        <v>15.663504754614515</v>
      </c>
      <c r="O59" s="10">
        <f t="shared" si="6"/>
        <v>98.292215098770399</v>
      </c>
      <c r="P59">
        <f t="shared" si="7"/>
        <v>97.000088832418982</v>
      </c>
      <c r="Q59">
        <f t="shared" si="8"/>
        <v>2.6551562131327731</v>
      </c>
      <c r="R59">
        <f t="shared" si="9"/>
        <v>-2.3119187655670861</v>
      </c>
      <c r="S59" s="10">
        <f t="shared" si="10"/>
        <v>98.292215098770384</v>
      </c>
      <c r="T59">
        <f t="shared" si="12"/>
        <v>99.149331983207432</v>
      </c>
      <c r="U59">
        <f t="shared" si="13"/>
        <v>98.198661145144754</v>
      </c>
    </row>
    <row r="60" spans="1:21" x14ac:dyDescent="0.35">
      <c r="A60" t="str">
        <f>'US Raw Data_nsa'!A63</f>
        <v>2012-Q4</v>
      </c>
      <c r="B60" s="7">
        <f>'US Raw Data_nsa'!B63</f>
        <v>4160201</v>
      </c>
      <c r="C60" s="7">
        <f>'US Raw Data_nsa'!C63</f>
        <v>702970</v>
      </c>
      <c r="D60" s="7">
        <f>'US Raw Data_nsa'!D63</f>
        <v>941793</v>
      </c>
      <c r="E60" s="7">
        <f>'US Raw Data_nsa'!E63</f>
        <v>104209</v>
      </c>
      <c r="F60" s="7">
        <f t="shared" si="0"/>
        <v>837584</v>
      </c>
      <c r="G60" s="7">
        <f>'US Raw Data_nsa'!F63</f>
        <v>16432730</v>
      </c>
      <c r="H60" s="7">
        <f t="shared" si="11"/>
        <v>16305063</v>
      </c>
      <c r="I60" s="7">
        <f t="shared" si="3"/>
        <v>127667</v>
      </c>
      <c r="J60" s="7">
        <f t="shared" si="4"/>
        <v>12628524</v>
      </c>
      <c r="K60" s="7">
        <f t="shared" si="5"/>
        <v>16432730</v>
      </c>
      <c r="M60">
        <f t="shared" si="1"/>
        <v>20.133257984409887</v>
      </c>
      <c r="N60">
        <f t="shared" si="2"/>
        <v>16.897500865943737</v>
      </c>
      <c r="O60" s="10">
        <f t="shared" si="6"/>
        <v>98.749615703664318</v>
      </c>
      <c r="P60">
        <f t="shared" si="7"/>
        <v>96.547258173343067</v>
      </c>
      <c r="Q60">
        <f t="shared" si="8"/>
        <v>2.5944838369151713</v>
      </c>
      <c r="R60">
        <f t="shared" si="9"/>
        <v>3.0687699945267068</v>
      </c>
      <c r="S60" s="10">
        <f t="shared" si="10"/>
        <v>98.749615703664318</v>
      </c>
      <c r="T60">
        <f t="shared" si="12"/>
        <v>100.41173002126244</v>
      </c>
      <c r="U60">
        <f t="shared" si="13"/>
        <v>98.629145881524877</v>
      </c>
    </row>
    <row r="61" spans="1:21" x14ac:dyDescent="0.35">
      <c r="A61" t="str">
        <f>'US Raw Data_nsa'!A64</f>
        <v>2013-Q1</v>
      </c>
      <c r="B61" s="7">
        <f>'US Raw Data_nsa'!B64</f>
        <v>4074333</v>
      </c>
      <c r="C61" s="7">
        <f>'US Raw Data_nsa'!C64</f>
        <v>730858</v>
      </c>
      <c r="D61" s="7">
        <f>'US Raw Data_nsa'!D64</f>
        <v>938461</v>
      </c>
      <c r="E61" s="7">
        <f>'US Raw Data_nsa'!E64</f>
        <v>102763</v>
      </c>
      <c r="F61" s="7">
        <f t="shared" si="0"/>
        <v>835698</v>
      </c>
      <c r="G61" s="7">
        <f>'US Raw Data_nsa'!F64</f>
        <v>16771381</v>
      </c>
      <c r="H61" s="7">
        <f t="shared" si="11"/>
        <v>16640333</v>
      </c>
      <c r="I61" s="7">
        <f t="shared" si="3"/>
        <v>131048</v>
      </c>
      <c r="J61" s="7">
        <f t="shared" si="4"/>
        <v>12836127</v>
      </c>
      <c r="K61" s="7">
        <f t="shared" si="5"/>
        <v>16771381</v>
      </c>
      <c r="M61">
        <f t="shared" si="1"/>
        <v>20.51128368741583</v>
      </c>
      <c r="N61">
        <f t="shared" si="2"/>
        <v>17.938101770277491</v>
      </c>
      <c r="O61" s="10">
        <f t="shared" si="6"/>
        <v>102.90875218103184</v>
      </c>
      <c r="P61">
        <f t="shared" si="7"/>
        <v>100.83079856261135</v>
      </c>
      <c r="Q61">
        <f t="shared" si="8"/>
        <v>2.5014224660175155</v>
      </c>
      <c r="R61">
        <f t="shared" si="9"/>
        <v>3.216428308633585</v>
      </c>
      <c r="S61" s="10">
        <f t="shared" si="10"/>
        <v>102.90875218103184</v>
      </c>
      <c r="T61">
        <f t="shared" si="12"/>
        <v>100.69333134124828</v>
      </c>
      <c r="U61">
        <f t="shared" si="13"/>
        <v>102.8154786904243</v>
      </c>
    </row>
    <row r="62" spans="1:21" x14ac:dyDescent="0.35">
      <c r="A62" t="str">
        <f>'US Raw Data_nsa'!A65</f>
        <v>2013-Q2</v>
      </c>
      <c r="B62" s="7">
        <f>'US Raw Data_nsa'!B65</f>
        <v>4184244</v>
      </c>
      <c r="C62" s="7">
        <f>'US Raw Data_nsa'!C65</f>
        <v>816937</v>
      </c>
      <c r="D62" s="7">
        <f>'US Raw Data_nsa'!D65</f>
        <v>946530</v>
      </c>
      <c r="E62" s="7">
        <f>'US Raw Data_nsa'!E65</f>
        <v>103127</v>
      </c>
      <c r="F62" s="7">
        <f t="shared" si="0"/>
        <v>843403</v>
      </c>
      <c r="G62" s="7">
        <f>'US Raw Data_nsa'!F65</f>
        <v>16738320</v>
      </c>
      <c r="H62" s="7">
        <f t="shared" si="11"/>
        <v>16900974</v>
      </c>
      <c r="I62" s="7">
        <f t="shared" si="3"/>
        <v>-162654</v>
      </c>
      <c r="J62" s="7">
        <f t="shared" si="4"/>
        <v>12965720</v>
      </c>
      <c r="K62" s="7">
        <f t="shared" si="5"/>
        <v>16738320</v>
      </c>
      <c r="M62">
        <f t="shared" si="1"/>
        <v>20.156640004741597</v>
      </c>
      <c r="N62">
        <f t="shared" si="2"/>
        <v>19.524124310150174</v>
      </c>
      <c r="O62" s="10">
        <f t="shared" si="6"/>
        <v>100.00803012443825</v>
      </c>
      <c r="P62">
        <f t="shared" si="7"/>
        <v>100.20556282090624</v>
      </c>
      <c r="Q62">
        <f t="shared" si="8"/>
        <v>2.4595947107754572</v>
      </c>
      <c r="R62">
        <f t="shared" si="9"/>
        <v>-3.8872972035091644</v>
      </c>
      <c r="S62" s="10">
        <f t="shared" si="10"/>
        <v>100.00803012443825</v>
      </c>
      <c r="T62">
        <f t="shared" si="12"/>
        <v>102.6339943321269</v>
      </c>
      <c r="U62">
        <f t="shared" si="13"/>
        <v>99.938022263806218</v>
      </c>
    </row>
    <row r="63" spans="1:21" x14ac:dyDescent="0.35">
      <c r="A63" t="str">
        <f>'US Raw Data_nsa'!A66</f>
        <v>2013-Q3</v>
      </c>
      <c r="B63" s="7">
        <f>'US Raw Data_nsa'!B66</f>
        <v>4259404</v>
      </c>
      <c r="C63" s="7">
        <f>'US Raw Data_nsa'!C66</f>
        <v>749592</v>
      </c>
      <c r="D63" s="7">
        <f>'US Raw Data_nsa'!D66</f>
        <v>946758</v>
      </c>
      <c r="E63" s="7">
        <f>'US Raw Data_nsa'!E66</f>
        <v>104185</v>
      </c>
      <c r="F63" s="7">
        <f t="shared" si="0"/>
        <v>842573</v>
      </c>
      <c r="G63" s="7">
        <f>'US Raw Data_nsa'!F66</f>
        <v>16738180</v>
      </c>
      <c r="H63" s="7">
        <f t="shared" si="11"/>
        <v>16935486</v>
      </c>
      <c r="I63" s="7">
        <f t="shared" si="3"/>
        <v>-197306</v>
      </c>
      <c r="J63" s="7">
        <f t="shared" si="4"/>
        <v>13162886</v>
      </c>
      <c r="K63" s="7">
        <f t="shared" si="5"/>
        <v>16738180</v>
      </c>
      <c r="M63">
        <f t="shared" si="1"/>
        <v>19.781476469477891</v>
      </c>
      <c r="N63">
        <f t="shared" si="2"/>
        <v>17.598518478172064</v>
      </c>
      <c r="O63" s="10">
        <f t="shared" si="6"/>
        <v>98.242500593979813</v>
      </c>
      <c r="P63">
        <f t="shared" si="7"/>
        <v>98.243322305186354</v>
      </c>
      <c r="Q63">
        <f t="shared" si="8"/>
        <v>2.4897361264451869</v>
      </c>
      <c r="R63">
        <f t="shared" si="9"/>
        <v>-4.632244323384211</v>
      </c>
      <c r="S63" s="10">
        <f t="shared" si="10"/>
        <v>98.242500593979827</v>
      </c>
      <c r="T63">
        <f t="shared" si="12"/>
        <v>99.947748941875844</v>
      </c>
      <c r="U63">
        <f t="shared" si="13"/>
        <v>98.184104823949625</v>
      </c>
    </row>
    <row r="64" spans="1:21" x14ac:dyDescent="0.35">
      <c r="A64" t="str">
        <f>'US Raw Data_nsa'!A67</f>
        <v>2013-Q4</v>
      </c>
      <c r="B64" s="7">
        <f>'US Raw Data_nsa'!B67</f>
        <v>4362704</v>
      </c>
      <c r="C64" s="7">
        <f>'US Raw Data_nsa'!C67</f>
        <v>838932</v>
      </c>
      <c r="D64" s="7">
        <f>'US Raw Data_nsa'!D67</f>
        <v>938505</v>
      </c>
      <c r="E64" s="7">
        <f>'US Raw Data_nsa'!E67</f>
        <v>106250</v>
      </c>
      <c r="F64" s="7">
        <f t="shared" si="0"/>
        <v>832255</v>
      </c>
      <c r="G64" s="7">
        <f>'US Raw Data_nsa'!F67</f>
        <v>17156119</v>
      </c>
      <c r="H64" s="7">
        <f t="shared" si="11"/>
        <v>16837753</v>
      </c>
      <c r="I64" s="7">
        <f t="shared" si="3"/>
        <v>318366</v>
      </c>
      <c r="J64" s="7">
        <f t="shared" si="4"/>
        <v>13262459</v>
      </c>
      <c r="K64" s="7">
        <f t="shared" si="5"/>
        <v>17156119</v>
      </c>
      <c r="M64">
        <f t="shared" si="1"/>
        <v>19.076586447304241</v>
      </c>
      <c r="N64">
        <f t="shared" si="2"/>
        <v>19.22963373174068</v>
      </c>
      <c r="O64" s="10">
        <f t="shared" si="6"/>
        <v>98.311270945725397</v>
      </c>
      <c r="P64">
        <f t="shared" si="7"/>
        <v>95.916317036406781</v>
      </c>
      <c r="Q64">
        <f t="shared" si="8"/>
        <v>2.5391052073761897</v>
      </c>
      <c r="R64">
        <f t="shared" si="9"/>
        <v>7.2974467211160787</v>
      </c>
      <c r="S64" s="10">
        <f t="shared" si="10"/>
        <v>98.311270945725411</v>
      </c>
      <c r="T64">
        <f t="shared" si="12"/>
        <v>100.59345411271968</v>
      </c>
      <c r="U64">
        <f t="shared" si="13"/>
        <v>98.211604734479963</v>
      </c>
    </row>
    <row r="65" spans="1:21" x14ac:dyDescent="0.35">
      <c r="A65" t="str">
        <f>'US Raw Data_nsa'!A68</f>
        <v>2014-Q1</v>
      </c>
      <c r="B65" s="7">
        <f>'US Raw Data_nsa'!B68</f>
        <v>4220258</v>
      </c>
      <c r="C65" s="7">
        <f>'US Raw Data_nsa'!C68</f>
        <v>835408</v>
      </c>
      <c r="D65" s="7">
        <f>'US Raw Data_nsa'!D68</f>
        <v>954849</v>
      </c>
      <c r="E65" s="7">
        <f>'US Raw Data_nsa'!E68</f>
        <v>107988</v>
      </c>
      <c r="F65" s="7">
        <f t="shared" si="0"/>
        <v>846861</v>
      </c>
      <c r="G65" s="7">
        <f>'US Raw Data_nsa'!F68</f>
        <v>17601227</v>
      </c>
      <c r="H65" s="7">
        <f t="shared" si="11"/>
        <v>17275560</v>
      </c>
      <c r="I65" s="7">
        <f t="shared" si="3"/>
        <v>325667</v>
      </c>
      <c r="J65" s="7">
        <f t="shared" si="4"/>
        <v>13381900</v>
      </c>
      <c r="K65" s="7">
        <f t="shared" si="5"/>
        <v>17601227</v>
      </c>
      <c r="M65">
        <f t="shared" si="1"/>
        <v>20.066569389833514</v>
      </c>
      <c r="N65">
        <f t="shared" si="2"/>
        <v>19.795187877139266</v>
      </c>
      <c r="O65" s="10">
        <f t="shared" si="6"/>
        <v>104.2662972263781</v>
      </c>
      <c r="P65">
        <f t="shared" si="7"/>
        <v>101.62956269498216</v>
      </c>
      <c r="Q65">
        <f t="shared" si="8"/>
        <v>2.517772230421111</v>
      </c>
      <c r="R65">
        <f t="shared" si="9"/>
        <v>7.7167557054568698</v>
      </c>
      <c r="S65" s="10">
        <f t="shared" si="10"/>
        <v>104.2662972263781</v>
      </c>
      <c r="T65">
        <f t="shared" si="12"/>
        <v>100.82682516678166</v>
      </c>
      <c r="U65">
        <f t="shared" si="13"/>
        <v>104.23002419814595</v>
      </c>
    </row>
    <row r="66" spans="1:21" x14ac:dyDescent="0.35">
      <c r="A66" t="str">
        <f>'US Raw Data_nsa'!A69</f>
        <v>2014-Q2</v>
      </c>
      <c r="B66" s="7">
        <f>'US Raw Data_nsa'!B69</f>
        <v>4376828</v>
      </c>
      <c r="C66" s="7">
        <f>'US Raw Data_nsa'!C69</f>
        <v>834494</v>
      </c>
      <c r="D66" s="7">
        <f>'US Raw Data_nsa'!D69</f>
        <v>970965</v>
      </c>
      <c r="E66" s="7">
        <f>'US Raw Data_nsa'!E69</f>
        <v>110007</v>
      </c>
      <c r="F66" s="7">
        <f t="shared" si="0"/>
        <v>860958</v>
      </c>
      <c r="G66" s="7">
        <f>'US Raw Data_nsa'!F69</f>
        <v>17632606</v>
      </c>
      <c r="H66" s="7">
        <f t="shared" si="11"/>
        <v>17737698</v>
      </c>
      <c r="I66" s="7">
        <f t="shared" si="3"/>
        <v>-105092</v>
      </c>
      <c r="J66" s="7">
        <f t="shared" si="4"/>
        <v>13518371</v>
      </c>
      <c r="K66" s="7">
        <f t="shared" si="5"/>
        <v>17632606</v>
      </c>
      <c r="M66">
        <f t="shared" si="1"/>
        <v>19.670820968975704</v>
      </c>
      <c r="N66">
        <f t="shared" si="2"/>
        <v>19.066182175767473</v>
      </c>
      <c r="O66" s="10">
        <f t="shared" si="6"/>
        <v>100.71566668829573</v>
      </c>
      <c r="P66">
        <f t="shared" si="7"/>
        <v>100.53643300582065</v>
      </c>
      <c r="Q66">
        <f t="shared" si="8"/>
        <v>2.4999848021958924</v>
      </c>
      <c r="R66">
        <f t="shared" si="9"/>
        <v>-2.4010996091233197</v>
      </c>
      <c r="S66" s="10">
        <f t="shared" si="10"/>
        <v>100.71566668829571</v>
      </c>
      <c r="T66">
        <f t="shared" si="12"/>
        <v>104.43234268523686</v>
      </c>
      <c r="U66">
        <f t="shared" si="13"/>
        <v>100.69653860652333</v>
      </c>
    </row>
    <row r="67" spans="1:21" x14ac:dyDescent="0.35">
      <c r="A67" t="str">
        <f>'US Raw Data_nsa'!A70</f>
        <v>2014-Q3</v>
      </c>
      <c r="B67" s="7">
        <f>'US Raw Data_nsa'!B70</f>
        <v>4465484</v>
      </c>
      <c r="C67" s="7">
        <f>'US Raw Data_nsa'!C70</f>
        <v>792943</v>
      </c>
      <c r="D67" s="7">
        <f>'US Raw Data_nsa'!D70</f>
        <v>986420</v>
      </c>
      <c r="E67" s="7">
        <f>'US Raw Data_nsa'!E70</f>
        <v>110527</v>
      </c>
      <c r="F67" s="7">
        <f t="shared" ref="F67:F112" si="14">D67-E67</f>
        <v>875893</v>
      </c>
      <c r="G67" s="7">
        <f>'US Raw Data_nsa'!F70</f>
        <v>17824071</v>
      </c>
      <c r="H67" s="7">
        <f t="shared" si="11"/>
        <v>17826083</v>
      </c>
      <c r="I67" s="7">
        <f t="shared" si="3"/>
        <v>-2012</v>
      </c>
      <c r="J67" s="7">
        <f t="shared" si="4"/>
        <v>13711848</v>
      </c>
      <c r="K67" s="7">
        <f t="shared" si="5"/>
        <v>17824071</v>
      </c>
      <c r="M67">
        <f t="shared" ref="M67:M112" si="15">400*F67/(4*B67)</f>
        <v>19.614738290407043</v>
      </c>
      <c r="N67">
        <f t="shared" ref="N67:N112" si="16">400*C67/(4*B67)</f>
        <v>17.75715689497488</v>
      </c>
      <c r="O67" s="10">
        <f t="shared" si="6"/>
        <v>99.788012900729242</v>
      </c>
      <c r="P67">
        <f t="shared" si="7"/>
        <v>98.716096620209584</v>
      </c>
      <c r="Q67">
        <f t="shared" si="8"/>
        <v>2.5073321549860528</v>
      </c>
      <c r="R67">
        <f t="shared" si="9"/>
        <v>-4.5056706059186415E-2</v>
      </c>
      <c r="S67" s="10">
        <f t="shared" si="10"/>
        <v>99.788012900729228</v>
      </c>
      <c r="T67">
        <f t="shared" si="12"/>
        <v>101.7808689517264</v>
      </c>
      <c r="U67">
        <f t="shared" si="13"/>
        <v>99.760150768034734</v>
      </c>
    </row>
    <row r="68" spans="1:21" x14ac:dyDescent="0.35">
      <c r="A68" t="str">
        <f>'US Raw Data_nsa'!A71</f>
        <v>2014-Q4</v>
      </c>
      <c r="B68" s="7">
        <f>'US Raw Data_nsa'!B71</f>
        <v>4545567</v>
      </c>
      <c r="C68" s="7">
        <f>'US Raw Data_nsa'!C71</f>
        <v>831571</v>
      </c>
      <c r="D68" s="7">
        <f>'US Raw Data_nsa'!D71</f>
        <v>976204</v>
      </c>
      <c r="E68" s="7">
        <f>'US Raw Data_nsa'!E71</f>
        <v>110571</v>
      </c>
      <c r="F68" s="7">
        <f t="shared" si="14"/>
        <v>865633</v>
      </c>
      <c r="G68" s="7">
        <f>'US Raw Data_nsa'!F71</f>
        <v>18141444</v>
      </c>
      <c r="H68" s="7">
        <f t="shared" si="11"/>
        <v>17968704</v>
      </c>
      <c r="I68" s="7">
        <f t="shared" ref="I68:I112" si="17">G68-H68</f>
        <v>172740</v>
      </c>
      <c r="J68" s="7">
        <f t="shared" ref="J68:J112" si="18">F68-C68+E68+J67</f>
        <v>13856481</v>
      </c>
      <c r="K68" s="7">
        <f t="shared" ref="K68:K112" si="19">F68-C68+E68+I68+K67</f>
        <v>18141444</v>
      </c>
      <c r="M68">
        <f t="shared" si="15"/>
        <v>19.043454864926641</v>
      </c>
      <c r="N68">
        <f t="shared" si="16"/>
        <v>18.294109403733351</v>
      </c>
      <c r="O68" s="10">
        <f t="shared" ref="O68:O112" si="20">100*G68/(4*B68)</f>
        <v>99.775473554784256</v>
      </c>
      <c r="P68">
        <f t="shared" ref="P68:P112" si="21">100*G67/(4*B68)</f>
        <v>98.029965238659997</v>
      </c>
      <c r="Q68">
        <f t="shared" ref="Q68:Q112" si="22">400*E68/(4*B68)*(1/(P68/100))</f>
        <v>2.4813859864000767</v>
      </c>
      <c r="R68">
        <f t="shared" ref="R68:R112" si="23">400*I68/(4*B68)</f>
        <v>3.8001859833987708</v>
      </c>
      <c r="S68" s="10">
        <f t="shared" ref="S68:S112" si="24">(1/4)*(M68-N68+R68)+(1+(Q68/400))*P68</f>
        <v>99.775473554784242</v>
      </c>
      <c r="T68">
        <f t="shared" si="12"/>
        <v>101.51639222947514</v>
      </c>
      <c r="U68">
        <f t="shared" si="13"/>
        <v>99.72789428435344</v>
      </c>
    </row>
    <row r="69" spans="1:21" x14ac:dyDescent="0.35">
      <c r="A69" t="str">
        <f>'US Raw Data_nsa'!A72</f>
        <v>2015-Q1</v>
      </c>
      <c r="B69" s="7">
        <f>'US Raw Data_nsa'!B72</f>
        <v>4411435</v>
      </c>
      <c r="C69" s="7">
        <f>'US Raw Data_nsa'!C72</f>
        <v>848046</v>
      </c>
      <c r="D69" s="7">
        <f>'US Raw Data_nsa'!D72</f>
        <v>992832</v>
      </c>
      <c r="E69" s="7">
        <f>'US Raw Data_nsa'!E72</f>
        <v>107172</v>
      </c>
      <c r="F69" s="7">
        <f t="shared" si="14"/>
        <v>885660</v>
      </c>
      <c r="G69" s="7">
        <f>'US Raw Data_nsa'!F72</f>
        <v>18152056</v>
      </c>
      <c r="H69" s="7">
        <f t="shared" ref="H69:H112" si="25">F69-C69+E69+G68</f>
        <v>18286230</v>
      </c>
      <c r="I69" s="7">
        <f t="shared" si="17"/>
        <v>-134174</v>
      </c>
      <c r="J69" s="7">
        <f t="shared" si="18"/>
        <v>14001267</v>
      </c>
      <c r="K69" s="7">
        <f t="shared" si="19"/>
        <v>18152056</v>
      </c>
      <c r="M69">
        <f t="shared" si="15"/>
        <v>20.076460380805791</v>
      </c>
      <c r="N69">
        <f t="shared" si="16"/>
        <v>19.223812659599428</v>
      </c>
      <c r="O69" s="10">
        <f t="shared" si="20"/>
        <v>102.86933843522573</v>
      </c>
      <c r="P69">
        <f t="shared" si="21"/>
        <v>102.80919927415908</v>
      </c>
      <c r="Q69">
        <f t="shared" si="22"/>
        <v>2.3630313000442524</v>
      </c>
      <c r="R69">
        <f t="shared" si="23"/>
        <v>-3.0415046351130641</v>
      </c>
      <c r="S69" s="10">
        <f t="shared" si="24"/>
        <v>102.86933843522571</v>
      </c>
      <c r="T69">
        <f t="shared" si="12"/>
        <v>99.769830395080334</v>
      </c>
      <c r="U69">
        <f t="shared" si="13"/>
        <v>102.8033845312181</v>
      </c>
    </row>
    <row r="70" spans="1:21" x14ac:dyDescent="0.35">
      <c r="A70" t="str">
        <f>'US Raw Data_nsa'!A73</f>
        <v>2015-Q2</v>
      </c>
      <c r="B70" s="7">
        <f>'US Raw Data_nsa'!B73</f>
        <v>4580499</v>
      </c>
      <c r="C70" s="7">
        <f>'US Raw Data_nsa'!C73</f>
        <v>862224</v>
      </c>
      <c r="D70" s="7">
        <f>'US Raw Data_nsa'!D73</f>
        <v>996273</v>
      </c>
      <c r="E70" s="7">
        <f>'US Raw Data_nsa'!E73</f>
        <v>106469</v>
      </c>
      <c r="F70" s="7">
        <f t="shared" si="14"/>
        <v>889804</v>
      </c>
      <c r="G70" s="7">
        <f>'US Raw Data_nsa'!F73</f>
        <v>18151998</v>
      </c>
      <c r="H70" s="7">
        <f t="shared" si="25"/>
        <v>18286105</v>
      </c>
      <c r="I70" s="7">
        <f t="shared" si="17"/>
        <v>-134107</v>
      </c>
      <c r="J70" s="7">
        <f t="shared" si="18"/>
        <v>14135316</v>
      </c>
      <c r="K70" s="7">
        <f t="shared" si="19"/>
        <v>18151998</v>
      </c>
      <c r="M70">
        <f t="shared" si="15"/>
        <v>19.425918442510302</v>
      </c>
      <c r="N70">
        <f t="shared" si="16"/>
        <v>18.823800638314733</v>
      </c>
      <c r="O70" s="10">
        <f t="shared" si="20"/>
        <v>99.072164408288273</v>
      </c>
      <c r="P70">
        <f t="shared" si="21"/>
        <v>99.072480967684967</v>
      </c>
      <c r="Q70">
        <f t="shared" si="22"/>
        <v>2.3461584737288161</v>
      </c>
      <c r="R70">
        <f t="shared" si="23"/>
        <v>-2.9277814491390566</v>
      </c>
      <c r="S70" s="10">
        <f t="shared" si="24"/>
        <v>99.072164408288273</v>
      </c>
      <c r="T70">
        <f t="shared" ref="T70:T112" si="26">(1/4)*(M70-N70+R70)+(1+(Q70/400))*U69</f>
        <v>102.82495119934703</v>
      </c>
      <c r="U70">
        <f t="shared" ref="U70:U112" si="27">T70*(B69/B70)</f>
        <v>99.02973204318819</v>
      </c>
    </row>
    <row r="71" spans="1:21" x14ac:dyDescent="0.35">
      <c r="A71" t="str">
        <f>'US Raw Data_nsa'!A74</f>
        <v>2015-Q3</v>
      </c>
      <c r="B71" s="7">
        <f>'US Raw Data_nsa'!B74</f>
        <v>4625898</v>
      </c>
      <c r="C71" s="7">
        <f>'US Raw Data_nsa'!C74</f>
        <v>821724</v>
      </c>
      <c r="D71" s="7">
        <f>'US Raw Data_nsa'!D74</f>
        <v>1009364</v>
      </c>
      <c r="E71" s="7">
        <f>'US Raw Data_nsa'!E74</f>
        <v>106970</v>
      </c>
      <c r="F71" s="7">
        <f t="shared" si="14"/>
        <v>902394</v>
      </c>
      <c r="G71" s="7">
        <f>'US Raw Data_nsa'!F74</f>
        <v>18150618</v>
      </c>
      <c r="H71" s="7">
        <f t="shared" si="25"/>
        <v>18339638</v>
      </c>
      <c r="I71" s="7">
        <f t="shared" si="17"/>
        <v>-189020</v>
      </c>
      <c r="J71" s="7">
        <f t="shared" si="18"/>
        <v>14322956</v>
      </c>
      <c r="K71" s="7">
        <f t="shared" si="19"/>
        <v>18150618</v>
      </c>
      <c r="M71">
        <f t="shared" si="15"/>
        <v>19.50743401605483</v>
      </c>
      <c r="N71">
        <f t="shared" si="16"/>
        <v>17.763556394888084</v>
      </c>
      <c r="O71" s="10">
        <f t="shared" si="20"/>
        <v>98.092402815626286</v>
      </c>
      <c r="P71">
        <f t="shared" si="21"/>
        <v>98.099860827022127</v>
      </c>
      <c r="Q71">
        <f t="shared" si="22"/>
        <v>2.3572060772593737</v>
      </c>
      <c r="R71">
        <f t="shared" si="23"/>
        <v>-4.0861255479476633</v>
      </c>
      <c r="S71" s="10">
        <f t="shared" si="24"/>
        <v>98.092402815626286</v>
      </c>
      <c r="T71">
        <f t="shared" si="26"/>
        <v>99.027753776996889</v>
      </c>
      <c r="U71">
        <f t="shared" si="27"/>
        <v>98.055886045861897</v>
      </c>
    </row>
    <row r="72" spans="1:21" x14ac:dyDescent="0.35">
      <c r="A72" t="str">
        <f>'US Raw Data_nsa'!A75</f>
        <v>2015-Q4</v>
      </c>
      <c r="B72" s="7">
        <f>'US Raw Data_nsa'!B75</f>
        <v>4677188</v>
      </c>
      <c r="C72" s="7">
        <f>'US Raw Data_nsa'!C75</f>
        <v>916392</v>
      </c>
      <c r="D72" s="7">
        <f>'US Raw Data_nsa'!D75</f>
        <v>1007357</v>
      </c>
      <c r="E72" s="7">
        <f>'US Raw Data_nsa'!E75</f>
        <v>108670</v>
      </c>
      <c r="F72" s="7">
        <f t="shared" si="14"/>
        <v>898687</v>
      </c>
      <c r="G72" s="7">
        <f>'US Raw Data_nsa'!F75</f>
        <v>18922179</v>
      </c>
      <c r="H72" s="7">
        <f t="shared" si="25"/>
        <v>18241583</v>
      </c>
      <c r="I72" s="7">
        <f t="shared" si="17"/>
        <v>680596</v>
      </c>
      <c r="J72" s="7">
        <f t="shared" si="18"/>
        <v>14413921</v>
      </c>
      <c r="K72" s="7">
        <f t="shared" si="19"/>
        <v>18922179</v>
      </c>
      <c r="M72">
        <f t="shared" si="15"/>
        <v>19.214258652848677</v>
      </c>
      <c r="N72">
        <f t="shared" si="16"/>
        <v>19.592798065846402</v>
      </c>
      <c r="O72" s="10">
        <f t="shared" si="20"/>
        <v>101.14078694292382</v>
      </c>
      <c r="P72">
        <f t="shared" si="21"/>
        <v>97.016722440919636</v>
      </c>
      <c r="Q72">
        <f t="shared" si="22"/>
        <v>2.3948495858377932</v>
      </c>
      <c r="R72">
        <f t="shared" si="23"/>
        <v>14.551392845444742</v>
      </c>
      <c r="S72" s="10">
        <f t="shared" si="24"/>
        <v>101.14078694292384</v>
      </c>
      <c r="T72">
        <f t="shared" si="26"/>
        <v>102.18617214918838</v>
      </c>
      <c r="U72">
        <f t="shared" si="27"/>
        <v>101.06559953813834</v>
      </c>
    </row>
    <row r="73" spans="1:21" x14ac:dyDescent="0.35">
      <c r="A73" t="str">
        <f>'US Raw Data_nsa'!A76</f>
        <v>2016-Q1</v>
      </c>
      <c r="B73" s="7">
        <f>'US Raw Data_nsa'!B76</f>
        <v>4521822</v>
      </c>
      <c r="C73" s="7">
        <f>'US Raw Data_nsa'!C76</f>
        <v>856066</v>
      </c>
      <c r="D73" s="7">
        <f>'US Raw Data_nsa'!D76</f>
        <v>1019783</v>
      </c>
      <c r="E73" s="7">
        <f>'US Raw Data_nsa'!E76</f>
        <v>111556</v>
      </c>
      <c r="F73" s="7">
        <f t="shared" si="14"/>
        <v>908227</v>
      </c>
      <c r="G73" s="7">
        <f>'US Raw Data_nsa'!F76</f>
        <v>19264939</v>
      </c>
      <c r="H73" s="7">
        <f t="shared" si="25"/>
        <v>19085896</v>
      </c>
      <c r="I73" s="7">
        <f t="shared" si="17"/>
        <v>179043</v>
      </c>
      <c r="J73" s="7">
        <f t="shared" si="18"/>
        <v>14577638</v>
      </c>
      <c r="K73" s="7">
        <f t="shared" si="19"/>
        <v>19264939</v>
      </c>
      <c r="M73">
        <f t="shared" si="15"/>
        <v>20.085421319105439</v>
      </c>
      <c r="N73">
        <f t="shared" si="16"/>
        <v>18.931881883010874</v>
      </c>
      <c r="O73" s="10">
        <f t="shared" si="20"/>
        <v>106.51093187657541</v>
      </c>
      <c r="P73">
        <f t="shared" si="21"/>
        <v>104.61589929899938</v>
      </c>
      <c r="Q73">
        <f t="shared" si="22"/>
        <v>2.358206208703554</v>
      </c>
      <c r="R73">
        <f t="shared" si="23"/>
        <v>3.9595322416494945</v>
      </c>
      <c r="S73" s="10">
        <f t="shared" si="24"/>
        <v>106.51093187657541</v>
      </c>
      <c r="T73">
        <f t="shared" si="26"/>
        <v>102.93970126836732</v>
      </c>
      <c r="U73">
        <f t="shared" si="27"/>
        <v>106.47662280735339</v>
      </c>
    </row>
    <row r="74" spans="1:21" x14ac:dyDescent="0.35">
      <c r="A74" t="str">
        <f>'US Raw Data_nsa'!A77</f>
        <v>2016-Q2</v>
      </c>
      <c r="B74" s="7">
        <f>'US Raw Data_nsa'!B77</f>
        <v>4690281</v>
      </c>
      <c r="C74" s="7">
        <f>'US Raw Data_nsa'!C77</f>
        <v>874009</v>
      </c>
      <c r="D74" s="7">
        <f>'US Raw Data_nsa'!D77</f>
        <v>1024140</v>
      </c>
      <c r="E74" s="7">
        <f>'US Raw Data_nsa'!E77</f>
        <v>113323</v>
      </c>
      <c r="F74" s="7">
        <f t="shared" si="14"/>
        <v>910817</v>
      </c>
      <c r="G74" s="7">
        <f>'US Raw Data_nsa'!F77</f>
        <v>19381591</v>
      </c>
      <c r="H74" s="7">
        <f t="shared" si="25"/>
        <v>19415070</v>
      </c>
      <c r="I74" s="7">
        <f t="shared" si="17"/>
        <v>-33479</v>
      </c>
      <c r="J74" s="7">
        <f t="shared" si="18"/>
        <v>14727769</v>
      </c>
      <c r="K74" s="7">
        <f t="shared" si="19"/>
        <v>19381591</v>
      </c>
      <c r="M74">
        <f t="shared" si="15"/>
        <v>19.419241618998946</v>
      </c>
      <c r="N74">
        <f t="shared" si="16"/>
        <v>18.634469875045866</v>
      </c>
      <c r="O74" s="10">
        <f t="shared" si="20"/>
        <v>103.30719524054102</v>
      </c>
      <c r="P74">
        <f t="shared" si="21"/>
        <v>102.68542012728022</v>
      </c>
      <c r="Q74">
        <f t="shared" si="22"/>
        <v>2.3529376345287156</v>
      </c>
      <c r="R74">
        <f t="shared" si="23"/>
        <v>-0.7137951862585632</v>
      </c>
      <c r="S74" s="10">
        <f t="shared" si="24"/>
        <v>103.30719524054103</v>
      </c>
      <c r="T74">
        <f t="shared" si="26"/>
        <v>107.12069907927938</v>
      </c>
      <c r="U74">
        <f t="shared" si="27"/>
        <v>103.27328655832459</v>
      </c>
    </row>
    <row r="75" spans="1:21" x14ac:dyDescent="0.35">
      <c r="A75" t="str">
        <f>'US Raw Data_nsa'!A78</f>
        <v>2016-Q3</v>
      </c>
      <c r="B75" s="7">
        <f>'US Raw Data_nsa'!B78</f>
        <v>4746661</v>
      </c>
      <c r="C75" s="7">
        <f>'US Raw Data_nsa'!C78</f>
        <v>854324</v>
      </c>
      <c r="D75" s="7">
        <f>'US Raw Data_nsa'!D78</f>
        <v>1044040</v>
      </c>
      <c r="E75" s="7">
        <f>'US Raw Data_nsa'!E78</f>
        <v>114379</v>
      </c>
      <c r="F75" s="7">
        <f t="shared" si="14"/>
        <v>929661</v>
      </c>
      <c r="G75" s="7">
        <f>'US Raw Data_nsa'!F78</f>
        <v>19573445</v>
      </c>
      <c r="H75" s="7">
        <f t="shared" si="25"/>
        <v>19571307</v>
      </c>
      <c r="I75" s="7">
        <f t="shared" si="17"/>
        <v>2138</v>
      </c>
      <c r="J75" s="7">
        <f t="shared" si="18"/>
        <v>14917485</v>
      </c>
      <c r="K75" s="7">
        <f t="shared" si="19"/>
        <v>19573445</v>
      </c>
      <c r="M75">
        <f t="shared" si="15"/>
        <v>19.585578156940215</v>
      </c>
      <c r="N75">
        <f t="shared" si="16"/>
        <v>17.998420363282737</v>
      </c>
      <c r="O75" s="10">
        <f t="shared" si="20"/>
        <v>103.09059884411379</v>
      </c>
      <c r="P75">
        <f t="shared" si="21"/>
        <v>102.08013064341439</v>
      </c>
      <c r="Q75">
        <f t="shared" si="22"/>
        <v>2.3605698830400454</v>
      </c>
      <c r="R75">
        <f t="shared" si="23"/>
        <v>4.5042188603736398E-2</v>
      </c>
      <c r="S75" s="10">
        <f t="shared" si="24"/>
        <v>103.0905988441138</v>
      </c>
      <c r="T75">
        <f t="shared" si="26"/>
        <v>104.29079607882026</v>
      </c>
      <c r="U75">
        <f t="shared" si="27"/>
        <v>103.05204844486792</v>
      </c>
    </row>
    <row r="76" spans="1:21" x14ac:dyDescent="0.35">
      <c r="A76" t="str">
        <f>'US Raw Data_nsa'!A79</f>
        <v>2016-Q4</v>
      </c>
      <c r="B76" s="7">
        <f>'US Raw Data_nsa'!B79</f>
        <v>4840483</v>
      </c>
      <c r="C76" s="7">
        <f>'US Raw Data_nsa'!C79</f>
        <v>876273</v>
      </c>
      <c r="D76" s="7">
        <f>'US Raw Data_nsa'!D79</f>
        <v>1040011</v>
      </c>
      <c r="E76" s="7">
        <f>'US Raw Data_nsa'!E79</f>
        <v>115046</v>
      </c>
      <c r="F76" s="7">
        <f t="shared" si="14"/>
        <v>924965</v>
      </c>
      <c r="G76" s="7">
        <f>'US Raw Data_nsa'!F79</f>
        <v>19976827</v>
      </c>
      <c r="H76" s="7">
        <f t="shared" si="25"/>
        <v>19737183</v>
      </c>
      <c r="I76" s="7">
        <f t="shared" si="17"/>
        <v>239644</v>
      </c>
      <c r="J76" s="7">
        <f t="shared" si="18"/>
        <v>15081223</v>
      </c>
      <c r="K76" s="7">
        <f t="shared" si="19"/>
        <v>19976827</v>
      </c>
      <c r="M76">
        <f t="shared" si="15"/>
        <v>19.108940161549995</v>
      </c>
      <c r="N76">
        <f t="shared" si="16"/>
        <v>18.103007489128668</v>
      </c>
      <c r="O76" s="10">
        <f t="shared" si="20"/>
        <v>103.1757936139844</v>
      </c>
      <c r="P76">
        <f t="shared" si="21"/>
        <v>101.09241681047119</v>
      </c>
      <c r="Q76">
        <f t="shared" si="22"/>
        <v>2.3510628813680987</v>
      </c>
      <c r="R76">
        <f t="shared" si="23"/>
        <v>4.9508282541225741</v>
      </c>
      <c r="S76" s="10">
        <f t="shared" si="24"/>
        <v>103.1757936139844</v>
      </c>
      <c r="T76">
        <f t="shared" si="26"/>
        <v>105.14694329137309</v>
      </c>
      <c r="U76">
        <f t="shared" si="27"/>
        <v>103.10890359296218</v>
      </c>
    </row>
    <row r="77" spans="1:21" x14ac:dyDescent="0.35">
      <c r="A77" t="str">
        <f>'US Raw Data_nsa'!A80</f>
        <v>2017-Q1</v>
      </c>
      <c r="B77" s="7">
        <f>'US Raw Data_nsa'!B80</f>
        <v>4674704</v>
      </c>
      <c r="C77" s="7">
        <f>'US Raw Data_nsa'!C80</f>
        <v>910302</v>
      </c>
      <c r="D77" s="7">
        <f>'US Raw Data_nsa'!D80</f>
        <v>1050365</v>
      </c>
      <c r="E77" s="7">
        <f>'US Raw Data_nsa'!E80</f>
        <v>115167</v>
      </c>
      <c r="F77" s="7">
        <f t="shared" si="14"/>
        <v>935198</v>
      </c>
      <c r="G77" s="7">
        <f>'US Raw Data_nsa'!F80</f>
        <v>19846420</v>
      </c>
      <c r="H77" s="7">
        <f t="shared" si="25"/>
        <v>20116890</v>
      </c>
      <c r="I77" s="7">
        <f t="shared" si="17"/>
        <v>-270470</v>
      </c>
      <c r="J77" s="7">
        <f t="shared" si="18"/>
        <v>15221286</v>
      </c>
      <c r="K77" s="7">
        <f t="shared" si="19"/>
        <v>19846420</v>
      </c>
      <c r="M77">
        <f t="shared" si="15"/>
        <v>20.005501952637001</v>
      </c>
      <c r="N77">
        <f t="shared" si="16"/>
        <v>19.472933473434896</v>
      </c>
      <c r="O77" s="10">
        <f t="shared" si="20"/>
        <v>106.13730837289377</v>
      </c>
      <c r="P77">
        <f t="shared" si="21"/>
        <v>106.83471616598612</v>
      </c>
      <c r="Q77">
        <f t="shared" si="22"/>
        <v>2.3060118606423332</v>
      </c>
      <c r="R77">
        <f t="shared" si="23"/>
        <v>-5.7858208776427338</v>
      </c>
      <c r="S77" s="10">
        <f t="shared" si="24"/>
        <v>106.13730837289377</v>
      </c>
      <c r="T77">
        <f t="shared" si="26"/>
        <v>102.39001637991002</v>
      </c>
      <c r="U77">
        <f t="shared" si="27"/>
        <v>106.02107291855826</v>
      </c>
    </row>
    <row r="78" spans="1:21" x14ac:dyDescent="0.35">
      <c r="A78" t="str">
        <f>'US Raw Data_nsa'!A81</f>
        <v>2017-Q2</v>
      </c>
      <c r="B78" s="7">
        <f>'US Raw Data_nsa'!B81</f>
        <v>4889678</v>
      </c>
      <c r="C78" s="7">
        <f>'US Raw Data_nsa'!C81</f>
        <v>878039</v>
      </c>
      <c r="D78" s="7">
        <f>'US Raw Data_nsa'!D81</f>
        <v>1048672</v>
      </c>
      <c r="E78" s="7">
        <f>'US Raw Data_nsa'!E81</f>
        <v>117803</v>
      </c>
      <c r="F78" s="7">
        <f t="shared" si="14"/>
        <v>930869</v>
      </c>
      <c r="G78" s="7">
        <f>'US Raw Data_nsa'!F81</f>
        <v>19844554</v>
      </c>
      <c r="H78" s="7">
        <f t="shared" si="25"/>
        <v>20017053</v>
      </c>
      <c r="I78" s="7">
        <f t="shared" si="17"/>
        <v>-172499</v>
      </c>
      <c r="J78" s="7">
        <f t="shared" si="18"/>
        <v>15391919</v>
      </c>
      <c r="K78" s="7">
        <f t="shared" si="19"/>
        <v>19844554</v>
      </c>
      <c r="M78">
        <f t="shared" si="15"/>
        <v>19.037429458545123</v>
      </c>
      <c r="N78">
        <f t="shared" si="16"/>
        <v>17.956990214897587</v>
      </c>
      <c r="O78" s="10">
        <f t="shared" si="20"/>
        <v>101.46145615314546</v>
      </c>
      <c r="P78">
        <f t="shared" si="21"/>
        <v>101.47099665867569</v>
      </c>
      <c r="Q78">
        <f t="shared" si="22"/>
        <v>2.3742921897248976</v>
      </c>
      <c r="R78">
        <f t="shared" si="23"/>
        <v>-3.5278192142713691</v>
      </c>
      <c r="S78" s="10">
        <f t="shared" si="24"/>
        <v>101.46145615314546</v>
      </c>
      <c r="T78">
        <f t="shared" si="26"/>
        <v>106.03854043934426</v>
      </c>
      <c r="U78">
        <f t="shared" si="27"/>
        <v>101.37657104332112</v>
      </c>
    </row>
    <row r="79" spans="1:21" x14ac:dyDescent="0.35">
      <c r="A79" t="str">
        <f>'US Raw Data_nsa'!A82</f>
        <v>2017-Q3</v>
      </c>
      <c r="B79" s="7">
        <f>'US Raw Data_nsa'!B82</f>
        <v>4958224</v>
      </c>
      <c r="C79" s="7">
        <f>'US Raw Data_nsa'!C82</f>
        <v>836545</v>
      </c>
      <c r="D79" s="7">
        <f>'US Raw Data_nsa'!D82</f>
        <v>1065491</v>
      </c>
      <c r="E79" s="7">
        <f>'US Raw Data_nsa'!E82</f>
        <v>120364</v>
      </c>
      <c r="F79" s="7">
        <f t="shared" si="14"/>
        <v>945127</v>
      </c>
      <c r="G79" s="7">
        <f>'US Raw Data_nsa'!F82</f>
        <v>20244900</v>
      </c>
      <c r="H79" s="7">
        <f t="shared" si="25"/>
        <v>20073500</v>
      </c>
      <c r="I79" s="7">
        <f t="shared" si="17"/>
        <v>171400</v>
      </c>
      <c r="J79" s="7">
        <f t="shared" si="18"/>
        <v>15620865</v>
      </c>
      <c r="K79" s="7">
        <f t="shared" si="19"/>
        <v>20244900</v>
      </c>
      <c r="M79">
        <f t="shared" si="15"/>
        <v>19.061805194763288</v>
      </c>
      <c r="N79">
        <f t="shared" si="16"/>
        <v>16.871867830094001</v>
      </c>
      <c r="O79" s="10">
        <f t="shared" si="20"/>
        <v>102.07737689947045</v>
      </c>
      <c r="P79">
        <f t="shared" si="21"/>
        <v>100.05878112808135</v>
      </c>
      <c r="Q79">
        <f t="shared" si="22"/>
        <v>2.4261366619778908</v>
      </c>
      <c r="R79">
        <f t="shared" si="23"/>
        <v>3.4568829484105601</v>
      </c>
      <c r="S79" s="10">
        <f t="shared" si="24"/>
        <v>102.07737689947047</v>
      </c>
      <c r="T79">
        <f t="shared" si="26"/>
        <v>103.4031596607756</v>
      </c>
      <c r="U79">
        <f t="shared" si="27"/>
        <v>101.97364115130375</v>
      </c>
    </row>
    <row r="80" spans="1:21" x14ac:dyDescent="0.35">
      <c r="A80" t="str">
        <f>'US Raw Data_nsa'!A83</f>
        <v>2017-Q4</v>
      </c>
      <c r="B80" s="7">
        <f>'US Raw Data_nsa'!B83</f>
        <v>5089495</v>
      </c>
      <c r="C80" s="7">
        <f>'US Raw Data_nsa'!C83</f>
        <v>878861</v>
      </c>
      <c r="D80" s="7">
        <f>'US Raw Data_nsa'!D83</f>
        <v>1076017</v>
      </c>
      <c r="E80" s="7">
        <f>'US Raw Data_nsa'!E83</f>
        <v>123360</v>
      </c>
      <c r="F80" s="7">
        <f t="shared" si="14"/>
        <v>952657</v>
      </c>
      <c r="G80" s="7">
        <f>'US Raw Data_nsa'!F83</f>
        <v>20492747</v>
      </c>
      <c r="H80" s="7">
        <f t="shared" si="25"/>
        <v>20442056</v>
      </c>
      <c r="I80" s="7">
        <f t="shared" si="17"/>
        <v>50691</v>
      </c>
      <c r="J80" s="7">
        <f t="shared" si="18"/>
        <v>15818021</v>
      </c>
      <c r="K80" s="7">
        <f t="shared" si="19"/>
        <v>20492747</v>
      </c>
      <c r="M80">
        <f t="shared" si="15"/>
        <v>18.718104644959862</v>
      </c>
      <c r="N80">
        <f t="shared" si="16"/>
        <v>17.268137605007961</v>
      </c>
      <c r="O80" s="10">
        <f t="shared" si="20"/>
        <v>100.66198611060626</v>
      </c>
      <c r="P80">
        <f t="shared" si="21"/>
        <v>99.444542140231988</v>
      </c>
      <c r="Q80">
        <f t="shared" si="22"/>
        <v>2.4373545930086098</v>
      </c>
      <c r="R80">
        <f t="shared" si="23"/>
        <v>0.99599272619385615</v>
      </c>
      <c r="S80" s="10">
        <f t="shared" si="24"/>
        <v>100.66198611060625</v>
      </c>
      <c r="T80">
        <f t="shared" si="26"/>
        <v>103.20649589940503</v>
      </c>
      <c r="U80">
        <f t="shared" si="27"/>
        <v>100.54453829394303</v>
      </c>
    </row>
    <row r="81" spans="1:21" x14ac:dyDescent="0.35">
      <c r="A81" t="str">
        <f>'US Raw Data_nsa'!A84</f>
        <v>2018-Q1</v>
      </c>
      <c r="B81" s="7">
        <f>'US Raw Data_nsa'!B84</f>
        <v>4962408</v>
      </c>
      <c r="C81" s="7">
        <f>'US Raw Data_nsa'!C84</f>
        <v>909578</v>
      </c>
      <c r="D81" s="7">
        <f>'US Raw Data_nsa'!D84</f>
        <v>1101431</v>
      </c>
      <c r="E81" s="7">
        <f>'US Raw Data_nsa'!E84</f>
        <v>126905</v>
      </c>
      <c r="F81" s="7">
        <f t="shared" si="14"/>
        <v>974526</v>
      </c>
      <c r="G81" s="7">
        <f>'US Raw Data_nsa'!F84</f>
        <v>21089643</v>
      </c>
      <c r="H81" s="7">
        <f t="shared" si="25"/>
        <v>20684600</v>
      </c>
      <c r="I81" s="7">
        <f t="shared" si="17"/>
        <v>405043</v>
      </c>
      <c r="J81" s="7">
        <f t="shared" si="18"/>
        <v>16009874</v>
      </c>
      <c r="K81" s="7">
        <f t="shared" si="19"/>
        <v>21089643</v>
      </c>
      <c r="M81">
        <f t="shared" si="15"/>
        <v>19.638167599278415</v>
      </c>
      <c r="N81">
        <f t="shared" si="16"/>
        <v>18.329367516737843</v>
      </c>
      <c r="O81" s="10">
        <f t="shared" si="20"/>
        <v>106.24702261482732</v>
      </c>
      <c r="P81">
        <f t="shared" si="21"/>
        <v>103.23993412069302</v>
      </c>
      <c r="Q81">
        <f t="shared" si="22"/>
        <v>2.4770715219389574</v>
      </c>
      <c r="R81">
        <f t="shared" si="23"/>
        <v>8.1622268866243974</v>
      </c>
      <c r="S81" s="10">
        <f t="shared" si="24"/>
        <v>106.24702261482733</v>
      </c>
      <c r="T81">
        <f t="shared" si="26"/>
        <v>103.53493506747036</v>
      </c>
      <c r="U81">
        <f t="shared" si="27"/>
        <v>106.18645914467633</v>
      </c>
    </row>
    <row r="82" spans="1:21" x14ac:dyDescent="0.35">
      <c r="A82" t="str">
        <f>'US Raw Data_nsa'!A85</f>
        <v>2018-Q2</v>
      </c>
      <c r="B82" s="7">
        <f>'US Raw Data_nsa'!B85</f>
        <v>5161541</v>
      </c>
      <c r="C82" s="7">
        <f>'US Raw Data_nsa'!C85</f>
        <v>894362</v>
      </c>
      <c r="D82" s="7">
        <f>'US Raw Data_nsa'!D85</f>
        <v>1111292</v>
      </c>
      <c r="E82" s="7">
        <f>'US Raw Data_nsa'!E85</f>
        <v>132944</v>
      </c>
      <c r="F82" s="7">
        <f t="shared" si="14"/>
        <v>978348</v>
      </c>
      <c r="G82" s="7">
        <f>'US Raw Data_nsa'!F85</f>
        <v>21195070</v>
      </c>
      <c r="H82" s="7">
        <f t="shared" si="25"/>
        <v>21306573</v>
      </c>
      <c r="I82" s="7">
        <f t="shared" si="17"/>
        <v>-111503</v>
      </c>
      <c r="J82" s="7">
        <f t="shared" si="18"/>
        <v>16226804</v>
      </c>
      <c r="K82" s="7">
        <f t="shared" si="19"/>
        <v>21195070</v>
      </c>
      <c r="M82">
        <f t="shared" si="15"/>
        <v>18.954571900136024</v>
      </c>
      <c r="N82">
        <f t="shared" si="16"/>
        <v>17.327422178764056</v>
      </c>
      <c r="O82" s="10">
        <f t="shared" si="20"/>
        <v>102.65863431095481</v>
      </c>
      <c r="P82">
        <f t="shared" si="21"/>
        <v>102.14799708071679</v>
      </c>
      <c r="Q82">
        <f t="shared" si="22"/>
        <v>2.5215030904031894</v>
      </c>
      <c r="R82">
        <f t="shared" si="23"/>
        <v>-2.1602657035951087</v>
      </c>
      <c r="S82" s="10">
        <f t="shared" si="24"/>
        <v>102.65863431095481</v>
      </c>
      <c r="T82">
        <f t="shared" si="26"/>
        <v>106.72255386135123</v>
      </c>
      <c r="U82">
        <f t="shared" si="27"/>
        <v>102.60518226281651</v>
      </c>
    </row>
    <row r="83" spans="1:21" x14ac:dyDescent="0.35">
      <c r="A83" t="str">
        <f>'US Raw Data_nsa'!A86</f>
        <v>2018-Q3</v>
      </c>
      <c r="B83" s="7">
        <f>'US Raw Data_nsa'!B86</f>
        <v>5221627</v>
      </c>
      <c r="C83" s="7">
        <f>'US Raw Data_nsa'!C86</f>
        <v>865428</v>
      </c>
      <c r="D83" s="7">
        <f>'US Raw Data_nsa'!D86</f>
        <v>1131031</v>
      </c>
      <c r="E83" s="7">
        <f>'US Raw Data_nsa'!E86</f>
        <v>137973</v>
      </c>
      <c r="F83" s="7">
        <f t="shared" si="14"/>
        <v>993058</v>
      </c>
      <c r="G83" s="7">
        <f>'US Raw Data_nsa'!F86</f>
        <v>21516058</v>
      </c>
      <c r="H83" s="7">
        <f t="shared" si="25"/>
        <v>21460673</v>
      </c>
      <c r="I83" s="7">
        <f t="shared" si="17"/>
        <v>55385</v>
      </c>
      <c r="J83" s="7">
        <f t="shared" si="18"/>
        <v>16492407</v>
      </c>
      <c r="K83" s="7">
        <f t="shared" si="19"/>
        <v>21516058</v>
      </c>
      <c r="M83">
        <f t="shared" si="15"/>
        <v>19.018171922276334</v>
      </c>
      <c r="N83">
        <f t="shared" si="16"/>
        <v>16.573914605543443</v>
      </c>
      <c r="O83" s="10">
        <f t="shared" si="20"/>
        <v>103.01414674008694</v>
      </c>
      <c r="P83">
        <f t="shared" si="21"/>
        <v>101.47732689447179</v>
      </c>
      <c r="Q83">
        <f t="shared" si="22"/>
        <v>2.6038696734665177</v>
      </c>
      <c r="R83">
        <f t="shared" si="23"/>
        <v>1.0606847252781557</v>
      </c>
      <c r="S83" s="10">
        <f t="shared" si="24"/>
        <v>103.01414674008697</v>
      </c>
      <c r="T83">
        <f t="shared" si="26"/>
        <v>104.14934407940591</v>
      </c>
      <c r="U83">
        <f t="shared" si="27"/>
        <v>102.95088285489578</v>
      </c>
    </row>
    <row r="84" spans="1:21" x14ac:dyDescent="0.35">
      <c r="A84" t="str">
        <f>'US Raw Data_nsa'!A87</f>
        <v>2018-Q4</v>
      </c>
      <c r="B84" s="7">
        <f>'US Raw Data_nsa'!B87</f>
        <v>5310940</v>
      </c>
      <c r="C84" s="7">
        <f>'US Raw Data_nsa'!C87</f>
        <v>913727</v>
      </c>
      <c r="D84" s="7">
        <f>'US Raw Data_nsa'!D87</f>
        <v>1145725</v>
      </c>
      <c r="E84" s="7">
        <f>'US Raw Data_nsa'!E87</f>
        <v>142807</v>
      </c>
      <c r="F84" s="7">
        <f t="shared" si="14"/>
        <v>1002918</v>
      </c>
      <c r="G84" s="7">
        <f>'US Raw Data_nsa'!F87</f>
        <v>21974096</v>
      </c>
      <c r="H84" s="7">
        <f t="shared" si="25"/>
        <v>21748056</v>
      </c>
      <c r="I84" s="7">
        <f t="shared" si="17"/>
        <v>226040</v>
      </c>
      <c r="J84" s="7">
        <f t="shared" si="18"/>
        <v>16724405</v>
      </c>
      <c r="K84" s="7">
        <f t="shared" si="19"/>
        <v>21974096</v>
      </c>
      <c r="M84">
        <f t="shared" si="15"/>
        <v>18.88400170214689</v>
      </c>
      <c r="N84">
        <f t="shared" si="16"/>
        <v>17.204619144633529</v>
      </c>
      <c r="O84" s="10">
        <f t="shared" si="20"/>
        <v>103.43788481888329</v>
      </c>
      <c r="P84">
        <f t="shared" si="21"/>
        <v>101.28177874349927</v>
      </c>
      <c r="Q84">
        <f t="shared" si="22"/>
        <v>2.6548915233450283</v>
      </c>
      <c r="R84">
        <f t="shared" si="23"/>
        <v>4.2561203854684857</v>
      </c>
      <c r="S84" s="10">
        <f t="shared" si="24"/>
        <v>103.43788481888328</v>
      </c>
      <c r="T84">
        <f t="shared" si="26"/>
        <v>105.1180671561721</v>
      </c>
      <c r="U84">
        <f t="shared" si="27"/>
        <v>103.35031795698718</v>
      </c>
    </row>
    <row r="85" spans="1:21" x14ac:dyDescent="0.35">
      <c r="A85" t="str">
        <f>'US Raw Data_nsa'!A88</f>
        <v>2019-Q1</v>
      </c>
      <c r="B85" s="7">
        <f>'US Raw Data_nsa'!B88</f>
        <v>5141827</v>
      </c>
      <c r="C85" s="7">
        <f>'US Raw Data_nsa'!C88</f>
        <v>934482</v>
      </c>
      <c r="D85" s="7">
        <f>'US Raw Data_nsa'!D88</f>
        <v>1166430</v>
      </c>
      <c r="E85" s="7">
        <f>'US Raw Data_nsa'!E88</f>
        <v>144929</v>
      </c>
      <c r="F85" s="7">
        <f t="shared" si="14"/>
        <v>1021501</v>
      </c>
      <c r="G85" s="7">
        <f>'US Raw Data_nsa'!F88</f>
        <v>22027880</v>
      </c>
      <c r="H85" s="7">
        <f t="shared" si="25"/>
        <v>22206044</v>
      </c>
      <c r="I85" s="7">
        <f t="shared" si="17"/>
        <v>-178164</v>
      </c>
      <c r="J85" s="7">
        <f t="shared" si="18"/>
        <v>16956353</v>
      </c>
      <c r="K85" s="7">
        <f t="shared" si="19"/>
        <v>22027880</v>
      </c>
      <c r="M85">
        <f t="shared" si="15"/>
        <v>19.86649881452643</v>
      </c>
      <c r="N85">
        <f t="shared" si="16"/>
        <v>18.174123711280057</v>
      </c>
      <c r="O85" s="10">
        <f t="shared" si="20"/>
        <v>107.10142523270424</v>
      </c>
      <c r="P85">
        <f t="shared" si="21"/>
        <v>106.83992285232468</v>
      </c>
      <c r="Q85">
        <f t="shared" si="22"/>
        <v>2.6381790632024176</v>
      </c>
      <c r="R85">
        <f t="shared" si="23"/>
        <v>-3.464994057559696</v>
      </c>
      <c r="S85" s="10">
        <f t="shared" si="24"/>
        <v>107.10142523270427</v>
      </c>
      <c r="T85">
        <f t="shared" si="26"/>
        <v>103.58880483093246</v>
      </c>
      <c r="U85">
        <f t="shared" si="27"/>
        <v>106.99580657396534</v>
      </c>
    </row>
    <row r="86" spans="1:21" x14ac:dyDescent="0.35">
      <c r="A86" t="str">
        <f>'US Raw Data_nsa'!A89</f>
        <v>2019-Q2</v>
      </c>
      <c r="B86" s="7">
        <f>'US Raw Data_nsa'!B89</f>
        <v>5376008</v>
      </c>
      <c r="C86" s="7">
        <f>'US Raw Data_nsa'!C89</f>
        <v>933189</v>
      </c>
      <c r="D86" s="7">
        <f>'US Raw Data_nsa'!D89</f>
        <v>1186062</v>
      </c>
      <c r="E86" s="7">
        <f>'US Raw Data_nsa'!E89</f>
        <v>146602</v>
      </c>
      <c r="F86" s="7">
        <f t="shared" si="14"/>
        <v>1039460</v>
      </c>
      <c r="G86" s="7">
        <f>'US Raw Data_nsa'!F89</f>
        <v>22023283</v>
      </c>
      <c r="H86" s="7">
        <f t="shared" si="25"/>
        <v>22280753</v>
      </c>
      <c r="I86" s="7">
        <f t="shared" si="17"/>
        <v>-257470</v>
      </c>
      <c r="J86" s="7">
        <f t="shared" si="18"/>
        <v>17209226</v>
      </c>
      <c r="K86" s="7">
        <f t="shared" si="19"/>
        <v>22023283</v>
      </c>
      <c r="M86">
        <f t="shared" si="15"/>
        <v>19.335164679814465</v>
      </c>
      <c r="N86">
        <f t="shared" si="16"/>
        <v>17.358400508332576</v>
      </c>
      <c r="O86" s="10">
        <f t="shared" si="20"/>
        <v>102.414668095732</v>
      </c>
      <c r="P86">
        <f t="shared" si="21"/>
        <v>102.43604548207517</v>
      </c>
      <c r="Q86">
        <f t="shared" si="22"/>
        <v>2.662117280464575</v>
      </c>
      <c r="R86">
        <f t="shared" si="23"/>
        <v>-4.7892413850574629</v>
      </c>
      <c r="S86" s="10">
        <f t="shared" si="24"/>
        <v>102.414668095732</v>
      </c>
      <c r="T86">
        <f t="shared" si="26"/>
        <v>107.00477573461595</v>
      </c>
      <c r="U86">
        <f t="shared" si="27"/>
        <v>102.3436060737248</v>
      </c>
    </row>
    <row r="87" spans="1:21" x14ac:dyDescent="0.35">
      <c r="A87" t="str">
        <f>'US Raw Data_nsa'!A90</f>
        <v>2019-Q3</v>
      </c>
      <c r="B87" s="7">
        <f>'US Raw Data_nsa'!B90</f>
        <v>5448234</v>
      </c>
      <c r="C87" s="7">
        <f>'US Raw Data_nsa'!C90</f>
        <v>889161</v>
      </c>
      <c r="D87" s="7">
        <f>'US Raw Data_nsa'!D90</f>
        <v>1197650</v>
      </c>
      <c r="E87" s="7">
        <f>'US Raw Data_nsa'!E90</f>
        <v>144564</v>
      </c>
      <c r="F87" s="7">
        <f t="shared" si="14"/>
        <v>1053086</v>
      </c>
      <c r="G87" s="7">
        <f>'US Raw Data_nsa'!F90</f>
        <v>22719402</v>
      </c>
      <c r="H87" s="7">
        <f t="shared" si="25"/>
        <v>22331772</v>
      </c>
      <c r="I87" s="7">
        <f t="shared" si="17"/>
        <v>387630</v>
      </c>
      <c r="J87" s="7">
        <f t="shared" si="18"/>
        <v>17517715</v>
      </c>
      <c r="K87" s="7">
        <f t="shared" si="19"/>
        <v>22719402</v>
      </c>
      <c r="M87">
        <f t="shared" si="15"/>
        <v>19.328942185669707</v>
      </c>
      <c r="N87">
        <f t="shared" si="16"/>
        <v>16.320169067628154</v>
      </c>
      <c r="O87" s="10">
        <f t="shared" si="20"/>
        <v>104.25122158850006</v>
      </c>
      <c r="P87">
        <f t="shared" si="21"/>
        <v>101.05698011502443</v>
      </c>
      <c r="Q87">
        <f t="shared" si="22"/>
        <v>2.6256575824775994</v>
      </c>
      <c r="R87">
        <f t="shared" si="23"/>
        <v>7.1147825148479305</v>
      </c>
      <c r="S87" s="10">
        <f t="shared" si="24"/>
        <v>104.25122158850006</v>
      </c>
      <c r="T87">
        <f t="shared" si="26"/>
        <v>105.54629314521111</v>
      </c>
      <c r="U87">
        <f t="shared" si="27"/>
        <v>104.14708992289981</v>
      </c>
    </row>
    <row r="88" spans="1:21" x14ac:dyDescent="0.35">
      <c r="A88" t="str">
        <f>'US Raw Data_nsa'!A91</f>
        <v>2019-Q4</v>
      </c>
      <c r="B88" s="7">
        <f>'US Raw Data_nsa'!B91</f>
        <v>5573410</v>
      </c>
      <c r="C88" s="7">
        <f>'US Raw Data_nsa'!C91</f>
        <v>947498</v>
      </c>
      <c r="D88" s="7">
        <f>'US Raw Data_nsa'!D91</f>
        <v>1197979</v>
      </c>
      <c r="E88" s="7">
        <f>'US Raw Data_nsa'!E91</f>
        <v>141060</v>
      </c>
      <c r="F88" s="7">
        <f t="shared" si="14"/>
        <v>1056919</v>
      </c>
      <c r="G88" s="7">
        <f>'US Raw Data_nsa'!F91</f>
        <v>23201380</v>
      </c>
      <c r="H88" s="7">
        <f t="shared" si="25"/>
        <v>22969883</v>
      </c>
      <c r="I88" s="7">
        <f t="shared" si="17"/>
        <v>231497</v>
      </c>
      <c r="J88" s="7">
        <f t="shared" si="18"/>
        <v>17768196</v>
      </c>
      <c r="K88" s="7">
        <f t="shared" si="19"/>
        <v>23201380</v>
      </c>
      <c r="M88">
        <f t="shared" si="15"/>
        <v>18.963596792627854</v>
      </c>
      <c r="N88">
        <f t="shared" si="16"/>
        <v>17.000328344765592</v>
      </c>
      <c r="O88" s="10">
        <f t="shared" si="20"/>
        <v>104.07174422839877</v>
      </c>
      <c r="P88">
        <f t="shared" si="21"/>
        <v>101.90979131267932</v>
      </c>
      <c r="Q88">
        <f t="shared" si="22"/>
        <v>2.4835160714177249</v>
      </c>
      <c r="R88">
        <f t="shared" si="23"/>
        <v>4.153597169416928</v>
      </c>
      <c r="S88" s="10">
        <f t="shared" si="24"/>
        <v>104.07174422839879</v>
      </c>
      <c r="T88">
        <f t="shared" si="26"/>
        <v>106.32293375625689</v>
      </c>
      <c r="U88">
        <f t="shared" si="27"/>
        <v>103.93497386170881</v>
      </c>
    </row>
    <row r="89" spans="1:21" x14ac:dyDescent="0.35">
      <c r="A89" t="str">
        <f>'US Raw Data_nsa'!A92</f>
        <v>2020-Q1</v>
      </c>
      <c r="B89" s="7">
        <f>'US Raw Data_nsa'!B92</f>
        <v>5312063</v>
      </c>
      <c r="C89" s="7">
        <f>'US Raw Data_nsa'!C92</f>
        <v>976829</v>
      </c>
      <c r="D89" s="7">
        <f>'US Raw Data_nsa'!D92</f>
        <v>1213530</v>
      </c>
      <c r="E89" s="7">
        <f>'US Raw Data_nsa'!E92</f>
        <v>136031</v>
      </c>
      <c r="F89" s="7">
        <f t="shared" si="14"/>
        <v>1077499</v>
      </c>
      <c r="G89" s="7">
        <f>'US Raw Data_nsa'!F92</f>
        <v>23223813</v>
      </c>
      <c r="H89" s="7">
        <f t="shared" si="25"/>
        <v>23438081</v>
      </c>
      <c r="I89" s="7">
        <f t="shared" si="17"/>
        <v>-214268</v>
      </c>
      <c r="J89" s="7">
        <f t="shared" si="18"/>
        <v>18004897</v>
      </c>
      <c r="K89" s="7">
        <f t="shared" si="19"/>
        <v>23223813</v>
      </c>
      <c r="M89">
        <f t="shared" si="15"/>
        <v>20.284002655841995</v>
      </c>
      <c r="N89">
        <f t="shared" si="16"/>
        <v>18.388882059568946</v>
      </c>
      <c r="O89" s="10">
        <f t="shared" si="20"/>
        <v>109.29752245031733</v>
      </c>
      <c r="P89">
        <f t="shared" si="21"/>
        <v>109.19194670695735</v>
      </c>
      <c r="Q89">
        <f t="shared" si="22"/>
        <v>2.3452225686575541</v>
      </c>
      <c r="R89">
        <f t="shared" si="23"/>
        <v>-4.033611800161256</v>
      </c>
      <c r="S89" s="10">
        <f t="shared" si="24"/>
        <v>109.29752245031735</v>
      </c>
      <c r="T89">
        <f t="shared" si="26"/>
        <v>104.00972767667005</v>
      </c>
      <c r="U89">
        <f t="shared" si="27"/>
        <v>109.12687901676424</v>
      </c>
    </row>
    <row r="90" spans="1:21" x14ac:dyDescent="0.35">
      <c r="A90" t="str">
        <f>'US Raw Data_nsa'!A93</f>
        <v>2020-Q2</v>
      </c>
      <c r="B90" s="7">
        <f>'US Raw Data_nsa'!B93</f>
        <v>5022564</v>
      </c>
      <c r="C90" s="7">
        <f>'US Raw Data_nsa'!C93</f>
        <v>885730</v>
      </c>
      <c r="D90" s="7">
        <f>'US Raw Data_nsa'!D93</f>
        <v>2227478</v>
      </c>
      <c r="E90" s="7">
        <f>'US Raw Data_nsa'!E93</f>
        <v>128684</v>
      </c>
      <c r="F90" s="7">
        <f t="shared" si="14"/>
        <v>2098794</v>
      </c>
      <c r="G90" s="7">
        <f>'US Raw Data_nsa'!F93</f>
        <v>26477241</v>
      </c>
      <c r="H90" s="7">
        <f t="shared" si="25"/>
        <v>24565561</v>
      </c>
      <c r="I90" s="7">
        <f t="shared" si="17"/>
        <v>1911680</v>
      </c>
      <c r="J90" s="7">
        <f t="shared" si="18"/>
        <v>19346645</v>
      </c>
      <c r="K90" s="7">
        <f t="shared" si="19"/>
        <v>26477241</v>
      </c>
      <c r="M90">
        <f t="shared" si="15"/>
        <v>41.787302262350465</v>
      </c>
      <c r="N90">
        <f t="shared" si="16"/>
        <v>17.635016696651352</v>
      </c>
      <c r="O90" s="10">
        <f t="shared" si="20"/>
        <v>131.79145651503893</v>
      </c>
      <c r="P90">
        <f t="shared" si="21"/>
        <v>115.59739706651821</v>
      </c>
      <c r="Q90">
        <f t="shared" si="22"/>
        <v>2.2164146774691993</v>
      </c>
      <c r="R90">
        <f t="shared" si="23"/>
        <v>38.061834553029094</v>
      </c>
      <c r="S90" s="10">
        <f t="shared" si="24"/>
        <v>131.79145651503893</v>
      </c>
      <c r="T90">
        <f t="shared" si="26"/>
        <v>125.28508508734419</v>
      </c>
      <c r="U90">
        <f t="shared" si="27"/>
        <v>132.50647775604907</v>
      </c>
    </row>
    <row r="91" spans="1:21" x14ac:dyDescent="0.35">
      <c r="A91" t="str">
        <f>'US Raw Data_nsa'!A94</f>
        <v>2020-Q3</v>
      </c>
      <c r="B91" s="7">
        <f>'US Raw Data_nsa'!B94</f>
        <v>5422397</v>
      </c>
      <c r="C91" s="7">
        <f>'US Raw Data_nsa'!C94</f>
        <v>894640</v>
      </c>
      <c r="D91" s="7">
        <f>'US Raw Data_nsa'!D94</f>
        <v>1790001</v>
      </c>
      <c r="E91" s="7">
        <f>'US Raw Data_nsa'!E94</f>
        <v>127003</v>
      </c>
      <c r="F91" s="7">
        <f t="shared" si="14"/>
        <v>1662998</v>
      </c>
      <c r="G91" s="7">
        <f>'US Raw Data_nsa'!F94</f>
        <v>26945391</v>
      </c>
      <c r="H91" s="7">
        <f t="shared" si="25"/>
        <v>27372602</v>
      </c>
      <c r="I91" s="7">
        <f t="shared" si="17"/>
        <v>-427211</v>
      </c>
      <c r="J91" s="7">
        <f t="shared" si="18"/>
        <v>20242006</v>
      </c>
      <c r="K91" s="7">
        <f t="shared" si="19"/>
        <v>26945391</v>
      </c>
      <c r="M91">
        <f t="shared" si="15"/>
        <v>30.669056507666259</v>
      </c>
      <c r="N91">
        <f t="shared" si="16"/>
        <v>16.498976375208233</v>
      </c>
      <c r="O91" s="10">
        <f t="shared" si="20"/>
        <v>124.23191717611233</v>
      </c>
      <c r="P91">
        <f t="shared" si="21"/>
        <v>122.07350826580938</v>
      </c>
      <c r="Q91">
        <f t="shared" si="22"/>
        <v>1.9186742304456874</v>
      </c>
      <c r="R91">
        <f t="shared" si="23"/>
        <v>-7.8786374365432854</v>
      </c>
      <c r="S91" s="10">
        <f t="shared" si="24"/>
        <v>124.23191717611232</v>
      </c>
      <c r="T91">
        <f t="shared" si="26"/>
        <v>134.71493034062186</v>
      </c>
      <c r="U91">
        <f t="shared" si="27"/>
        <v>124.78141297867255</v>
      </c>
    </row>
    <row r="92" spans="1:21" x14ac:dyDescent="0.35">
      <c r="A92" t="str">
        <f>'US Raw Data_nsa'!A95</f>
        <v>2020-Q4</v>
      </c>
      <c r="B92" s="7">
        <f>'US Raw Data_nsa'!B95</f>
        <v>5621313</v>
      </c>
      <c r="C92" s="7">
        <f>'US Raw Data_nsa'!C95</f>
        <v>1009465</v>
      </c>
      <c r="D92" s="7">
        <f>'US Raw Data_nsa'!D95</f>
        <v>1484103</v>
      </c>
      <c r="E92" s="7">
        <f>'US Raw Data_nsa'!E95</f>
        <v>129178</v>
      </c>
      <c r="F92" s="7">
        <f t="shared" si="14"/>
        <v>1354925</v>
      </c>
      <c r="G92" s="7">
        <f>'US Raw Data_nsa'!F95</f>
        <v>27747798</v>
      </c>
      <c r="H92" s="7">
        <f t="shared" si="25"/>
        <v>27420029</v>
      </c>
      <c r="I92" s="7">
        <f t="shared" si="17"/>
        <v>327769</v>
      </c>
      <c r="J92" s="7">
        <f t="shared" si="18"/>
        <v>20716644</v>
      </c>
      <c r="K92" s="7">
        <f t="shared" si="19"/>
        <v>27747798</v>
      </c>
      <c r="M92">
        <f t="shared" si="15"/>
        <v>24.103354500985802</v>
      </c>
      <c r="N92">
        <f t="shared" si="16"/>
        <v>17.957815193710083</v>
      </c>
      <c r="O92" s="10">
        <f t="shared" si="20"/>
        <v>123.40443415977727</v>
      </c>
      <c r="P92">
        <f t="shared" si="21"/>
        <v>119.8358417330613</v>
      </c>
      <c r="Q92">
        <f t="shared" si="22"/>
        <v>1.9176266545918743</v>
      </c>
      <c r="R92">
        <f t="shared" si="23"/>
        <v>5.8308263567604222</v>
      </c>
      <c r="S92" s="10">
        <f t="shared" si="24"/>
        <v>123.40443415977727</v>
      </c>
      <c r="T92">
        <f t="shared" si="26"/>
        <v>128.37371480349543</v>
      </c>
      <c r="U92">
        <f t="shared" si="27"/>
        <v>123.83107754884476</v>
      </c>
    </row>
    <row r="93" spans="1:21" x14ac:dyDescent="0.35">
      <c r="A93" t="str">
        <f>'US Raw Data_nsa'!A96</f>
        <v>2021-Q1</v>
      </c>
      <c r="B93" s="7">
        <f>'US Raw Data_nsa'!B96</f>
        <v>5529570</v>
      </c>
      <c r="C93" s="7">
        <f>'US Raw Data_nsa'!C96</f>
        <v>1035292</v>
      </c>
      <c r="D93" s="7">
        <f>'US Raw Data_nsa'!D96</f>
        <v>2081003</v>
      </c>
      <c r="E93" s="7">
        <f>'US Raw Data_nsa'!E96</f>
        <v>133380</v>
      </c>
      <c r="F93" s="7">
        <f t="shared" si="14"/>
        <v>1947623</v>
      </c>
      <c r="G93" s="7">
        <f>'US Raw Data_nsa'!F96</f>
        <v>28132570</v>
      </c>
      <c r="H93" s="7">
        <f t="shared" si="25"/>
        <v>28793509</v>
      </c>
      <c r="I93" s="7">
        <f t="shared" si="17"/>
        <v>-660939</v>
      </c>
      <c r="J93" s="7">
        <f t="shared" si="18"/>
        <v>21762355</v>
      </c>
      <c r="K93" s="7">
        <f t="shared" si="19"/>
        <v>28132570</v>
      </c>
      <c r="M93">
        <f t="shared" si="15"/>
        <v>35.221961201323069</v>
      </c>
      <c r="N93">
        <f t="shared" si="16"/>
        <v>18.722830165817594</v>
      </c>
      <c r="O93" s="10">
        <f t="shared" si="20"/>
        <v>127.19149047755974</v>
      </c>
      <c r="P93">
        <f t="shared" si="21"/>
        <v>125.45187962174273</v>
      </c>
      <c r="Q93">
        <f t="shared" si="22"/>
        <v>1.9227471671806176</v>
      </c>
      <c r="R93">
        <f t="shared" si="23"/>
        <v>-11.952810073839377</v>
      </c>
      <c r="S93" s="10">
        <f t="shared" si="24"/>
        <v>127.19149047755974</v>
      </c>
      <c r="T93">
        <f t="shared" si="26"/>
        <v>125.5628974231762</v>
      </c>
      <c r="U93">
        <f t="shared" si="27"/>
        <v>127.64615469242035</v>
      </c>
    </row>
    <row r="94" spans="1:21" x14ac:dyDescent="0.35">
      <c r="A94" t="str">
        <f>'US Raw Data_nsa'!A97</f>
        <v>2021-Q2</v>
      </c>
      <c r="B94" s="7">
        <f>'US Raw Data_nsa'!B97</f>
        <v>5882736</v>
      </c>
      <c r="C94" s="7">
        <f>'US Raw Data_nsa'!C97</f>
        <v>1099472</v>
      </c>
      <c r="D94" s="7">
        <f>'US Raw Data_nsa'!D97</f>
        <v>1948826</v>
      </c>
      <c r="E94" s="7">
        <f>'US Raw Data_nsa'!E97</f>
        <v>140159</v>
      </c>
      <c r="F94" s="7">
        <f t="shared" si="14"/>
        <v>1808667</v>
      </c>
      <c r="G94" s="7">
        <f>'US Raw Data_nsa'!F97</f>
        <v>28529436</v>
      </c>
      <c r="H94" s="7">
        <f t="shared" si="25"/>
        <v>28981924</v>
      </c>
      <c r="I94" s="7">
        <f t="shared" si="17"/>
        <v>-452488</v>
      </c>
      <c r="J94" s="7">
        <f t="shared" si="18"/>
        <v>22611709</v>
      </c>
      <c r="K94" s="7">
        <f t="shared" si="19"/>
        <v>28529436</v>
      </c>
      <c r="M94">
        <f t="shared" si="15"/>
        <v>30.745336863663439</v>
      </c>
      <c r="N94">
        <f t="shared" si="16"/>
        <v>18.689806919773385</v>
      </c>
      <c r="O94" s="10">
        <f t="shared" si="20"/>
        <v>121.24220770743409</v>
      </c>
      <c r="P94">
        <f t="shared" si="21"/>
        <v>119.55563703691615</v>
      </c>
      <c r="Q94">
        <f t="shared" si="22"/>
        <v>1.9928360615471674</v>
      </c>
      <c r="R94">
        <f t="shared" si="23"/>
        <v>-7.6917951103024169</v>
      </c>
      <c r="S94" s="10">
        <f t="shared" si="24"/>
        <v>121.24220770743409</v>
      </c>
      <c r="T94">
        <f t="shared" si="26"/>
        <v>129.37303305128947</v>
      </c>
      <c r="U94">
        <f t="shared" si="27"/>
        <v>121.60621220626231</v>
      </c>
    </row>
    <row r="95" spans="1:21" x14ac:dyDescent="0.35">
      <c r="A95" t="str">
        <f>'US Raw Data_nsa'!A98</f>
        <v>2021-Q3</v>
      </c>
      <c r="B95" s="7">
        <f>'US Raw Data_nsa'!B98</f>
        <v>6009053</v>
      </c>
      <c r="C95" s="7">
        <f>'US Raw Data_nsa'!C98</f>
        <v>1088572</v>
      </c>
      <c r="D95" s="7">
        <f>'US Raw Data_nsa'!D98</f>
        <v>1697967</v>
      </c>
      <c r="E95" s="7">
        <f>'US Raw Data_nsa'!E98</f>
        <v>146980</v>
      </c>
      <c r="F95" s="7">
        <f t="shared" si="14"/>
        <v>1550987</v>
      </c>
      <c r="G95" s="7">
        <f>'US Raw Data_nsa'!F98</f>
        <v>28428919</v>
      </c>
      <c r="H95" s="7">
        <f t="shared" si="25"/>
        <v>29138831</v>
      </c>
      <c r="I95" s="7">
        <f t="shared" si="17"/>
        <v>-709912</v>
      </c>
      <c r="J95" s="7">
        <f t="shared" si="18"/>
        <v>23221104</v>
      </c>
      <c r="K95" s="7">
        <f t="shared" si="19"/>
        <v>28428919</v>
      </c>
      <c r="M95">
        <f t="shared" si="15"/>
        <v>25.810839078969682</v>
      </c>
      <c r="N95">
        <f t="shared" si="16"/>
        <v>18.115533346102954</v>
      </c>
      <c r="O95" s="10">
        <f t="shared" si="20"/>
        <v>118.27537134387066</v>
      </c>
      <c r="P95">
        <f t="shared" si="21"/>
        <v>118.6935611984118</v>
      </c>
      <c r="Q95">
        <f t="shared" si="22"/>
        <v>2.0607487648897092</v>
      </c>
      <c r="R95">
        <f t="shared" si="23"/>
        <v>-11.814041247431168</v>
      </c>
      <c r="S95" s="10">
        <f t="shared" si="24"/>
        <v>118.27537134387067</v>
      </c>
      <c r="T95">
        <f t="shared" si="26"/>
        <v>121.20302795663864</v>
      </c>
      <c r="U95">
        <f t="shared" si="27"/>
        <v>118.65520504970161</v>
      </c>
    </row>
    <row r="96" spans="1:21" x14ac:dyDescent="0.35">
      <c r="A96" t="str">
        <f>'US Raw Data_nsa'!A99</f>
        <v>2021-Q4</v>
      </c>
      <c r="B96" s="7">
        <f>'US Raw Data_nsa'!B99</f>
        <v>6304784</v>
      </c>
      <c r="C96" s="7">
        <f>'US Raw Data_nsa'!C99</f>
        <v>1205752</v>
      </c>
      <c r="D96" s="7">
        <f>'US Raw Data_nsa'!D99</f>
        <v>1556261</v>
      </c>
      <c r="E96" s="7">
        <f>'US Raw Data_nsa'!E99</f>
        <v>153070</v>
      </c>
      <c r="F96" s="7">
        <f t="shared" si="14"/>
        <v>1403191</v>
      </c>
      <c r="G96" s="7">
        <f>'US Raw Data_nsa'!F99</f>
        <v>29617215</v>
      </c>
      <c r="H96" s="7">
        <f t="shared" si="25"/>
        <v>28779428</v>
      </c>
      <c r="I96" s="7">
        <f t="shared" si="17"/>
        <v>837787</v>
      </c>
      <c r="J96" s="7">
        <f t="shared" si="18"/>
        <v>23571613</v>
      </c>
      <c r="K96" s="7">
        <f t="shared" si="19"/>
        <v>29617215</v>
      </c>
      <c r="M96">
        <f t="shared" si="15"/>
        <v>22.255972607467598</v>
      </c>
      <c r="N96">
        <f t="shared" si="16"/>
        <v>19.124398234737303</v>
      </c>
      <c r="O96" s="10">
        <f t="shared" si="20"/>
        <v>117.43945153394628</v>
      </c>
      <c r="P96">
        <f t="shared" si="21"/>
        <v>112.72756925534641</v>
      </c>
      <c r="Q96">
        <f t="shared" si="22"/>
        <v>2.1537224120269927</v>
      </c>
      <c r="R96">
        <f t="shared" si="23"/>
        <v>13.288115818083538</v>
      </c>
      <c r="S96" s="10">
        <f t="shared" si="24"/>
        <v>117.43945153394628</v>
      </c>
      <c r="T96">
        <f t="shared" si="26"/>
        <v>123.39900353345307</v>
      </c>
      <c r="U96">
        <f t="shared" si="27"/>
        <v>117.61087332725542</v>
      </c>
    </row>
    <row r="97" spans="1:21" x14ac:dyDescent="0.35">
      <c r="A97" t="str">
        <f>'US Raw Data_nsa'!A100</f>
        <v>2022-Q1</v>
      </c>
      <c r="B97" s="7">
        <f>'US Raw Data_nsa'!B100</f>
        <v>6157175</v>
      </c>
      <c r="C97" s="7">
        <f>'US Raw Data_nsa'!C100</f>
        <v>1286816</v>
      </c>
      <c r="D97" s="7">
        <f>'US Raw Data_nsa'!D100</f>
        <v>1498140</v>
      </c>
      <c r="E97" s="7">
        <f>'US Raw Data_nsa'!E100</f>
        <v>159242</v>
      </c>
      <c r="F97" s="7">
        <f t="shared" si="14"/>
        <v>1338898</v>
      </c>
      <c r="G97" s="7">
        <f>'US Raw Data_nsa'!F100</f>
        <v>30400960</v>
      </c>
      <c r="H97" s="7">
        <f t="shared" si="25"/>
        <v>29828539</v>
      </c>
      <c r="I97" s="7">
        <f t="shared" si="17"/>
        <v>572421</v>
      </c>
      <c r="J97" s="7">
        <f t="shared" si="18"/>
        <v>23782937</v>
      </c>
      <c r="K97" s="7">
        <f t="shared" si="19"/>
        <v>30400960</v>
      </c>
      <c r="M97">
        <f t="shared" si="15"/>
        <v>21.74532963575016</v>
      </c>
      <c r="N97">
        <f t="shared" si="16"/>
        <v>20.899454701222556</v>
      </c>
      <c r="O97" s="10">
        <f t="shared" si="20"/>
        <v>123.43712822844893</v>
      </c>
      <c r="P97">
        <f t="shared" si="21"/>
        <v>120.2548855603422</v>
      </c>
      <c r="Q97">
        <f t="shared" si="22"/>
        <v>2.150668116499137</v>
      </c>
      <c r="R97">
        <f t="shared" si="23"/>
        <v>9.2968122556204751</v>
      </c>
      <c r="S97" s="10">
        <f t="shared" si="24"/>
        <v>123.43712822844893</v>
      </c>
      <c r="T97">
        <f t="shared" si="26"/>
        <v>120.77890001333881</v>
      </c>
      <c r="U97">
        <f t="shared" si="27"/>
        <v>123.67439228894719</v>
      </c>
    </row>
    <row r="98" spans="1:21" x14ac:dyDescent="0.35">
      <c r="A98" t="str">
        <f>'US Raw Data_nsa'!A101</f>
        <v>2022-Q2</v>
      </c>
      <c r="B98" s="7">
        <f>'US Raw Data_nsa'!B101</f>
        <v>6487526</v>
      </c>
      <c r="C98" s="7">
        <f>'US Raw Data_nsa'!C101</f>
        <v>1292935</v>
      </c>
      <c r="D98" s="7">
        <f>'US Raw Data_nsa'!D101</f>
        <v>1525565</v>
      </c>
      <c r="E98" s="7">
        <f>'US Raw Data_nsa'!E101</f>
        <v>171189</v>
      </c>
      <c r="F98" s="7">
        <f t="shared" si="14"/>
        <v>1354376</v>
      </c>
      <c r="G98" s="7">
        <f>'US Raw Data_nsa'!F101</f>
        <v>30568582</v>
      </c>
      <c r="H98" s="7">
        <f t="shared" si="25"/>
        <v>30633590</v>
      </c>
      <c r="I98" s="7">
        <f t="shared" si="17"/>
        <v>-65008</v>
      </c>
      <c r="J98" s="7">
        <f t="shared" si="18"/>
        <v>24015567</v>
      </c>
      <c r="K98" s="7">
        <f t="shared" si="19"/>
        <v>30568582</v>
      </c>
      <c r="M98">
        <f t="shared" si="15"/>
        <v>20.876617681378079</v>
      </c>
      <c r="N98">
        <f t="shared" si="16"/>
        <v>19.929554039552212</v>
      </c>
      <c r="O98" s="10">
        <f t="shared" si="20"/>
        <v>117.79753175555675</v>
      </c>
      <c r="P98">
        <f t="shared" si="21"/>
        <v>117.15159214776172</v>
      </c>
      <c r="Q98">
        <f t="shared" si="22"/>
        <v>2.2524157131880047</v>
      </c>
      <c r="R98">
        <f t="shared" si="23"/>
        <v>-1.0020460804318934</v>
      </c>
      <c r="S98" s="10">
        <f t="shared" si="24"/>
        <v>117.79753175555673</v>
      </c>
      <c r="T98">
        <f t="shared" si="26"/>
        <v>124.35706204057217</v>
      </c>
      <c r="U98">
        <f t="shared" si="27"/>
        <v>118.02468205440101</v>
      </c>
    </row>
    <row r="99" spans="1:21" x14ac:dyDescent="0.35">
      <c r="A99" t="str">
        <f>'US Raw Data_nsa'!A102</f>
        <v>2022-Q3</v>
      </c>
      <c r="B99" s="7">
        <f>'US Raw Data_nsa'!B102</f>
        <v>6624570</v>
      </c>
      <c r="C99" s="7">
        <f>'US Raw Data_nsa'!C102</f>
        <v>1259811</v>
      </c>
      <c r="D99" s="7">
        <f>'US Raw Data_nsa'!D102</f>
        <v>1541979</v>
      </c>
      <c r="E99" s="7">
        <f>'US Raw Data_nsa'!E102</f>
        <v>188020</v>
      </c>
      <c r="F99" s="7">
        <f t="shared" si="14"/>
        <v>1353959</v>
      </c>
      <c r="G99" s="7">
        <f>'US Raw Data_nsa'!F102</f>
        <v>30928912</v>
      </c>
      <c r="H99" s="7">
        <f t="shared" si="25"/>
        <v>30850750</v>
      </c>
      <c r="I99" s="7">
        <f t="shared" si="17"/>
        <v>78162</v>
      </c>
      <c r="J99" s="7">
        <f t="shared" si="18"/>
        <v>24297735</v>
      </c>
      <c r="K99" s="7">
        <f t="shared" si="19"/>
        <v>30928912</v>
      </c>
      <c r="M99">
        <f t="shared" si="15"/>
        <v>20.43844355180789</v>
      </c>
      <c r="N99">
        <f t="shared" si="16"/>
        <v>19.017249421471885</v>
      </c>
      <c r="O99" s="10">
        <f t="shared" si="20"/>
        <v>116.72045128966862</v>
      </c>
      <c r="P99">
        <f t="shared" si="21"/>
        <v>115.3606271803302</v>
      </c>
      <c r="Q99">
        <f t="shared" si="22"/>
        <v>2.4603038505351673</v>
      </c>
      <c r="R99">
        <f t="shared" si="23"/>
        <v>1.1798803544984806</v>
      </c>
      <c r="S99" s="10">
        <f t="shared" si="24"/>
        <v>116.72045128966862</v>
      </c>
      <c r="T99">
        <f t="shared" si="26"/>
        <v>119.40089212490122</v>
      </c>
      <c r="U99">
        <f t="shared" si="27"/>
        <v>116.93081846572561</v>
      </c>
    </row>
    <row r="100" spans="1:21" x14ac:dyDescent="0.35">
      <c r="A100" t="str">
        <f>'US Raw Data_nsa'!A103</f>
        <v>2022-Q4</v>
      </c>
      <c r="B100" s="7">
        <f>'US Raw Data_nsa'!B103</f>
        <v>6793411</v>
      </c>
      <c r="C100" s="7">
        <f>'US Raw Data_nsa'!C103</f>
        <v>1275959</v>
      </c>
      <c r="D100" s="7">
        <f>'US Raw Data_nsa'!D103</f>
        <v>1579209</v>
      </c>
      <c r="E100" s="7">
        <f>'US Raw Data_nsa'!E103</f>
        <v>205776</v>
      </c>
      <c r="F100" s="7">
        <f t="shared" si="14"/>
        <v>1373433</v>
      </c>
      <c r="G100" s="7">
        <f>'US Raw Data_nsa'!F103</f>
        <v>31419689</v>
      </c>
      <c r="H100" s="7">
        <f t="shared" si="25"/>
        <v>31232162</v>
      </c>
      <c r="I100" s="7">
        <f t="shared" si="17"/>
        <v>187527</v>
      </c>
      <c r="J100" s="7">
        <f t="shared" si="18"/>
        <v>24600985</v>
      </c>
      <c r="K100" s="7">
        <f t="shared" si="19"/>
        <v>31419689</v>
      </c>
      <c r="M100">
        <f t="shared" si="15"/>
        <v>20.217133925799573</v>
      </c>
      <c r="N100">
        <f t="shared" si="16"/>
        <v>18.782302439819997</v>
      </c>
      <c r="O100" s="10">
        <f t="shared" si="20"/>
        <v>115.62560030594351</v>
      </c>
      <c r="P100">
        <f t="shared" si="21"/>
        <v>113.81952306433395</v>
      </c>
      <c r="Q100">
        <f t="shared" si="22"/>
        <v>2.6612769307889006</v>
      </c>
      <c r="R100">
        <f t="shared" si="23"/>
        <v>2.7604247704135667</v>
      </c>
      <c r="S100" s="10">
        <f t="shared" si="24"/>
        <v>115.62560030594349</v>
      </c>
      <c r="T100">
        <f t="shared" si="26"/>
        <v>118.75759575402662</v>
      </c>
      <c r="U100">
        <f t="shared" si="27"/>
        <v>115.80603707095776</v>
      </c>
    </row>
    <row r="101" spans="1:21" x14ac:dyDescent="0.35">
      <c r="A101" t="str">
        <f>'US Raw Data_nsa'!A104</f>
        <v>2023-Q1</v>
      </c>
      <c r="B101" s="7">
        <f>'US Raw Data_nsa'!B104</f>
        <v>6663142</v>
      </c>
      <c r="C101" s="7">
        <f>'US Raw Data_nsa'!C104</f>
        <v>1236738</v>
      </c>
      <c r="D101" s="7">
        <f>'US Raw Data_nsa'!D104</f>
        <v>1606689</v>
      </c>
      <c r="E101" s="7">
        <f>'US Raw Data_nsa'!E104</f>
        <v>215317</v>
      </c>
      <c r="F101" s="7">
        <f t="shared" si="14"/>
        <v>1391372</v>
      </c>
      <c r="G101" s="7">
        <f>'US Raw Data_nsa'!F104</f>
        <v>31458438</v>
      </c>
      <c r="H101" s="7">
        <f t="shared" si="25"/>
        <v>31789640</v>
      </c>
      <c r="I101" s="7">
        <f t="shared" si="17"/>
        <v>-331202</v>
      </c>
      <c r="J101" s="7">
        <f t="shared" si="18"/>
        <v>24970936</v>
      </c>
      <c r="K101" s="7">
        <f t="shared" si="19"/>
        <v>31458438</v>
      </c>
      <c r="M101">
        <f t="shared" si="15"/>
        <v>20.881620112553506</v>
      </c>
      <c r="N101">
        <f t="shared" si="16"/>
        <v>18.560883138915546</v>
      </c>
      <c r="O101" s="10">
        <f t="shared" si="20"/>
        <v>118.03154577825296</v>
      </c>
      <c r="P101">
        <f t="shared" si="21"/>
        <v>117.88616016287811</v>
      </c>
      <c r="Q101">
        <f t="shared" si="22"/>
        <v>2.7411728995789866</v>
      </c>
      <c r="R101">
        <f t="shared" si="23"/>
        <v>-4.9706579868776624</v>
      </c>
      <c r="S101" s="10">
        <f t="shared" si="24"/>
        <v>118.03154577825296</v>
      </c>
      <c r="T101">
        <f t="shared" si="26"/>
        <v>115.9371677437142</v>
      </c>
      <c r="U101">
        <f t="shared" si="27"/>
        <v>118.20381895793206</v>
      </c>
    </row>
    <row r="102" spans="1:21" x14ac:dyDescent="0.35">
      <c r="A102" t="str">
        <f>'US Raw Data_nsa'!A105</f>
        <v>2023-Q2</v>
      </c>
      <c r="B102" s="7">
        <f>'US Raw Data_nsa'!B105</f>
        <v>6914786</v>
      </c>
      <c r="C102" s="7">
        <f>'US Raw Data_nsa'!C105</f>
        <v>1203200</v>
      </c>
      <c r="D102" s="7">
        <f>'US Raw Data_nsa'!D105</f>
        <v>1625596</v>
      </c>
      <c r="E102" s="7">
        <f>'US Raw Data_nsa'!E105</f>
        <v>223527</v>
      </c>
      <c r="F102" s="7">
        <f t="shared" si="14"/>
        <v>1402069</v>
      </c>
      <c r="G102" s="7">
        <f>'US Raw Data_nsa'!F105</f>
        <v>32332274</v>
      </c>
      <c r="H102" s="7">
        <f t="shared" si="25"/>
        <v>31880834</v>
      </c>
      <c r="I102" s="7">
        <f t="shared" si="17"/>
        <v>451440</v>
      </c>
      <c r="J102" s="7">
        <f t="shared" si="18"/>
        <v>25393332</v>
      </c>
      <c r="K102" s="7">
        <f t="shared" si="19"/>
        <v>32332274</v>
      </c>
      <c r="M102">
        <f t="shared" si="15"/>
        <v>20.276390332253232</v>
      </c>
      <c r="N102">
        <f t="shared" si="16"/>
        <v>17.400393880591533</v>
      </c>
      <c r="O102" s="10">
        <f t="shared" si="20"/>
        <v>116.89542525249516</v>
      </c>
      <c r="P102">
        <f t="shared" si="21"/>
        <v>113.73612285325967</v>
      </c>
      <c r="Q102">
        <f t="shared" si="22"/>
        <v>2.8421881595011165</v>
      </c>
      <c r="R102">
        <f t="shared" si="23"/>
        <v>6.5286185284692833</v>
      </c>
      <c r="S102" s="10">
        <f t="shared" si="24"/>
        <v>116.89542525249516</v>
      </c>
      <c r="T102">
        <f t="shared" si="26"/>
        <v>121.39486643958992</v>
      </c>
      <c r="U102">
        <f t="shared" si="27"/>
        <v>116.97704501021752</v>
      </c>
    </row>
    <row r="103" spans="1:21" x14ac:dyDescent="0.35">
      <c r="A103" t="str">
        <f>'US Raw Data_nsa'!A106</f>
        <v>2023-Q3</v>
      </c>
      <c r="B103" s="7">
        <f>'US Raw Data_nsa'!B106</f>
        <v>7046725</v>
      </c>
      <c r="C103" s="7">
        <f>'US Raw Data_nsa'!C106</f>
        <v>1155825</v>
      </c>
      <c r="D103" s="7">
        <f>'US Raw Data_nsa'!D106</f>
        <v>1640496</v>
      </c>
      <c r="E103" s="7">
        <f>'US Raw Data_nsa'!E106</f>
        <v>241725</v>
      </c>
      <c r="F103" s="7">
        <f t="shared" si="14"/>
        <v>1398771</v>
      </c>
      <c r="G103" s="7">
        <f>'US Raw Data_nsa'!F106</f>
        <v>33167334</v>
      </c>
      <c r="H103" s="7">
        <f t="shared" si="25"/>
        <v>32816945</v>
      </c>
      <c r="I103" s="7">
        <f t="shared" si="17"/>
        <v>350389</v>
      </c>
      <c r="J103" s="7">
        <f t="shared" si="18"/>
        <v>25878003</v>
      </c>
      <c r="K103" s="7">
        <f t="shared" si="19"/>
        <v>33167334</v>
      </c>
      <c r="M103">
        <f t="shared" si="15"/>
        <v>19.849944477753851</v>
      </c>
      <c r="N103">
        <f t="shared" si="16"/>
        <v>16.402300359386807</v>
      </c>
      <c r="O103" s="10">
        <f t="shared" si="20"/>
        <v>117.66932156427276</v>
      </c>
      <c r="P103">
        <f t="shared" si="21"/>
        <v>114.70673965565564</v>
      </c>
      <c r="Q103">
        <f t="shared" si="22"/>
        <v>2.9905103488854512</v>
      </c>
      <c r="R103">
        <f t="shared" si="23"/>
        <v>4.9723665958299774</v>
      </c>
      <c r="S103" s="10">
        <f t="shared" si="24"/>
        <v>117.66932156427275</v>
      </c>
      <c r="T103">
        <f t="shared" si="26"/>
        <v>119.9566003479795</v>
      </c>
      <c r="U103">
        <f t="shared" si="27"/>
        <v>117.7105989936891</v>
      </c>
    </row>
    <row r="104" spans="1:21" x14ac:dyDescent="0.35">
      <c r="A104" t="str">
        <f>'US Raw Data_nsa'!A107</f>
        <v>2023-Q4</v>
      </c>
      <c r="B104" s="7">
        <f>'US Raw Data_nsa'!B107</f>
        <v>7187452</v>
      </c>
      <c r="C104" s="7">
        <f>'US Raw Data_nsa'!C107</f>
        <v>1225114</v>
      </c>
      <c r="D104" s="7">
        <f>'US Raw Data_nsa'!D107</f>
        <v>1665234</v>
      </c>
      <c r="E104" s="7">
        <f>'US Raw Data_nsa'!E107</f>
        <v>257870</v>
      </c>
      <c r="F104" s="7">
        <f t="shared" si="14"/>
        <v>1407364</v>
      </c>
      <c r="G104" s="7">
        <f>'US Raw Data_nsa'!F107</f>
        <v>34001494</v>
      </c>
      <c r="H104" s="7">
        <f t="shared" si="25"/>
        <v>33607454</v>
      </c>
      <c r="I104" s="7">
        <f t="shared" si="17"/>
        <v>394040</v>
      </c>
      <c r="J104" s="7">
        <f t="shared" si="18"/>
        <v>26318123</v>
      </c>
      <c r="K104" s="7">
        <f t="shared" si="19"/>
        <v>34001494</v>
      </c>
      <c r="M104">
        <f t="shared" si="15"/>
        <v>19.580847287745364</v>
      </c>
      <c r="N104">
        <f t="shared" si="16"/>
        <v>17.045178179972542</v>
      </c>
      <c r="O104" s="10">
        <f t="shared" si="20"/>
        <v>118.26685590387247</v>
      </c>
      <c r="P104">
        <f t="shared" si="21"/>
        <v>115.36541044030625</v>
      </c>
      <c r="Q104">
        <f t="shared" si="22"/>
        <v>3.109927376134602</v>
      </c>
      <c r="R104">
        <f t="shared" si="23"/>
        <v>5.4823322646189494</v>
      </c>
      <c r="S104" s="10">
        <f t="shared" si="24"/>
        <v>118.26685590387248</v>
      </c>
      <c r="T104">
        <f t="shared" si="26"/>
        <v>120.63027787246625</v>
      </c>
      <c r="U104">
        <f t="shared" si="27"/>
        <v>118.26839258764507</v>
      </c>
    </row>
    <row r="105" spans="1:21" x14ac:dyDescent="0.35">
      <c r="A105" t="str">
        <f>'US Raw Data_nsa'!A108</f>
        <v>2024-Q1</v>
      </c>
      <c r="B105" s="7">
        <f>'US Raw Data_nsa'!B108</f>
        <v>7029174</v>
      </c>
      <c r="C105" s="7">
        <f>'US Raw Data_nsa'!C108</f>
        <v>1311840</v>
      </c>
      <c r="D105" s="7">
        <f>'US Raw Data_nsa'!D108</f>
        <v>1709903</v>
      </c>
      <c r="E105" s="7">
        <f>'US Raw Data_nsa'!E108</f>
        <v>267794</v>
      </c>
      <c r="F105" s="7">
        <f t="shared" si="14"/>
        <v>1442109</v>
      </c>
      <c r="G105" s="7">
        <f>'US Raw Data_nsa'!F108</f>
        <v>34586533</v>
      </c>
      <c r="H105" s="7">
        <f t="shared" si="25"/>
        <v>34399557</v>
      </c>
      <c r="I105" s="7">
        <f t="shared" si="17"/>
        <v>186976</v>
      </c>
      <c r="J105" s="7">
        <f t="shared" si="18"/>
        <v>26716186</v>
      </c>
      <c r="K105" s="7">
        <f t="shared" si="19"/>
        <v>34586533</v>
      </c>
      <c r="M105">
        <f t="shared" si="15"/>
        <v>20.516052099435864</v>
      </c>
      <c r="N105">
        <f t="shared" si="16"/>
        <v>18.662790251030916</v>
      </c>
      <c r="O105" s="10">
        <f t="shared" si="20"/>
        <v>123.01065886262028</v>
      </c>
      <c r="P105">
        <f t="shared" si="21"/>
        <v>120.92990584668981</v>
      </c>
      <c r="Q105">
        <f t="shared" si="22"/>
        <v>3.1503792156897577</v>
      </c>
      <c r="R105">
        <f t="shared" si="23"/>
        <v>2.6599995959695977</v>
      </c>
      <c r="S105" s="10">
        <f t="shared" si="24"/>
        <v>123.01065886262026</v>
      </c>
      <c r="T105">
        <f t="shared" si="26"/>
        <v>120.32818366344158</v>
      </c>
      <c r="U105">
        <f t="shared" si="27"/>
        <v>123.03764913603939</v>
      </c>
    </row>
    <row r="106" spans="1:21" x14ac:dyDescent="0.35">
      <c r="A106" t="str">
        <f>'US Raw Data_nsa'!A109</f>
        <v>2024-Q2</v>
      </c>
      <c r="B106" s="7">
        <f>'US Raw Data_nsa'!B109</f>
        <v>7311790</v>
      </c>
      <c r="C106" s="7">
        <f>'US Raw Data_nsa'!C109</f>
        <v>1296076</v>
      </c>
      <c r="D106" s="7">
        <f>'US Raw Data_nsa'!D109</f>
        <v>1739734</v>
      </c>
      <c r="E106" s="7">
        <f>'US Raw Data_nsa'!E109</f>
        <v>275891</v>
      </c>
      <c r="F106" s="7">
        <f t="shared" si="14"/>
        <v>1463843</v>
      </c>
      <c r="G106" s="7">
        <f>'US Raw Data_nsa'!F109</f>
        <v>34831634</v>
      </c>
      <c r="H106" s="7">
        <f t="shared" si="25"/>
        <v>35030191</v>
      </c>
      <c r="I106" s="7">
        <f t="shared" si="17"/>
        <v>-198557</v>
      </c>
      <c r="J106" s="7">
        <f t="shared" si="18"/>
        <v>27159844</v>
      </c>
      <c r="K106" s="7">
        <f t="shared" si="19"/>
        <v>34831634</v>
      </c>
      <c r="M106">
        <f t="shared" si="15"/>
        <v>20.020309664254579</v>
      </c>
      <c r="N106">
        <f t="shared" si="16"/>
        <v>17.725837312067224</v>
      </c>
      <c r="O106" s="10">
        <f t="shared" si="20"/>
        <v>119.09407272364223</v>
      </c>
      <c r="P106">
        <f t="shared" si="21"/>
        <v>118.25603921885065</v>
      </c>
      <c r="Q106">
        <f t="shared" si="22"/>
        <v>3.1907332255592085</v>
      </c>
      <c r="R106">
        <f t="shared" si="23"/>
        <v>-2.7155730676072478</v>
      </c>
      <c r="S106" s="10">
        <f t="shared" si="24"/>
        <v>119.09407272364223</v>
      </c>
      <c r="T106">
        <f t="shared" si="26"/>
        <v>123.91382474491708</v>
      </c>
      <c r="U106">
        <f t="shared" si="27"/>
        <v>119.12429584787415</v>
      </c>
    </row>
    <row r="107" spans="1:21" x14ac:dyDescent="0.35">
      <c r="A107" t="str">
        <f>'US Raw Data_nsa'!A110</f>
        <v>2024-Q3</v>
      </c>
      <c r="B107" s="7">
        <f>'US Raw Data_nsa'!B110</f>
        <v>7396944</v>
      </c>
      <c r="C107" s="7">
        <f>'US Raw Data_nsa'!C110</f>
        <v>1247553</v>
      </c>
      <c r="D107" s="7">
        <f>'US Raw Data_nsa'!D110</f>
        <v>1793724</v>
      </c>
      <c r="E107" s="7">
        <f>'US Raw Data_nsa'!E110</f>
        <v>286545</v>
      </c>
      <c r="F107" s="7">
        <f t="shared" si="14"/>
        <v>1507179</v>
      </c>
      <c r="G107" s="7">
        <f>'US Raw Data_nsa'!F110</f>
        <v>35464674</v>
      </c>
      <c r="H107" s="7">
        <f t="shared" si="25"/>
        <v>35377805</v>
      </c>
      <c r="I107" s="7">
        <f t="shared" si="17"/>
        <v>86869</v>
      </c>
      <c r="J107" s="7">
        <f t="shared" si="18"/>
        <v>27706015</v>
      </c>
      <c r="K107" s="7">
        <f t="shared" si="19"/>
        <v>35464674</v>
      </c>
      <c r="M107">
        <f t="shared" si="15"/>
        <v>20.375698396527</v>
      </c>
      <c r="N107">
        <f t="shared" si="16"/>
        <v>16.865789439530705</v>
      </c>
      <c r="O107" s="10">
        <f t="shared" si="20"/>
        <v>119.86258784708929</v>
      </c>
      <c r="P107">
        <f t="shared" si="21"/>
        <v>117.72305562945995</v>
      </c>
      <c r="Q107">
        <f t="shared" si="22"/>
        <v>3.2906294318549625</v>
      </c>
      <c r="R107">
        <f t="shared" si="23"/>
        <v>1.1743903968990437</v>
      </c>
      <c r="S107" s="10">
        <f t="shared" si="24"/>
        <v>119.86258784708927</v>
      </c>
      <c r="T107">
        <f t="shared" si="26"/>
        <v>121.27535547126301</v>
      </c>
      <c r="U107">
        <f t="shared" si="27"/>
        <v>119.87922733783387</v>
      </c>
    </row>
    <row r="108" spans="1:21" x14ac:dyDescent="0.35">
      <c r="A108" t="str">
        <f>'US Raw Data_nsa'!A111</f>
        <v>2024-Q4</v>
      </c>
      <c r="B108" s="7">
        <f>'US Raw Data_nsa'!B111</f>
        <v>7554101</v>
      </c>
      <c r="C108" s="7">
        <f>'US Raw Data_nsa'!C111</f>
        <v>1323443</v>
      </c>
      <c r="D108" s="7">
        <f>'US Raw Data_nsa'!D111</f>
        <v>1810006</v>
      </c>
      <c r="E108" s="7">
        <f>'US Raw Data_nsa'!E111</f>
        <v>288904</v>
      </c>
      <c r="F108" s="7">
        <f t="shared" si="14"/>
        <v>1521102</v>
      </c>
      <c r="G108" s="7">
        <f>'US Raw Data_nsa'!F111</f>
        <v>36218605</v>
      </c>
      <c r="H108" s="7">
        <f t="shared" si="25"/>
        <v>35951237</v>
      </c>
      <c r="I108" s="7">
        <f t="shared" si="17"/>
        <v>267368</v>
      </c>
      <c r="J108" s="7">
        <f t="shared" si="18"/>
        <v>28192578</v>
      </c>
      <c r="K108" s="7">
        <f t="shared" si="19"/>
        <v>36218605</v>
      </c>
      <c r="M108">
        <f t="shared" si="15"/>
        <v>20.13610885001405</v>
      </c>
      <c r="N108">
        <f t="shared" si="16"/>
        <v>17.519530120129449</v>
      </c>
      <c r="O108" s="10">
        <f t="shared" si="20"/>
        <v>119.86404801842072</v>
      </c>
      <c r="P108">
        <f t="shared" si="21"/>
        <v>117.36894304166704</v>
      </c>
      <c r="Q108">
        <f t="shared" si="22"/>
        <v>3.2584988656599525</v>
      </c>
      <c r="R108">
        <f t="shared" si="23"/>
        <v>3.5393754994803484</v>
      </c>
      <c r="S108" s="10">
        <f t="shared" si="24"/>
        <v>119.86404801842072</v>
      </c>
      <c r="T108">
        <f t="shared" si="26"/>
        <v>122.3947817109164</v>
      </c>
      <c r="U108">
        <f t="shared" si="27"/>
        <v>119.84845664730626</v>
      </c>
    </row>
    <row r="109" spans="1:21" x14ac:dyDescent="0.35">
      <c r="A109" t="str">
        <f>'US Raw Data_nsa'!A112</f>
        <v>2025-Q1</v>
      </c>
      <c r="B109" s="7">
        <f>'US Raw Data_nsa'!B112</f>
        <v>7354051</v>
      </c>
      <c r="C109" s="7">
        <f>'US Raw Data_nsa'!C112</f>
        <v>1397089</v>
      </c>
      <c r="D109" s="7">
        <f>'US Raw Data_nsa'!D112</f>
        <v>1828010</v>
      </c>
      <c r="E109" s="7">
        <f>'US Raw Data_nsa'!E112</f>
        <v>286053</v>
      </c>
      <c r="F109" s="7">
        <f t="shared" si="14"/>
        <v>1541957</v>
      </c>
      <c r="G109" s="7">
        <f>'US Raw Data_nsa'!F112</f>
        <v>36214309.520796403</v>
      </c>
      <c r="H109" s="7">
        <f t="shared" si="25"/>
        <v>36649526</v>
      </c>
      <c r="I109" s="7">
        <f t="shared" si="17"/>
        <v>-435216.47920359671</v>
      </c>
      <c r="J109" s="7">
        <f t="shared" si="18"/>
        <v>28623499</v>
      </c>
      <c r="K109" s="7">
        <f t="shared" si="19"/>
        <v>36214309.520796403</v>
      </c>
      <c r="M109">
        <f t="shared" si="15"/>
        <v>20.967450456897836</v>
      </c>
      <c r="N109">
        <f t="shared" si="16"/>
        <v>18.997542986851737</v>
      </c>
      <c r="O109" s="10">
        <f t="shared" si="20"/>
        <v>123.1100706290873</v>
      </c>
      <c r="P109">
        <f t="shared" si="21"/>
        <v>123.12467305434787</v>
      </c>
      <c r="Q109">
        <f t="shared" si="22"/>
        <v>3.1591829668757256</v>
      </c>
      <c r="R109">
        <f t="shared" si="23"/>
        <v>-5.9180508702427641</v>
      </c>
      <c r="S109" s="10">
        <f t="shared" si="24"/>
        <v>123.1100706290873</v>
      </c>
      <c r="T109">
        <f t="shared" si="26"/>
        <v>119.80797880437339</v>
      </c>
      <c r="U109">
        <f t="shared" si="27"/>
        <v>123.06707860662046</v>
      </c>
    </row>
    <row r="110" spans="1:21" x14ac:dyDescent="0.35">
      <c r="A110" t="str">
        <f>'US Raw Data_nsa'!A113</f>
        <v>2025-Q2</v>
      </c>
      <c r="B110" s="7">
        <f>'US Raw Data_nsa'!B113</f>
        <v>7640866</v>
      </c>
      <c r="C110" s="7">
        <f>'US Raw Data_nsa'!C113</f>
        <v>1423581</v>
      </c>
      <c r="D110" s="7">
        <f>'US Raw Data_nsa'!D113</f>
        <v>1879461</v>
      </c>
      <c r="E110" s="7">
        <f>'US Raw Data_nsa'!E113</f>
        <v>290225</v>
      </c>
      <c r="F110" s="7">
        <f t="shared" si="14"/>
        <v>1589236</v>
      </c>
      <c r="G110" s="7">
        <f>'US Raw Data_nsa'!F113</f>
        <v>36211469</v>
      </c>
      <c r="H110" s="7">
        <f t="shared" si="25"/>
        <v>36670189.520796403</v>
      </c>
      <c r="I110" s="7">
        <f t="shared" si="17"/>
        <v>-458720.52079640329</v>
      </c>
      <c r="J110" s="7">
        <f t="shared" si="18"/>
        <v>29079379</v>
      </c>
      <c r="K110" s="7">
        <f t="shared" si="19"/>
        <v>36211469</v>
      </c>
      <c r="M110">
        <f t="shared" si="15"/>
        <v>20.799160723404913</v>
      </c>
      <c r="N110">
        <f t="shared" si="16"/>
        <v>18.631147307124611</v>
      </c>
      <c r="O110" s="10">
        <f t="shared" si="20"/>
        <v>118.47959707708524</v>
      </c>
      <c r="P110">
        <f t="shared" si="21"/>
        <v>118.48889092151467</v>
      </c>
      <c r="Q110">
        <f t="shared" si="22"/>
        <v>3.2056389183213398</v>
      </c>
      <c r="R110">
        <f t="shared" si="23"/>
        <v>-6.0035147952653967</v>
      </c>
      <c r="S110" s="10">
        <f t="shared" si="24"/>
        <v>118.47959707708524</v>
      </c>
      <c r="T110">
        <f t="shared" si="26"/>
        <v>123.09447480373792</v>
      </c>
      <c r="U110">
        <f t="shared" si="27"/>
        <v>118.47388051627966</v>
      </c>
    </row>
    <row r="111" spans="1:21" x14ac:dyDescent="0.35">
      <c r="A111" t="str">
        <f>'US Raw Data_nsa'!A114</f>
        <v>2025-Q3</v>
      </c>
      <c r="B111" s="7">
        <f>'US Raw Data_nsa'!B114</f>
        <v>7796678</v>
      </c>
      <c r="C111" s="7">
        <f>'US Raw Data_nsa'!C114</f>
        <v>1417022</v>
      </c>
      <c r="D111" s="7">
        <f>'US Raw Data_nsa'!D114</f>
        <v>1900165</v>
      </c>
      <c r="E111" s="7">
        <f>'US Raw Data_nsa'!E114</f>
        <v>299797</v>
      </c>
      <c r="F111" s="7">
        <f t="shared" si="14"/>
        <v>1600368</v>
      </c>
      <c r="G111" s="7">
        <f>'US Raw Data_nsa'!F114</f>
        <v>37637552.5955576</v>
      </c>
      <c r="H111" s="7">
        <f t="shared" si="25"/>
        <v>36694612</v>
      </c>
      <c r="I111" s="7">
        <f t="shared" si="17"/>
        <v>942940.59555760026</v>
      </c>
      <c r="J111" s="7">
        <f t="shared" si="18"/>
        <v>29562522</v>
      </c>
      <c r="K111" s="7">
        <f t="shared" si="19"/>
        <v>37637552.5955576</v>
      </c>
      <c r="M111">
        <f t="shared" si="15"/>
        <v>20.526280551793981</v>
      </c>
      <c r="N111">
        <f t="shared" si="16"/>
        <v>18.174689271507685</v>
      </c>
      <c r="O111" s="10">
        <f t="shared" si="20"/>
        <v>120.68458064946891</v>
      </c>
      <c r="P111">
        <f t="shared" si="21"/>
        <v>116.11185238123211</v>
      </c>
      <c r="Q111">
        <f t="shared" si="22"/>
        <v>3.3116248335575671</v>
      </c>
      <c r="R111">
        <f t="shared" si="23"/>
        <v>12.094132854500343</v>
      </c>
      <c r="S111" s="10">
        <f t="shared" si="24"/>
        <v>120.68458064946893</v>
      </c>
      <c r="T111">
        <f t="shared" si="26"/>
        <v>123.06616416209044</v>
      </c>
      <c r="U111">
        <f t="shared" si="27"/>
        <v>120.60675963487724</v>
      </c>
    </row>
    <row r="112" spans="1:21" x14ac:dyDescent="0.35">
      <c r="A112" t="str">
        <f>'US Raw Data_nsa'!A115</f>
        <v>2025-Q4</v>
      </c>
      <c r="B112" s="7">
        <f>'US Raw Data_nsa'!B115</f>
        <v>7971751</v>
      </c>
      <c r="C112" s="7">
        <f>'US Raw Data_nsa'!C115</f>
        <v>1501013</v>
      </c>
      <c r="D112" s="7">
        <f>'US Raw Data_nsa'!D115</f>
        <v>1892982</v>
      </c>
      <c r="E112" s="7">
        <f>'US Raw Data_nsa'!E115</f>
        <v>306874</v>
      </c>
      <c r="F112" s="7">
        <f t="shared" si="14"/>
        <v>1586108</v>
      </c>
      <c r="G112" s="7">
        <f>'US Raw Data_nsa'!F115</f>
        <v>38514009</v>
      </c>
      <c r="H112" s="7">
        <f t="shared" si="25"/>
        <v>38029521.5955576</v>
      </c>
      <c r="I112" s="7">
        <f t="shared" si="17"/>
        <v>484487.40444239974</v>
      </c>
      <c r="J112" s="7">
        <f t="shared" si="18"/>
        <v>29954491</v>
      </c>
      <c r="K112" s="7">
        <f t="shared" si="19"/>
        <v>38514009</v>
      </c>
      <c r="M112">
        <f t="shared" si="15"/>
        <v>19.896607407832985</v>
      </c>
      <c r="N112">
        <f t="shared" si="16"/>
        <v>18.829150584357187</v>
      </c>
      <c r="O112" s="10">
        <f t="shared" si="20"/>
        <v>120.78277720917274</v>
      </c>
      <c r="P112">
        <f t="shared" si="21"/>
        <v>118.03414518202337</v>
      </c>
      <c r="Q112">
        <f t="shared" si="22"/>
        <v>3.2613597732836719</v>
      </c>
      <c r="R112">
        <f t="shared" si="23"/>
        <v>6.0775531554159148</v>
      </c>
      <c r="S112" s="10">
        <f t="shared" si="24"/>
        <v>120.78277720917275</v>
      </c>
      <c r="T112">
        <f t="shared" si="26"/>
        <v>123.37636721524838</v>
      </c>
      <c r="U112">
        <f t="shared" si="27"/>
        <v>120.66681560764357</v>
      </c>
    </row>
    <row r="113" spans="2:7" x14ac:dyDescent="0.35">
      <c r="B113" s="7"/>
      <c r="C113" s="7"/>
      <c r="D113" s="7"/>
      <c r="E113" s="7"/>
      <c r="F113" s="7"/>
      <c r="G113" s="7"/>
    </row>
    <row r="114" spans="2:7" x14ac:dyDescent="0.35">
      <c r="B114" s="7"/>
      <c r="C114" s="7"/>
      <c r="D114" s="7"/>
      <c r="E114" s="7"/>
      <c r="F114" s="7"/>
      <c r="G114" s="7"/>
    </row>
    <row r="115" spans="2:7" x14ac:dyDescent="0.35">
      <c r="B115" s="7"/>
      <c r="C115" s="7"/>
      <c r="D115" s="7"/>
      <c r="E115" s="7"/>
      <c r="F115" s="7"/>
      <c r="G115" s="7"/>
    </row>
    <row r="116" spans="2:7" x14ac:dyDescent="0.35">
      <c r="B116" s="7"/>
      <c r="C116" s="7"/>
      <c r="D116" s="7"/>
      <c r="E116" s="7"/>
      <c r="F116" s="7"/>
      <c r="G116" s="7"/>
    </row>
    <row r="117" spans="2:7" x14ac:dyDescent="0.35">
      <c r="B117" s="7"/>
      <c r="C117" s="7"/>
      <c r="D117" s="7"/>
      <c r="E117" s="7"/>
      <c r="F117" s="7"/>
      <c r="G117" s="7"/>
    </row>
    <row r="118" spans="2:7" x14ac:dyDescent="0.35">
      <c r="B118" s="7"/>
      <c r="C118" s="7"/>
      <c r="D118" s="7"/>
      <c r="E118" s="7"/>
      <c r="F118" s="7"/>
      <c r="G118" s="7"/>
    </row>
    <row r="119" spans="2:7" x14ac:dyDescent="0.35">
      <c r="B119" s="7"/>
      <c r="C119" s="7"/>
      <c r="D119" s="7"/>
      <c r="E119" s="7"/>
      <c r="F119" s="7"/>
      <c r="G119" s="7"/>
    </row>
    <row r="120" spans="2:7" x14ac:dyDescent="0.35">
      <c r="B120" s="7"/>
      <c r="C120" s="7"/>
      <c r="D120" s="7"/>
      <c r="E120" s="7"/>
      <c r="F120" s="7"/>
      <c r="G120" s="7"/>
    </row>
    <row r="121" spans="2:7" x14ac:dyDescent="0.35">
      <c r="B121" s="7"/>
      <c r="C121" s="7"/>
      <c r="D121" s="7"/>
      <c r="E121" s="7"/>
      <c r="F121" s="7"/>
      <c r="G121" s="7"/>
    </row>
    <row r="122" spans="2:7" x14ac:dyDescent="0.35">
      <c r="B122" s="7"/>
      <c r="C122" s="7"/>
      <c r="D122" s="7"/>
      <c r="E122" s="7"/>
      <c r="F122" s="7"/>
      <c r="G122" s="7"/>
    </row>
    <row r="123" spans="2:7" x14ac:dyDescent="0.35">
      <c r="B123" s="7"/>
      <c r="C123" s="7"/>
      <c r="D123" s="7"/>
      <c r="E123" s="7"/>
      <c r="F123" s="7"/>
      <c r="G123" s="7"/>
    </row>
    <row r="124" spans="2:7" x14ac:dyDescent="0.35">
      <c r="B124" s="7"/>
      <c r="C124" s="7"/>
      <c r="D124" s="7"/>
      <c r="E124" s="7"/>
      <c r="F124" s="7"/>
      <c r="G124" s="7"/>
    </row>
    <row r="125" spans="2:7" x14ac:dyDescent="0.35">
      <c r="B125" s="7"/>
      <c r="C125" s="7"/>
      <c r="D125" s="7"/>
      <c r="E125" s="7"/>
      <c r="F125" s="7"/>
      <c r="G125" s="7"/>
    </row>
    <row r="126" spans="2:7" x14ac:dyDescent="0.35">
      <c r="B126" s="7"/>
      <c r="C126" s="7"/>
      <c r="D126" s="7"/>
      <c r="E126" s="7"/>
      <c r="F126" s="7"/>
      <c r="G126" s="7"/>
    </row>
    <row r="127" spans="2:7" x14ac:dyDescent="0.35">
      <c r="B127" s="7"/>
      <c r="C127" s="7"/>
      <c r="D127" s="7"/>
      <c r="E127" s="7"/>
      <c r="F127" s="7"/>
      <c r="G127" s="7"/>
    </row>
    <row r="128" spans="2:7" x14ac:dyDescent="0.35">
      <c r="B128" s="7"/>
      <c r="C128" s="7"/>
      <c r="D128" s="7"/>
      <c r="E128" s="7"/>
      <c r="F128" s="7"/>
      <c r="G128" s="7"/>
    </row>
    <row r="129" spans="2:7" x14ac:dyDescent="0.35">
      <c r="B129" s="7"/>
      <c r="C129" s="7"/>
      <c r="D129" s="7"/>
      <c r="E129" s="7"/>
      <c r="F129" s="7"/>
      <c r="G129" s="7"/>
    </row>
    <row r="130" spans="2:7" x14ac:dyDescent="0.35">
      <c r="B130" s="7"/>
      <c r="C130" s="7"/>
      <c r="D130" s="7"/>
      <c r="E130" s="7"/>
      <c r="F130" s="7"/>
      <c r="G130" s="7"/>
    </row>
    <row r="131" spans="2:7" x14ac:dyDescent="0.35">
      <c r="B131" s="7"/>
      <c r="C131" s="7"/>
      <c r="D131" s="7"/>
      <c r="E131" s="7"/>
      <c r="F131" s="7"/>
      <c r="G131" s="7"/>
    </row>
    <row r="132" spans="2:7" x14ac:dyDescent="0.35">
      <c r="B132" s="7"/>
      <c r="C132" s="7"/>
      <c r="D132" s="7"/>
      <c r="E132" s="7"/>
      <c r="F132" s="7"/>
      <c r="G132" s="7"/>
    </row>
    <row r="133" spans="2:7" x14ac:dyDescent="0.35">
      <c r="B133" s="7"/>
      <c r="C133" s="7"/>
      <c r="D133" s="7"/>
      <c r="E133" s="7"/>
      <c r="F133" s="7"/>
      <c r="G133" s="7"/>
    </row>
    <row r="134" spans="2:7" x14ac:dyDescent="0.35">
      <c r="B134" s="7"/>
      <c r="C134" s="7"/>
      <c r="D134" s="7"/>
      <c r="E134" s="7"/>
      <c r="F134" s="7"/>
      <c r="G134" s="7"/>
    </row>
    <row r="135" spans="2:7" x14ac:dyDescent="0.35">
      <c r="B135" s="7"/>
      <c r="C135" s="7"/>
      <c r="D135" s="7"/>
      <c r="E135" s="7"/>
      <c r="F135" s="7"/>
      <c r="G135" s="7"/>
    </row>
    <row r="136" spans="2:7" x14ac:dyDescent="0.35">
      <c r="B136" s="7"/>
      <c r="C136" s="7"/>
      <c r="D136" s="7"/>
      <c r="E136" s="7"/>
      <c r="F136" s="7"/>
      <c r="G136" s="7"/>
    </row>
    <row r="137" spans="2:7" x14ac:dyDescent="0.35">
      <c r="B137" s="7"/>
      <c r="C137" s="7"/>
      <c r="D137" s="7"/>
      <c r="E137" s="7"/>
      <c r="F137" s="7"/>
      <c r="G137" s="7"/>
    </row>
    <row r="138" spans="2:7" x14ac:dyDescent="0.35">
      <c r="B138" s="7"/>
      <c r="C138" s="7"/>
      <c r="D138" s="7"/>
      <c r="E138" s="7"/>
      <c r="F138" s="7"/>
      <c r="G138" s="7"/>
    </row>
    <row r="139" spans="2:7" x14ac:dyDescent="0.35">
      <c r="B139" s="7"/>
      <c r="C139" s="7"/>
      <c r="D139" s="7"/>
      <c r="E139" s="7"/>
      <c r="F139" s="7"/>
      <c r="G139" s="7"/>
    </row>
    <row r="140" spans="2:7" x14ac:dyDescent="0.35">
      <c r="B140" s="7"/>
      <c r="C140" s="7"/>
      <c r="D140" s="7"/>
      <c r="E140" s="7"/>
      <c r="F140" s="7"/>
      <c r="G140" s="7"/>
    </row>
    <row r="141" spans="2:7" x14ac:dyDescent="0.35">
      <c r="B141" s="7"/>
      <c r="C141" s="7"/>
      <c r="D141" s="7"/>
      <c r="E141" s="7"/>
      <c r="F141" s="7"/>
      <c r="G141" s="7"/>
    </row>
    <row r="142" spans="2:7" x14ac:dyDescent="0.35">
      <c r="B142" s="7"/>
      <c r="C142" s="7"/>
      <c r="D142" s="7"/>
      <c r="E142" s="7"/>
      <c r="F142" s="7"/>
      <c r="G142" s="7"/>
    </row>
    <row r="143" spans="2:7" x14ac:dyDescent="0.35">
      <c r="B143" s="7"/>
      <c r="C143" s="7"/>
      <c r="D143" s="7"/>
      <c r="E143" s="7"/>
      <c r="F143" s="7"/>
      <c r="G143" s="7"/>
    </row>
    <row r="144" spans="2:7" x14ac:dyDescent="0.35">
      <c r="B144" s="7"/>
      <c r="C144" s="7"/>
      <c r="D144" s="7"/>
      <c r="E144" s="7"/>
      <c r="F144" s="7"/>
      <c r="G144" s="7"/>
    </row>
    <row r="145" spans="2:7" x14ac:dyDescent="0.35">
      <c r="B145" s="7"/>
      <c r="C145" s="7"/>
      <c r="D145" s="7"/>
      <c r="E145" s="7"/>
      <c r="F145" s="7"/>
      <c r="G145" s="7"/>
    </row>
    <row r="146" spans="2:7" x14ac:dyDescent="0.35">
      <c r="B146" s="7"/>
      <c r="C146" s="7"/>
      <c r="D146" s="7"/>
      <c r="E146" s="7"/>
      <c r="F146" s="7"/>
      <c r="G146" s="7"/>
    </row>
    <row r="147" spans="2:7" x14ac:dyDescent="0.35">
      <c r="B147" s="7"/>
      <c r="C147" s="7"/>
      <c r="D147" s="7"/>
      <c r="E147" s="7"/>
      <c r="F147" s="7"/>
      <c r="G147" s="7"/>
    </row>
    <row r="148" spans="2:7" x14ac:dyDescent="0.35">
      <c r="B148" s="7"/>
      <c r="C148" s="7"/>
      <c r="D148" s="7"/>
      <c r="E148" s="7"/>
      <c r="F148" s="7"/>
      <c r="G148" s="7"/>
    </row>
    <row r="149" spans="2:7" x14ac:dyDescent="0.35">
      <c r="B149" s="7"/>
      <c r="C149" s="7"/>
      <c r="D149" s="7"/>
      <c r="E149" s="7"/>
      <c r="F149" s="7"/>
      <c r="G149" s="7"/>
    </row>
    <row r="150" spans="2:7" x14ac:dyDescent="0.35">
      <c r="B150" s="7"/>
      <c r="C150" s="7"/>
      <c r="D150" s="7"/>
      <c r="E150" s="7"/>
      <c r="F150" s="7"/>
      <c r="G150" s="7"/>
    </row>
    <row r="151" spans="2:7" x14ac:dyDescent="0.35">
      <c r="B151" s="7"/>
      <c r="C151" s="7"/>
      <c r="D151" s="7"/>
      <c r="E151" s="7"/>
      <c r="F151" s="7"/>
      <c r="G151" s="7"/>
    </row>
    <row r="152" spans="2:7" x14ac:dyDescent="0.35">
      <c r="B152" s="7"/>
      <c r="C152" s="7"/>
      <c r="D152" s="7"/>
      <c r="E152" s="7"/>
      <c r="F152" s="7"/>
      <c r="G152" s="7"/>
    </row>
    <row r="153" spans="2:7" x14ac:dyDescent="0.35">
      <c r="B153" s="7"/>
      <c r="C153" s="7"/>
      <c r="D153" s="7"/>
      <c r="E153" s="7"/>
      <c r="F153" s="7"/>
      <c r="G153" s="7"/>
    </row>
    <row r="154" spans="2:7" x14ac:dyDescent="0.35">
      <c r="B154" s="7"/>
      <c r="C154" s="7"/>
      <c r="D154" s="7"/>
      <c r="E154" s="7"/>
      <c r="F154" s="7"/>
      <c r="G154" s="7"/>
    </row>
    <row r="155" spans="2:7" x14ac:dyDescent="0.35">
      <c r="B155" s="7"/>
      <c r="C155" s="7"/>
      <c r="D155" s="7"/>
      <c r="E155" s="7"/>
      <c r="F155" s="7"/>
      <c r="G155" s="7"/>
    </row>
    <row r="156" spans="2:7" x14ac:dyDescent="0.35">
      <c r="B156" s="7"/>
      <c r="C156" s="7"/>
      <c r="D156" s="7"/>
      <c r="E156" s="7"/>
      <c r="F156" s="7"/>
      <c r="G156" s="7"/>
    </row>
    <row r="157" spans="2:7" x14ac:dyDescent="0.35">
      <c r="B157" s="7"/>
      <c r="C157" s="7"/>
      <c r="D157" s="7"/>
      <c r="E157" s="7"/>
      <c r="F157" s="7"/>
      <c r="G157" s="7"/>
    </row>
    <row r="158" spans="2:7" x14ac:dyDescent="0.35">
      <c r="B158" s="7"/>
      <c r="C158" s="7"/>
      <c r="D158" s="7"/>
      <c r="E158" s="7"/>
      <c r="F158" s="7"/>
      <c r="G158" s="7"/>
    </row>
    <row r="159" spans="2:7" x14ac:dyDescent="0.35">
      <c r="B159" s="7"/>
      <c r="C159" s="7"/>
      <c r="D159" s="7"/>
      <c r="E159" s="7"/>
      <c r="F159" s="7"/>
      <c r="G159" s="7"/>
    </row>
    <row r="160" spans="2:7" x14ac:dyDescent="0.35">
      <c r="B160" s="7"/>
      <c r="C160" s="7"/>
      <c r="D160" s="7"/>
      <c r="E160" s="7"/>
      <c r="F160" s="7"/>
      <c r="G160" s="7"/>
    </row>
    <row r="161" spans="2:7" x14ac:dyDescent="0.35">
      <c r="B161" s="7"/>
      <c r="C161" s="7"/>
      <c r="D161" s="7"/>
      <c r="E161" s="7"/>
      <c r="F161" s="7"/>
      <c r="G161" s="7"/>
    </row>
    <row r="162" spans="2:7" x14ac:dyDescent="0.35">
      <c r="B162" s="7"/>
      <c r="C162" s="7"/>
      <c r="D162" s="7"/>
      <c r="E162" s="7"/>
      <c r="F162" s="7"/>
      <c r="G162" s="7"/>
    </row>
    <row r="163" spans="2:7" x14ac:dyDescent="0.35">
      <c r="B163" s="7"/>
      <c r="C163" s="7"/>
      <c r="D163" s="7"/>
      <c r="E163" s="7"/>
      <c r="F163" s="7"/>
      <c r="G163" s="7"/>
    </row>
    <row r="164" spans="2:7" x14ac:dyDescent="0.35">
      <c r="B164" s="7"/>
      <c r="C164" s="7"/>
      <c r="D164" s="7"/>
      <c r="E164" s="7"/>
      <c r="F164" s="7"/>
      <c r="G164" s="7"/>
    </row>
    <row r="165" spans="2:7" x14ac:dyDescent="0.35">
      <c r="B165" s="7"/>
      <c r="C165" s="7"/>
      <c r="D165" s="7"/>
      <c r="E165" s="7"/>
      <c r="F165" s="7"/>
      <c r="G165" s="7"/>
    </row>
    <row r="166" spans="2:7" x14ac:dyDescent="0.35">
      <c r="B166" s="7"/>
      <c r="C166" s="7"/>
      <c r="D166" s="7"/>
      <c r="E166" s="7"/>
      <c r="F166" s="7"/>
      <c r="G166" s="7"/>
    </row>
    <row r="167" spans="2:7" x14ac:dyDescent="0.35">
      <c r="B167" s="7"/>
      <c r="C167" s="7"/>
      <c r="D167" s="7"/>
      <c r="E167" s="7"/>
      <c r="F167" s="7"/>
      <c r="G167" s="7"/>
    </row>
    <row r="168" spans="2:7" x14ac:dyDescent="0.35">
      <c r="B168" s="7"/>
      <c r="C168" s="7"/>
      <c r="D168" s="7"/>
      <c r="E168" s="7"/>
      <c r="F168" s="7"/>
      <c r="G168" s="7"/>
    </row>
    <row r="169" spans="2:7" x14ac:dyDescent="0.35">
      <c r="B169" s="7"/>
      <c r="C169" s="7"/>
      <c r="D169" s="7"/>
      <c r="E169" s="7"/>
      <c r="F169" s="7"/>
      <c r="G169" s="7"/>
    </row>
    <row r="170" spans="2:7" x14ac:dyDescent="0.35">
      <c r="B170" s="7"/>
      <c r="C170" s="7"/>
      <c r="D170" s="7"/>
      <c r="E170" s="7"/>
      <c r="F170" s="7"/>
      <c r="G170" s="7"/>
    </row>
    <row r="171" spans="2:7" x14ac:dyDescent="0.35">
      <c r="B171" s="7"/>
      <c r="C171" s="7"/>
      <c r="D171" s="7"/>
      <c r="E171" s="7"/>
      <c r="F171" s="7"/>
      <c r="G171" s="7"/>
    </row>
    <row r="172" spans="2:7" x14ac:dyDescent="0.35">
      <c r="B172" s="7"/>
      <c r="C172" s="7"/>
      <c r="D172" s="7"/>
      <c r="E172" s="7"/>
      <c r="F172" s="7"/>
      <c r="G172" s="7"/>
    </row>
    <row r="173" spans="2:7" x14ac:dyDescent="0.35">
      <c r="B173" s="7"/>
      <c r="C173" s="7"/>
      <c r="D173" s="7"/>
      <c r="E173" s="7"/>
      <c r="F173" s="7"/>
      <c r="G173" s="7"/>
    </row>
    <row r="174" spans="2:7" x14ac:dyDescent="0.35">
      <c r="B174" s="7"/>
      <c r="C174" s="7"/>
      <c r="D174" s="7"/>
      <c r="E174" s="7"/>
      <c r="F174" s="7"/>
      <c r="G174" s="7"/>
    </row>
    <row r="175" spans="2:7" x14ac:dyDescent="0.35">
      <c r="B175" s="7"/>
      <c r="C175" s="7"/>
      <c r="D175" s="7"/>
      <c r="E175" s="7"/>
      <c r="F175" s="7"/>
      <c r="G175" s="7"/>
    </row>
    <row r="176" spans="2:7" x14ac:dyDescent="0.35">
      <c r="B176" s="7"/>
      <c r="C176" s="7"/>
      <c r="D176" s="7"/>
      <c r="E176" s="7"/>
      <c r="F176" s="7"/>
      <c r="G176" s="7"/>
    </row>
    <row r="177" spans="2:7" x14ac:dyDescent="0.35">
      <c r="B177" s="7"/>
      <c r="C177" s="7"/>
      <c r="D177" s="7"/>
      <c r="E177" s="7"/>
      <c r="F177" s="7"/>
      <c r="G177" s="7"/>
    </row>
    <row r="178" spans="2:7" x14ac:dyDescent="0.35">
      <c r="B178" s="7"/>
      <c r="C178" s="7"/>
      <c r="D178" s="7"/>
      <c r="E178" s="7"/>
      <c r="F178" s="7"/>
      <c r="G178" s="7"/>
    </row>
    <row r="179" spans="2:7" x14ac:dyDescent="0.35">
      <c r="B179" s="7"/>
      <c r="C179" s="7"/>
      <c r="D179" s="7"/>
      <c r="E179" s="7"/>
      <c r="F179" s="7"/>
      <c r="G179" s="7"/>
    </row>
    <row r="180" spans="2:7" x14ac:dyDescent="0.35">
      <c r="B180" s="7"/>
      <c r="C180" s="7"/>
      <c r="D180" s="7"/>
      <c r="E180" s="7"/>
      <c r="F180" s="7"/>
      <c r="G180" s="7"/>
    </row>
    <row r="181" spans="2:7" x14ac:dyDescent="0.35">
      <c r="B181" s="7"/>
      <c r="C181" s="7"/>
      <c r="D181" s="7"/>
      <c r="E181" s="7"/>
      <c r="F181" s="7"/>
      <c r="G181" s="7"/>
    </row>
    <row r="182" spans="2:7" x14ac:dyDescent="0.35">
      <c r="B182" s="7"/>
      <c r="C182" s="7"/>
      <c r="D182" s="7"/>
      <c r="E182" s="7"/>
      <c r="F182" s="7"/>
      <c r="G182" s="7"/>
    </row>
    <row r="183" spans="2:7" x14ac:dyDescent="0.35">
      <c r="B183" s="7"/>
      <c r="C183" s="7"/>
      <c r="D183" s="7"/>
      <c r="E183" s="7"/>
      <c r="F183" s="7"/>
      <c r="G183" s="7"/>
    </row>
    <row r="184" spans="2:7" x14ac:dyDescent="0.35">
      <c r="B184" s="7"/>
      <c r="C184" s="7"/>
      <c r="D184" s="7"/>
      <c r="E184" s="7"/>
      <c r="F184" s="7"/>
      <c r="G184" s="7"/>
    </row>
    <row r="185" spans="2:7" x14ac:dyDescent="0.35">
      <c r="B185" s="7"/>
      <c r="C185" s="7"/>
      <c r="D185" s="7"/>
      <c r="E185" s="7"/>
      <c r="F185" s="7"/>
      <c r="G185" s="7"/>
    </row>
    <row r="186" spans="2:7" x14ac:dyDescent="0.35">
      <c r="B186" s="7"/>
      <c r="C186" s="7"/>
      <c r="D186" s="7"/>
      <c r="E186" s="7"/>
      <c r="F186" s="7"/>
      <c r="G186" s="7"/>
    </row>
    <row r="187" spans="2:7" x14ac:dyDescent="0.35">
      <c r="B187" s="7"/>
      <c r="C187" s="7"/>
      <c r="D187" s="7"/>
      <c r="E187" s="7"/>
      <c r="F187" s="7"/>
      <c r="G187" s="7"/>
    </row>
    <row r="188" spans="2:7" x14ac:dyDescent="0.35">
      <c r="B188" s="7"/>
      <c r="C188" s="7"/>
      <c r="D188" s="7"/>
      <c r="E188" s="7"/>
      <c r="F188" s="7"/>
      <c r="G188" s="7"/>
    </row>
    <row r="189" spans="2:7" x14ac:dyDescent="0.35">
      <c r="B189" s="7"/>
      <c r="C189" s="7"/>
      <c r="D189" s="7"/>
      <c r="E189" s="7"/>
      <c r="F189" s="7"/>
      <c r="G189" s="7"/>
    </row>
    <row r="190" spans="2:7" x14ac:dyDescent="0.35">
      <c r="B190" s="7"/>
      <c r="C190" s="7"/>
      <c r="D190" s="7"/>
      <c r="E190" s="7"/>
      <c r="F190" s="7"/>
      <c r="G190" s="7"/>
    </row>
  </sheetData>
  <mergeCells count="1">
    <mergeCell ref="T1:U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4CA4-E19C-4690-8C87-A5ED3D35D276}">
  <dimension ref="A1:AF190"/>
  <sheetViews>
    <sheetView topLeftCell="H1" workbookViewId="0">
      <selection activeCell="S4" sqref="S4"/>
    </sheetView>
  </sheetViews>
  <sheetFormatPr defaultRowHeight="14.5" x14ac:dyDescent="0.35"/>
  <cols>
    <col min="7" max="7" width="10.453125" customWidth="1"/>
    <col min="8" max="8" width="9.90625" customWidth="1"/>
    <col min="10" max="10" width="10" customWidth="1"/>
    <col min="11" max="11" width="9.90625" customWidth="1"/>
    <col min="15" max="15" width="10.54296875" bestFit="1" customWidth="1"/>
    <col min="19" max="19" width="15.08984375" bestFit="1" customWidth="1"/>
    <col min="20" max="20" width="17.90625" customWidth="1"/>
  </cols>
  <sheetData>
    <row r="1" spans="1:32" x14ac:dyDescent="0.35">
      <c r="A1" t="s">
        <v>300</v>
      </c>
      <c r="B1" t="s">
        <v>301</v>
      </c>
      <c r="C1" t="s">
        <v>302</v>
      </c>
      <c r="D1" t="s">
        <v>308</v>
      </c>
      <c r="E1" t="s">
        <v>309</v>
      </c>
      <c r="F1" t="s">
        <v>307</v>
      </c>
      <c r="G1" t="s">
        <v>316</v>
      </c>
      <c r="H1" t="s">
        <v>304</v>
      </c>
      <c r="I1" t="s">
        <v>311</v>
      </c>
      <c r="J1" t="s">
        <v>310</v>
      </c>
      <c r="K1" t="s">
        <v>312</v>
      </c>
      <c r="M1" t="s">
        <v>313</v>
      </c>
      <c r="N1" t="s">
        <v>314</v>
      </c>
      <c r="O1" t="s">
        <v>303</v>
      </c>
      <c r="P1" t="s">
        <v>317</v>
      </c>
      <c r="Q1" t="s">
        <v>315</v>
      </c>
      <c r="R1" t="s">
        <v>319</v>
      </c>
      <c r="S1" t="s">
        <v>320</v>
      </c>
      <c r="T1" s="14" t="s">
        <v>321</v>
      </c>
      <c r="U1" s="14"/>
      <c r="AF1" t="s">
        <v>305</v>
      </c>
    </row>
    <row r="2" spans="1:32" x14ac:dyDescent="0.35">
      <c r="A2" t="str">
        <f>'US Raw Data'!A5</f>
        <v>1998-Q2</v>
      </c>
      <c r="B2" s="7">
        <f>'US Raw Data'!B5</f>
        <v>8969.6990000000005</v>
      </c>
      <c r="C2" s="7">
        <f>'US Raw Data'!C5</f>
        <v>1771.548</v>
      </c>
      <c r="D2" s="7">
        <f>'US Raw Data'!D5</f>
        <v>1781.9110000000001</v>
      </c>
      <c r="E2" s="7">
        <f>'US Raw Data'!E5</f>
        <v>367.64800000000002</v>
      </c>
      <c r="F2" s="7">
        <f>D2-E2</f>
        <v>1414.2629999999999</v>
      </c>
      <c r="G2" s="7">
        <f>'US Raw Data'!F5*(B2*4/100)</f>
        <v>22191.738550401598</v>
      </c>
      <c r="J2" s="7"/>
      <c r="K2" s="7"/>
      <c r="M2">
        <f>400*F2/(4*B2)</f>
        <v>15.767117714875379</v>
      </c>
      <c r="N2">
        <f>400*C2/(4*B2)</f>
        <v>19.750361745695145</v>
      </c>
      <c r="O2" s="10">
        <f>100*G2/(4*B2)</f>
        <v>61.851959999999998</v>
      </c>
      <c r="P2" t="s">
        <v>318</v>
      </c>
      <c r="Q2" t="s">
        <v>318</v>
      </c>
      <c r="R2" t="s">
        <v>318</v>
      </c>
      <c r="T2" t="s">
        <v>322</v>
      </c>
      <c r="U2" t="s">
        <v>323</v>
      </c>
      <c r="AF2" t="s">
        <v>306</v>
      </c>
    </row>
    <row r="3" spans="1:32" x14ac:dyDescent="0.35">
      <c r="A3" t="str">
        <f>'US Raw Data'!A6</f>
        <v>1998-Q3</v>
      </c>
      <c r="B3" s="7">
        <f>'US Raw Data'!B6</f>
        <v>9121.0969999999998</v>
      </c>
      <c r="C3" s="7">
        <f>'US Raw Data'!C6</f>
        <v>1808.4469999999999</v>
      </c>
      <c r="D3" s="7">
        <f>'US Raw Data'!D6</f>
        <v>1788.538</v>
      </c>
      <c r="E3" s="7">
        <f>'US Raw Data'!E6</f>
        <v>366.20400000000001</v>
      </c>
      <c r="F3" s="7">
        <f t="shared" ref="F3:F66" si="0">D3-E3</f>
        <v>1422.3340000000001</v>
      </c>
      <c r="G3" s="7">
        <f>'US Raw Data'!F6*(B3*4/100)</f>
        <v>22104.770618488401</v>
      </c>
      <c r="H3" s="7">
        <f>F3-C3+E3+G2</f>
        <v>22171.829550401599</v>
      </c>
      <c r="I3" s="7">
        <f>G3-H3</f>
        <v>-67.058931913197739</v>
      </c>
      <c r="J3" s="7">
        <f>F3-C3+E3+G2</f>
        <v>22171.829550401599</v>
      </c>
      <c r="K3" s="7">
        <f>F3-C3+E3+I3+G2</f>
        <v>22104.770618488401</v>
      </c>
      <c r="M3">
        <f t="shared" ref="M3:M66" si="1">400*F3/(4*B3)</f>
        <v>15.593891831212845</v>
      </c>
      <c r="N3">
        <f t="shared" ref="N3:N66" si="2">400*C3/(4*B3)</f>
        <v>19.827077817503749</v>
      </c>
      <c r="O3" s="10">
        <f>100*G3/(4*B3)</f>
        <v>60.586930000000009</v>
      </c>
      <c r="P3">
        <f>100*G2/(4*B3)</f>
        <v>60.825300263777486</v>
      </c>
      <c r="Q3">
        <f>400*E3/(4*B3)*(1/(P3/100))</f>
        <v>6.600726647320255</v>
      </c>
      <c r="R3">
        <f>400*I3/(4*B3)</f>
        <v>-0.73520687164271736</v>
      </c>
      <c r="S3" s="10">
        <f>(1/4)*(M3-N3+R3)+(1+(Q3/400))*P3</f>
        <v>60.586930000000009</v>
      </c>
      <c r="T3" s="10">
        <f>(1/4)*(M3-N3+R3)+(1+(Q3/400))*P3</f>
        <v>60.586930000000009</v>
      </c>
    </row>
    <row r="4" spans="1:32" x14ac:dyDescent="0.35">
      <c r="A4" t="str">
        <f>'US Raw Data'!A7</f>
        <v>1998-Q4</v>
      </c>
      <c r="B4" s="7">
        <f>'US Raw Data'!B7</f>
        <v>9293.991</v>
      </c>
      <c r="C4" s="7">
        <f>'US Raw Data'!C7</f>
        <v>1835.085</v>
      </c>
      <c r="D4" s="7">
        <f>'US Raw Data'!D7</f>
        <v>1814.518</v>
      </c>
      <c r="E4" s="7">
        <f>'US Raw Data'!E7</f>
        <v>360.08800000000002</v>
      </c>
      <c r="F4" s="7">
        <f t="shared" si="0"/>
        <v>1454.43</v>
      </c>
      <c r="G4" s="7">
        <f>'US Raw Data'!F7*(B4*4/100)</f>
        <v>22456.869703094399</v>
      </c>
      <c r="H4" s="7">
        <f>F4-C4+E4+G3</f>
        <v>22084.203618488402</v>
      </c>
      <c r="I4" s="7">
        <f t="shared" ref="I4:I67" si="3">G4-H4</f>
        <v>372.66608460599673</v>
      </c>
      <c r="J4" s="7">
        <f t="shared" ref="J4:J35" si="4">F4-C4+E4+J3</f>
        <v>22151.2625504016</v>
      </c>
      <c r="K4" s="7">
        <f t="shared" ref="K4:K35" si="5">F4-C4+E4+I4+K3</f>
        <v>22456.869703094399</v>
      </c>
      <c r="M4">
        <f t="shared" si="1"/>
        <v>15.649143624090017</v>
      </c>
      <c r="N4">
        <f t="shared" si="2"/>
        <v>19.744854497922368</v>
      </c>
      <c r="O4" s="10">
        <f t="shared" ref="O4:O67" si="6">100*G4/(4*B4)</f>
        <v>60.406959999999998</v>
      </c>
      <c r="P4">
        <f t="shared" ref="P4:P67" si="7">100*G3/(4*B4)</f>
        <v>59.459845125975491</v>
      </c>
      <c r="Q4">
        <f t="shared" ref="Q4:Q67" si="8">400*E4/(4*B4)*(1/(P4/100))</f>
        <v>6.5160232823012949</v>
      </c>
      <c r="R4">
        <f t="shared" ref="R4:R67" si="9">400*I4/(4*B4)</f>
        <v>4.0097530179015317</v>
      </c>
      <c r="S4" s="10">
        <f t="shared" ref="S4:S67" si="10">(1/4)*(M4-N4+R4)+(1+(Q4/400))*P4</f>
        <v>60.406959999999998</v>
      </c>
      <c r="T4">
        <f>(1/4)*(M4-N4+R4)+(1+(Q4/400))*T3</f>
        <v>61.552405152225205</v>
      </c>
      <c r="U4">
        <f>T4*(B3/B4)</f>
        <v>60.407359763609186</v>
      </c>
    </row>
    <row r="5" spans="1:32" x14ac:dyDescent="0.35">
      <c r="A5" t="str">
        <f>'US Raw Data'!A8</f>
        <v>1999-Q1</v>
      </c>
      <c r="B5" s="7">
        <f>'US Raw Data'!B8</f>
        <v>9411.6820000000007</v>
      </c>
      <c r="C5" s="7">
        <f>'US Raw Data'!C8</f>
        <v>1860.002</v>
      </c>
      <c r="D5" s="7">
        <f>'US Raw Data'!D8</f>
        <v>1811.9880000000001</v>
      </c>
      <c r="E5" s="7">
        <f>'US Raw Data'!E8</f>
        <v>352.596</v>
      </c>
      <c r="F5" s="7">
        <f t="shared" si="0"/>
        <v>1459.3920000000001</v>
      </c>
      <c r="G5" s="7">
        <f>'US Raw Data'!F8*(B5*4/100)</f>
        <v>22606.461108683201</v>
      </c>
      <c r="H5" s="7">
        <f t="shared" ref="H5:H67" si="11">F5-C5+E5+G4</f>
        <v>22408.855703094399</v>
      </c>
      <c r="I5" s="7">
        <f t="shared" si="3"/>
        <v>197.60540558880166</v>
      </c>
      <c r="J5" s="7">
        <f t="shared" si="4"/>
        <v>22103.2485504016</v>
      </c>
      <c r="K5" s="7">
        <f t="shared" si="5"/>
        <v>22606.461108683201</v>
      </c>
      <c r="M5">
        <f t="shared" si="1"/>
        <v>15.506176260523889</v>
      </c>
      <c r="N5">
        <f t="shared" si="2"/>
        <v>19.76269491468156</v>
      </c>
      <c r="O5" s="10">
        <f t="shared" si="6"/>
        <v>60.048939999999995</v>
      </c>
      <c r="P5">
        <f t="shared" si="7"/>
        <v>59.651584337141863</v>
      </c>
      <c r="Q5">
        <f t="shared" si="8"/>
        <v>6.2804122687039454</v>
      </c>
      <c r="R5">
        <f t="shared" si="9"/>
        <v>2.0995758844041017</v>
      </c>
      <c r="S5" s="10">
        <f t="shared" si="10"/>
        <v>60.048940000000002</v>
      </c>
      <c r="T5">
        <f>(1/4)*(M5-N5+R5)+(1+(Q5/400))*U4</f>
        <v>60.81658187961925</v>
      </c>
      <c r="U5">
        <f>T5*(B4/B5)</f>
        <v>60.056083985832117</v>
      </c>
    </row>
    <row r="6" spans="1:32" x14ac:dyDescent="0.35">
      <c r="A6" t="str">
        <f>'US Raw Data'!A9</f>
        <v>1999-Q2</v>
      </c>
      <c r="B6" s="7">
        <f>'US Raw Data'!B9</f>
        <v>9526.2099999999991</v>
      </c>
      <c r="C6" s="7">
        <f>'US Raw Data'!C9</f>
        <v>1885.184</v>
      </c>
      <c r="D6" s="7">
        <f>'US Raw Data'!D9</f>
        <v>1816.961</v>
      </c>
      <c r="E6" s="7">
        <f>'US Raw Data'!E9</f>
        <v>352.14100000000002</v>
      </c>
      <c r="F6" s="7">
        <f t="shared" si="0"/>
        <v>1464.82</v>
      </c>
      <c r="G6" s="7">
        <f>'US Raw Data'!F9*(B6*4/100)</f>
        <v>22555.119775867999</v>
      </c>
      <c r="H6" s="7">
        <f t="shared" si="11"/>
        <v>22538.238108683199</v>
      </c>
      <c r="I6" s="7">
        <f t="shared" si="3"/>
        <v>16.88166718479988</v>
      </c>
      <c r="J6" s="7">
        <f t="shared" si="4"/>
        <v>22035.025550401599</v>
      </c>
      <c r="K6" s="7">
        <f t="shared" si="5"/>
        <v>22555.119775867999</v>
      </c>
      <c r="M6">
        <f t="shared" si="1"/>
        <v>15.376734294121167</v>
      </c>
      <c r="N6">
        <f t="shared" si="2"/>
        <v>19.789444070622</v>
      </c>
      <c r="O6" s="10">
        <f t="shared" si="6"/>
        <v>59.192270000000001</v>
      </c>
      <c r="P6">
        <f t="shared" si="7"/>
        <v>59.327007038169434</v>
      </c>
      <c r="Q6">
        <f t="shared" si="8"/>
        <v>6.2308027480646535</v>
      </c>
      <c r="R6">
        <f t="shared" si="9"/>
        <v>0.17721283894434284</v>
      </c>
      <c r="S6" s="10">
        <f t="shared" si="10"/>
        <v>59.192270000000008</v>
      </c>
      <c r="T6">
        <f t="shared" ref="T6:T69" si="12">(1/4)*(M6-N6+R6)+(1+(Q6/400))*U5</f>
        <v>59.932703784285309</v>
      </c>
      <c r="U6">
        <f t="shared" ref="U6:U69" si="13">T6*(B5/B6)</f>
        <v>59.212168261868051</v>
      </c>
    </row>
    <row r="7" spans="1:32" x14ac:dyDescent="0.35">
      <c r="A7" t="str">
        <f>'US Raw Data'!A10</f>
        <v>1999-Q3</v>
      </c>
      <c r="B7" s="7">
        <f>'US Raw Data'!B10</f>
        <v>9686.6260000000002</v>
      </c>
      <c r="C7" s="7">
        <f>'US Raw Data'!C10</f>
        <v>1914.8620000000001</v>
      </c>
      <c r="D7" s="7">
        <f>'US Raw Data'!D10</f>
        <v>1843.2049999999999</v>
      </c>
      <c r="E7" s="7">
        <f>'US Raw Data'!E10</f>
        <v>351.07299999999998</v>
      </c>
      <c r="F7" s="7">
        <f t="shared" si="0"/>
        <v>1492.1320000000001</v>
      </c>
      <c r="G7" s="7">
        <f>'US Raw Data'!F10*(B7*4/100)</f>
        <v>22625.0833454032</v>
      </c>
      <c r="H7" s="7">
        <f t="shared" si="11"/>
        <v>22483.462775868</v>
      </c>
      <c r="I7" s="7">
        <f t="shared" si="3"/>
        <v>141.62056953520005</v>
      </c>
      <c r="J7" s="7">
        <f t="shared" si="4"/>
        <v>21963.368550401599</v>
      </c>
      <c r="K7" s="7">
        <f t="shared" si="5"/>
        <v>22625.0833454032</v>
      </c>
      <c r="M7">
        <f t="shared" si="1"/>
        <v>15.404042646015238</v>
      </c>
      <c r="N7">
        <f t="shared" si="2"/>
        <v>19.768100884663042</v>
      </c>
      <c r="O7" s="10">
        <f t="shared" si="6"/>
        <v>58.392580000000002</v>
      </c>
      <c r="P7">
        <f t="shared" si="7"/>
        <v>58.212012562134632</v>
      </c>
      <c r="Q7">
        <f t="shared" si="8"/>
        <v>6.2260454121040372</v>
      </c>
      <c r="R7">
        <f t="shared" si="9"/>
        <v>1.4620216526910406</v>
      </c>
      <c r="S7" s="10">
        <f t="shared" si="10"/>
        <v>58.392579999999995</v>
      </c>
      <c r="T7">
        <f t="shared" si="12"/>
        <v>59.408303236747706</v>
      </c>
      <c r="U7">
        <f t="shared" si="13"/>
        <v>58.424468166411948</v>
      </c>
    </row>
    <row r="8" spans="1:32" x14ac:dyDescent="0.35">
      <c r="A8" t="str">
        <f>'US Raw Data'!A11</f>
        <v>1999-Q4</v>
      </c>
      <c r="B8" s="7">
        <f>'US Raw Data'!B11</f>
        <v>9900.1689999999999</v>
      </c>
      <c r="C8" s="7">
        <f>'US Raw Data'!C11</f>
        <v>1963.7560000000001</v>
      </c>
      <c r="D8" s="7">
        <f>'US Raw Data'!D11</f>
        <v>1875.154</v>
      </c>
      <c r="E8" s="7">
        <f>'US Raw Data'!E11</f>
        <v>352.92500000000001</v>
      </c>
      <c r="F8" s="7">
        <f t="shared" si="0"/>
        <v>1522.229</v>
      </c>
      <c r="G8" s="7">
        <f>'US Raw Data'!F11*(B8*4/100)</f>
        <v>23104.364961113599</v>
      </c>
      <c r="H8" s="7">
        <f t="shared" si="11"/>
        <v>22536.481345403201</v>
      </c>
      <c r="I8" s="7">
        <f t="shared" si="3"/>
        <v>567.88361571039786</v>
      </c>
      <c r="J8" s="7">
        <f t="shared" si="4"/>
        <v>21874.7665504016</v>
      </c>
      <c r="K8" s="7">
        <f t="shared" si="5"/>
        <v>23104.364961113599</v>
      </c>
      <c r="M8">
        <f t="shared" si="1"/>
        <v>15.375788029477071</v>
      </c>
      <c r="N8">
        <f t="shared" si="2"/>
        <v>19.835580584533457</v>
      </c>
      <c r="O8" s="10">
        <f t="shared" si="6"/>
        <v>58.343359999999997</v>
      </c>
      <c r="P8">
        <f t="shared" si="7"/>
        <v>57.13307355006566</v>
      </c>
      <c r="Q8">
        <f t="shared" si="8"/>
        <v>6.2395350260082862</v>
      </c>
      <c r="R8">
        <f t="shared" si="9"/>
        <v>5.7361002192022967</v>
      </c>
      <c r="S8" s="10">
        <f t="shared" si="10"/>
        <v>58.34335999999999</v>
      </c>
      <c r="T8">
        <f t="shared" si="12"/>
        <v>59.654898871199009</v>
      </c>
      <c r="U8">
        <f t="shared" si="13"/>
        <v>58.368164668009911</v>
      </c>
    </row>
    <row r="9" spans="1:32" x14ac:dyDescent="0.35">
      <c r="A9" t="str">
        <f>'US Raw Data'!A12</f>
        <v>2000-Q1</v>
      </c>
      <c r="B9" s="7">
        <f>'US Raw Data'!B12</f>
        <v>10002.179</v>
      </c>
      <c r="C9" s="7">
        <f>'US Raw Data'!C12</f>
        <v>2041.7639999999999</v>
      </c>
      <c r="D9" s="7">
        <f>'US Raw Data'!D12</f>
        <v>1866.308</v>
      </c>
      <c r="E9" s="7">
        <f>'US Raw Data'!E12</f>
        <v>354.822</v>
      </c>
      <c r="F9" s="7">
        <f t="shared" si="0"/>
        <v>1511.4859999999999</v>
      </c>
      <c r="G9" s="7">
        <f>'US Raw Data'!F12*(B9*4/100)</f>
        <v>23093.566991994398</v>
      </c>
      <c r="H9" s="7">
        <f t="shared" si="11"/>
        <v>22928.908961113601</v>
      </c>
      <c r="I9" s="7">
        <f t="shared" si="3"/>
        <v>164.65803088079701</v>
      </c>
      <c r="J9" s="7">
        <f t="shared" si="4"/>
        <v>21699.310550401602</v>
      </c>
      <c r="K9" s="7">
        <f t="shared" si="5"/>
        <v>23093.566991994398</v>
      </c>
      <c r="M9">
        <f t="shared" si="1"/>
        <v>15.111567189509403</v>
      </c>
      <c r="N9">
        <f t="shared" si="2"/>
        <v>20.413191965470723</v>
      </c>
      <c r="O9" s="10">
        <f t="shared" si="6"/>
        <v>57.721339999999998</v>
      </c>
      <c r="P9">
        <f t="shared" si="7"/>
        <v>57.748329041885768</v>
      </c>
      <c r="Q9">
        <f t="shared" si="8"/>
        <v>6.1429431295288541</v>
      </c>
      <c r="R9">
        <f t="shared" si="9"/>
        <v>1.6462215971219571</v>
      </c>
      <c r="S9" s="10">
        <f t="shared" si="10"/>
        <v>57.721339999999991</v>
      </c>
      <c r="T9">
        <f t="shared" si="12"/>
        <v>58.350694663626477</v>
      </c>
      <c r="U9">
        <f t="shared" si="13"/>
        <v>57.755588900908521</v>
      </c>
    </row>
    <row r="10" spans="1:32" x14ac:dyDescent="0.35">
      <c r="A10" t="str">
        <f>'US Raw Data'!A13</f>
        <v>2000-Q2</v>
      </c>
      <c r="B10" s="7">
        <f>'US Raw Data'!B13</f>
        <v>10247.719999999999</v>
      </c>
      <c r="C10" s="7">
        <f>'US Raw Data'!C13</f>
        <v>2056.279</v>
      </c>
      <c r="D10" s="7">
        <f>'US Raw Data'!D13</f>
        <v>1908.645</v>
      </c>
      <c r="E10" s="7">
        <f>'US Raw Data'!E13</f>
        <v>354.10899999999998</v>
      </c>
      <c r="F10" s="7">
        <f t="shared" si="0"/>
        <v>1554.5360000000001</v>
      </c>
      <c r="G10" s="7">
        <f>'US Raw Data'!F13*(B10*4/100)</f>
        <v>22743.752876208</v>
      </c>
      <c r="H10" s="7">
        <f t="shared" si="11"/>
        <v>22945.932991994399</v>
      </c>
      <c r="I10" s="7">
        <f t="shared" si="3"/>
        <v>-202.18011578639926</v>
      </c>
      <c r="J10" s="7">
        <f t="shared" si="4"/>
        <v>21551.676550401604</v>
      </c>
      <c r="K10" s="7">
        <f t="shared" si="5"/>
        <v>22743.752876208</v>
      </c>
      <c r="M10">
        <f t="shared" si="1"/>
        <v>15.169579184442981</v>
      </c>
      <c r="N10">
        <f t="shared" si="2"/>
        <v>20.065721936196539</v>
      </c>
      <c r="O10" s="10">
        <f t="shared" si="6"/>
        <v>55.484910000000006</v>
      </c>
      <c r="P10">
        <f t="shared" si="7"/>
        <v>56.338304988803365</v>
      </c>
      <c r="Q10">
        <f t="shared" si="8"/>
        <v>6.1334656551368649</v>
      </c>
      <c r="R10">
        <f t="shared" si="9"/>
        <v>-1.9729277906343974</v>
      </c>
      <c r="S10" s="10">
        <f t="shared" si="10"/>
        <v>55.484909999999999</v>
      </c>
      <c r="T10">
        <f t="shared" si="12"/>
        <v>56.923926067601343</v>
      </c>
      <c r="U10">
        <f t="shared" si="13"/>
        <v>55.559997532223242</v>
      </c>
    </row>
    <row r="11" spans="1:32" x14ac:dyDescent="0.35">
      <c r="A11" t="str">
        <f>'US Raw Data'!A14</f>
        <v>2000-Q3</v>
      </c>
      <c r="B11" s="7">
        <f>'US Raw Data'!B14</f>
        <v>10318.165000000001</v>
      </c>
      <c r="C11" s="7">
        <f>'US Raw Data'!C14</f>
        <v>2076.268</v>
      </c>
      <c r="D11" s="7">
        <f>'US Raw Data'!D14</f>
        <v>1918.617</v>
      </c>
      <c r="E11" s="7">
        <f>'US Raw Data'!E14</f>
        <v>352.87700000000001</v>
      </c>
      <c r="F11" s="7">
        <f t="shared" si="0"/>
        <v>1565.74</v>
      </c>
      <c r="G11" s="7">
        <f>'US Raw Data'!F14*(B11*4/100)</f>
        <v>22696.714841658002</v>
      </c>
      <c r="H11" s="7">
        <f t="shared" si="11"/>
        <v>22586.101876207998</v>
      </c>
      <c r="I11" s="7">
        <f t="shared" si="3"/>
        <v>110.61296545000368</v>
      </c>
      <c r="J11" s="7">
        <f t="shared" si="4"/>
        <v>21394.025550401602</v>
      </c>
      <c r="K11" s="7">
        <f t="shared" si="5"/>
        <v>22696.714841658002</v>
      </c>
      <c r="M11">
        <f t="shared" si="1"/>
        <v>15.174597421149981</v>
      </c>
      <c r="N11">
        <f t="shared" si="2"/>
        <v>20.122453944087923</v>
      </c>
      <c r="O11" s="10">
        <f t="shared" si="6"/>
        <v>54.992130000000003</v>
      </c>
      <c r="P11">
        <f t="shared" si="7"/>
        <v>55.106098991942851</v>
      </c>
      <c r="Q11">
        <f t="shared" si="8"/>
        <v>6.2061349667431696</v>
      </c>
      <c r="R11">
        <f t="shared" si="9"/>
        <v>1.0720216768195088</v>
      </c>
      <c r="S11" s="10">
        <f t="shared" si="10"/>
        <v>54.99213000000001</v>
      </c>
      <c r="T11">
        <f t="shared" si="12"/>
        <v>55.453070929285872</v>
      </c>
      <c r="U11">
        <f t="shared" si="13"/>
        <v>55.074477295474665</v>
      </c>
    </row>
    <row r="12" spans="1:32" x14ac:dyDescent="0.35">
      <c r="A12" t="str">
        <f>'US Raw Data'!A15</f>
        <v>2000-Q4</v>
      </c>
      <c r="B12" s="7">
        <f>'US Raw Data'!B15</f>
        <v>10435.744000000001</v>
      </c>
      <c r="C12" s="7">
        <f>'US Raw Data'!C15</f>
        <v>2096.7959999999998</v>
      </c>
      <c r="D12" s="7">
        <f>'US Raw Data'!D15</f>
        <v>1938.796</v>
      </c>
      <c r="E12" s="7">
        <f>'US Raw Data'!E15</f>
        <v>353.10500000000002</v>
      </c>
      <c r="F12" s="7">
        <f t="shared" si="0"/>
        <v>1585.691</v>
      </c>
      <c r="G12" s="7">
        <f>'US Raw Data'!F15*(B12*4/100)</f>
        <v>22648.862175104001</v>
      </c>
      <c r="H12" s="7">
        <f t="shared" si="11"/>
        <v>22538.714841658002</v>
      </c>
      <c r="I12" s="7">
        <f t="shared" si="3"/>
        <v>110.14733344599881</v>
      </c>
      <c r="J12" s="7">
        <f t="shared" si="4"/>
        <v>21236.025550401602</v>
      </c>
      <c r="K12" s="7">
        <f t="shared" si="5"/>
        <v>22648.862175104001</v>
      </c>
      <c r="M12">
        <f t="shared" si="1"/>
        <v>15.194805468589493</v>
      </c>
      <c r="N12">
        <f t="shared" si="2"/>
        <v>20.092443816176399</v>
      </c>
      <c r="O12" s="10">
        <f t="shared" si="6"/>
        <v>54.257899999999992</v>
      </c>
      <c r="P12">
        <f t="shared" si="7"/>
        <v>54.37253645178054</v>
      </c>
      <c r="Q12">
        <f t="shared" si="8"/>
        <v>6.2230151361271728</v>
      </c>
      <c r="R12">
        <f t="shared" si="9"/>
        <v>1.0554813671741929</v>
      </c>
      <c r="S12" s="10">
        <f t="shared" si="10"/>
        <v>54.257899999999999</v>
      </c>
      <c r="T12">
        <f t="shared" si="12"/>
        <v>54.970761314931565</v>
      </c>
      <c r="U12">
        <f t="shared" si="13"/>
        <v>54.351408526606335</v>
      </c>
    </row>
    <row r="13" spans="1:32" x14ac:dyDescent="0.35">
      <c r="A13" t="str">
        <f>'US Raw Data'!A16</f>
        <v>2001-Q1</v>
      </c>
      <c r="B13" s="7">
        <f>'US Raw Data'!B16</f>
        <v>10470.231</v>
      </c>
      <c r="C13" s="7">
        <f>'US Raw Data'!C16</f>
        <v>2111.058</v>
      </c>
      <c r="D13" s="7">
        <f>'US Raw Data'!D16</f>
        <v>1982.626</v>
      </c>
      <c r="E13" s="7">
        <f>'US Raw Data'!E16</f>
        <v>345.47899999999998</v>
      </c>
      <c r="F13" s="7">
        <f t="shared" si="0"/>
        <v>1637.1469999999999</v>
      </c>
      <c r="G13" s="7">
        <f>'US Raw Data'!F16*(B13*4/100)</f>
        <v>23094.9591257016</v>
      </c>
      <c r="H13" s="7">
        <f t="shared" si="11"/>
        <v>22520.430175104</v>
      </c>
      <c r="I13" s="7">
        <f t="shared" si="3"/>
        <v>574.52895059759976</v>
      </c>
      <c r="J13" s="7">
        <f t="shared" si="4"/>
        <v>21107.593550401602</v>
      </c>
      <c r="K13" s="7">
        <f t="shared" si="5"/>
        <v>23094.9591257016</v>
      </c>
      <c r="M13">
        <f t="shared" si="1"/>
        <v>15.6362070712671</v>
      </c>
      <c r="N13">
        <f t="shared" si="2"/>
        <v>20.162477790604619</v>
      </c>
      <c r="O13" s="10">
        <f t="shared" si="6"/>
        <v>55.14434</v>
      </c>
      <c r="P13">
        <f t="shared" si="7"/>
        <v>54.079184535431928</v>
      </c>
      <c r="Q13">
        <f t="shared" si="8"/>
        <v>6.1014809014071583</v>
      </c>
      <c r="R13">
        <f t="shared" si="9"/>
        <v>5.4872614615436826</v>
      </c>
      <c r="S13" s="10">
        <f t="shared" si="10"/>
        <v>55.14434</v>
      </c>
      <c r="T13">
        <f t="shared" si="12"/>
        <v>55.420716414882044</v>
      </c>
      <c r="U13">
        <f t="shared" si="13"/>
        <v>55.238170848599886</v>
      </c>
    </row>
    <row r="14" spans="1:32" x14ac:dyDescent="0.35">
      <c r="A14" t="str">
        <f>'US Raw Data'!A17</f>
        <v>2001-Q2</v>
      </c>
      <c r="B14" s="7">
        <f>'US Raw Data'!B17</f>
        <v>10599</v>
      </c>
      <c r="C14" s="7">
        <f>'US Raw Data'!C17</f>
        <v>2098.3589999999999</v>
      </c>
      <c r="D14" s="7">
        <f>'US Raw Data'!D17</f>
        <v>2003.5809999999999</v>
      </c>
      <c r="E14" s="7">
        <f>'US Raw Data'!E17</f>
        <v>334.77600000000001</v>
      </c>
      <c r="F14" s="7">
        <f t="shared" si="0"/>
        <v>1668.8049999999998</v>
      </c>
      <c r="G14" s="7">
        <f>'US Raw Data'!F17*(B14*4/100)</f>
        <v>22907.258333999998</v>
      </c>
      <c r="H14" s="7">
        <f t="shared" si="11"/>
        <v>23000.181125701602</v>
      </c>
      <c r="I14" s="7">
        <f t="shared" si="3"/>
        <v>-92.922791701603273</v>
      </c>
      <c r="J14" s="7">
        <f t="shared" si="4"/>
        <v>21012.815550401603</v>
      </c>
      <c r="K14" s="7">
        <f t="shared" si="5"/>
        <v>22907.258333999998</v>
      </c>
      <c r="M14">
        <f t="shared" si="1"/>
        <v>15.744928766864795</v>
      </c>
      <c r="N14">
        <f t="shared" si="2"/>
        <v>19.797707330880272</v>
      </c>
      <c r="O14" s="10">
        <f t="shared" si="6"/>
        <v>54.031649999999999</v>
      </c>
      <c r="P14">
        <f t="shared" si="7"/>
        <v>54.474382313665437</v>
      </c>
      <c r="Q14">
        <f t="shared" si="8"/>
        <v>5.7982523056720039</v>
      </c>
      <c r="R14">
        <f t="shared" si="9"/>
        <v>-0.87671281914900723</v>
      </c>
      <c r="S14" s="10">
        <f t="shared" si="10"/>
        <v>54.031649999999985</v>
      </c>
      <c r="T14">
        <f t="shared" si="12"/>
        <v>54.806510131518756</v>
      </c>
      <c r="U14">
        <f t="shared" si="13"/>
        <v>54.140656796003562</v>
      </c>
    </row>
    <row r="15" spans="1:32" x14ac:dyDescent="0.35">
      <c r="A15" t="str">
        <f>'US Raw Data'!A18</f>
        <v>2001-Q3</v>
      </c>
      <c r="B15" s="7">
        <f>'US Raw Data'!B18</f>
        <v>10598.02</v>
      </c>
      <c r="C15" s="7">
        <f>'US Raw Data'!C18</f>
        <v>1907.6790000000001</v>
      </c>
      <c r="D15" s="7">
        <f>'US Raw Data'!D18</f>
        <v>2037.703</v>
      </c>
      <c r="E15" s="7">
        <f>'US Raw Data'!E18</f>
        <v>326.82600000000002</v>
      </c>
      <c r="F15" s="7">
        <f t="shared" si="0"/>
        <v>1710.877</v>
      </c>
      <c r="G15" s="7">
        <f>'US Raw Data'!F18*(B15*4/100)</f>
        <v>23229.855147704002</v>
      </c>
      <c r="H15" s="7">
        <f t="shared" si="11"/>
        <v>23037.282334</v>
      </c>
      <c r="I15" s="7">
        <f t="shared" si="3"/>
        <v>192.57281370400233</v>
      </c>
      <c r="J15" s="7">
        <f t="shared" si="4"/>
        <v>21142.839550401604</v>
      </c>
      <c r="K15" s="7">
        <f t="shared" si="5"/>
        <v>23229.855147704002</v>
      </c>
      <c r="M15">
        <f t="shared" si="1"/>
        <v>16.143364515258508</v>
      </c>
      <c r="N15">
        <f t="shared" si="2"/>
        <v>18.000334024657437</v>
      </c>
      <c r="O15" s="10">
        <f t="shared" si="6"/>
        <v>54.797630000000005</v>
      </c>
      <c r="P15">
        <f t="shared" si="7"/>
        <v>54.036646312235675</v>
      </c>
      <c r="Q15">
        <f t="shared" si="8"/>
        <v>5.7069422317538541</v>
      </c>
      <c r="R15">
        <f t="shared" si="9"/>
        <v>1.8170640714397814</v>
      </c>
      <c r="S15" s="10">
        <f t="shared" si="10"/>
        <v>54.797629999999998</v>
      </c>
      <c r="T15">
        <f t="shared" si="12"/>
        <v>54.903124438323786</v>
      </c>
      <c r="U15">
        <f t="shared" si="13"/>
        <v>54.908201335890453</v>
      </c>
    </row>
    <row r="16" spans="1:32" x14ac:dyDescent="0.35">
      <c r="A16" t="str">
        <f>'US Raw Data'!A19</f>
        <v>2001-Q4</v>
      </c>
      <c r="B16" s="7">
        <f>'US Raw Data'!B19</f>
        <v>10660.465</v>
      </c>
      <c r="C16" s="7">
        <f>'US Raw Data'!C19</f>
        <v>2012.375</v>
      </c>
      <c r="D16" s="7">
        <f>'US Raw Data'!D19</f>
        <v>2045.404</v>
      </c>
      <c r="E16" s="7">
        <f>'US Raw Data'!E19</f>
        <v>317.82100000000003</v>
      </c>
      <c r="F16" s="7">
        <f t="shared" si="0"/>
        <v>1727.5830000000001</v>
      </c>
      <c r="G16" s="7">
        <f>'US Raw Data'!F19*(B16*4/100)</f>
        <v>23773.758014176005</v>
      </c>
      <c r="H16" s="7">
        <f t="shared" si="11"/>
        <v>23262.884147704</v>
      </c>
      <c r="I16" s="7">
        <f t="shared" si="3"/>
        <v>510.87386647200401</v>
      </c>
      <c r="J16" s="7">
        <f t="shared" si="4"/>
        <v>21175.868550401603</v>
      </c>
      <c r="K16" s="7">
        <f t="shared" si="5"/>
        <v>23773.758014176005</v>
      </c>
      <c r="M16">
        <f t="shared" si="1"/>
        <v>16.205512611316674</v>
      </c>
      <c r="N16">
        <f t="shared" si="2"/>
        <v>18.876990825447109</v>
      </c>
      <c r="O16" s="10">
        <f t="shared" si="6"/>
        <v>55.752160000000011</v>
      </c>
      <c r="P16">
        <f t="shared" si="7"/>
        <v>54.476646064932446</v>
      </c>
      <c r="Q16">
        <f t="shared" si="8"/>
        <v>5.472629906285281</v>
      </c>
      <c r="R16">
        <f t="shared" si="9"/>
        <v>4.792228729910037</v>
      </c>
      <c r="S16" s="10">
        <f t="shared" si="10"/>
        <v>55.752160000000025</v>
      </c>
      <c r="T16">
        <f t="shared" si="12"/>
        <v>56.18961962666318</v>
      </c>
      <c r="U16">
        <f t="shared" si="13"/>
        <v>55.860481939180787</v>
      </c>
    </row>
    <row r="17" spans="1:21" x14ac:dyDescent="0.35">
      <c r="A17" t="str">
        <f>'US Raw Data'!A20</f>
        <v>2002-Q1</v>
      </c>
      <c r="B17" s="7">
        <f>'US Raw Data'!B20</f>
        <v>10783.5</v>
      </c>
      <c r="C17" s="7">
        <f>'US Raw Data'!C20</f>
        <v>1865.6369999999999</v>
      </c>
      <c r="D17" s="7">
        <f>'US Raw Data'!D20</f>
        <v>2091.4690000000001</v>
      </c>
      <c r="E17" s="7">
        <f>'US Raw Data'!E20</f>
        <v>304.93099999999998</v>
      </c>
      <c r="F17" s="7">
        <f t="shared" si="0"/>
        <v>1786.538</v>
      </c>
      <c r="G17" s="7">
        <f>'US Raw Data'!F20*(B17*4/100)</f>
        <v>24024.12831</v>
      </c>
      <c r="H17" s="7">
        <f t="shared" si="11"/>
        <v>23999.590014176003</v>
      </c>
      <c r="I17" s="7">
        <f t="shared" si="3"/>
        <v>24.538295823997032</v>
      </c>
      <c r="J17" s="7">
        <f t="shared" si="4"/>
        <v>21401.700550401602</v>
      </c>
      <c r="K17" s="7">
        <f t="shared" si="5"/>
        <v>24024.12831</v>
      </c>
      <c r="M17">
        <f t="shared" si="1"/>
        <v>16.567329716696804</v>
      </c>
      <c r="N17">
        <f t="shared" si="2"/>
        <v>17.300848518570035</v>
      </c>
      <c r="O17" s="10">
        <f t="shared" si="6"/>
        <v>55.696500000000007</v>
      </c>
      <c r="P17">
        <f t="shared" si="7"/>
        <v>55.116052334993284</v>
      </c>
      <c r="Q17">
        <f t="shared" si="8"/>
        <v>5.1305477210321291</v>
      </c>
      <c r="R17">
        <f t="shared" si="9"/>
        <v>0.22755409490422435</v>
      </c>
      <c r="S17" s="10">
        <f t="shared" si="10"/>
        <v>55.6965</v>
      </c>
      <c r="T17">
        <f t="shared" si="12"/>
        <v>56.450477933210585</v>
      </c>
      <c r="U17">
        <f t="shared" si="13"/>
        <v>55.806402767215076</v>
      </c>
    </row>
    <row r="18" spans="1:21" x14ac:dyDescent="0.35">
      <c r="A18" t="str">
        <f>'US Raw Data'!A21</f>
        <v>2002-Q2</v>
      </c>
      <c r="B18" s="7">
        <f>'US Raw Data'!B21</f>
        <v>10887.46</v>
      </c>
      <c r="C18" s="7">
        <f>'US Raw Data'!C21</f>
        <v>1868.0319999999999</v>
      </c>
      <c r="D18" s="7">
        <f>'US Raw Data'!D21</f>
        <v>2130.1860000000001</v>
      </c>
      <c r="E18" s="7">
        <f>'US Raw Data'!E21</f>
        <v>301.95800000000003</v>
      </c>
      <c r="F18" s="7">
        <f t="shared" si="0"/>
        <v>1828.2280000000001</v>
      </c>
      <c r="G18" s="7">
        <f>'US Raw Data'!F21*(B18*4/100)</f>
        <v>24505.873851607997</v>
      </c>
      <c r="H18" s="7">
        <f t="shared" si="11"/>
        <v>24286.282309999999</v>
      </c>
      <c r="I18" s="7">
        <f t="shared" si="3"/>
        <v>219.59154160799881</v>
      </c>
      <c r="J18" s="7">
        <f t="shared" si="4"/>
        <v>21663.8545504016</v>
      </c>
      <c r="K18" s="7">
        <f t="shared" si="5"/>
        <v>24505.873851607997</v>
      </c>
      <c r="M18">
        <f t="shared" si="1"/>
        <v>16.792052508114843</v>
      </c>
      <c r="N18">
        <f t="shared" si="2"/>
        <v>17.157647421896382</v>
      </c>
      <c r="O18" s="10">
        <f t="shared" si="6"/>
        <v>56.270869999999995</v>
      </c>
      <c r="P18">
        <f t="shared" si="7"/>
        <v>55.164676402944316</v>
      </c>
      <c r="Q18">
        <f t="shared" si="8"/>
        <v>5.0275788757640054</v>
      </c>
      <c r="R18">
        <f t="shared" si="9"/>
        <v>2.0169216842863151</v>
      </c>
      <c r="S18" s="10">
        <f t="shared" si="10"/>
        <v>56.270870000000002</v>
      </c>
      <c r="T18">
        <f t="shared" si="12"/>
        <v>56.920662189053331</v>
      </c>
      <c r="U18">
        <f t="shared" si="13"/>
        <v>56.377149556981763</v>
      </c>
    </row>
    <row r="19" spans="1:21" x14ac:dyDescent="0.35">
      <c r="A19" t="str">
        <f>'US Raw Data'!A22</f>
        <v>2002-Q3</v>
      </c>
      <c r="B19" s="7">
        <f>'US Raw Data'!B22</f>
        <v>10984.04</v>
      </c>
      <c r="C19" s="7">
        <f>'US Raw Data'!C22</f>
        <v>1869.778</v>
      </c>
      <c r="D19" s="7">
        <f>'US Raw Data'!D22</f>
        <v>2148.4470000000001</v>
      </c>
      <c r="E19" s="7">
        <f>'US Raw Data'!E22</f>
        <v>300.19</v>
      </c>
      <c r="F19" s="7">
        <f t="shared" si="0"/>
        <v>1848.2570000000001</v>
      </c>
      <c r="G19" s="7">
        <f>'US Raw Data'!F22*(B19*4/100)</f>
        <v>24912.94506016</v>
      </c>
      <c r="H19" s="7">
        <f t="shared" si="11"/>
        <v>24784.542851607999</v>
      </c>
      <c r="I19" s="7">
        <f t="shared" si="3"/>
        <v>128.40220855200096</v>
      </c>
      <c r="J19" s="7">
        <f t="shared" si="4"/>
        <v>21942.523550401602</v>
      </c>
      <c r="K19" s="7">
        <f t="shared" si="5"/>
        <v>24912.94506016</v>
      </c>
      <c r="M19">
        <f t="shared" si="1"/>
        <v>16.826750448833035</v>
      </c>
      <c r="N19">
        <f t="shared" si="2"/>
        <v>17.022680179606045</v>
      </c>
      <c r="O19" s="10">
        <f t="shared" si="6"/>
        <v>56.702599999999997</v>
      </c>
      <c r="P19">
        <f t="shared" si="7"/>
        <v>55.776093886238563</v>
      </c>
      <c r="Q19">
        <f t="shared" si="8"/>
        <v>4.8998864813841765</v>
      </c>
      <c r="R19">
        <f t="shared" si="9"/>
        <v>1.1689889016427557</v>
      </c>
      <c r="S19" s="10">
        <f t="shared" si="10"/>
        <v>56.70259999999999</v>
      </c>
      <c r="T19">
        <f t="shared" si="12"/>
        <v>57.311018432132272</v>
      </c>
      <c r="U19">
        <f t="shared" si="13"/>
        <v>56.80709654545165</v>
      </c>
    </row>
    <row r="20" spans="1:21" x14ac:dyDescent="0.35">
      <c r="A20" t="str">
        <f>'US Raw Data'!A23</f>
        <v>2002-Q4</v>
      </c>
      <c r="B20" s="7">
        <f>'US Raw Data'!B23</f>
        <v>11061.433000000001</v>
      </c>
      <c r="C20" s="7">
        <f>'US Raw Data'!C23</f>
        <v>1880.098</v>
      </c>
      <c r="D20" s="7">
        <f>'US Raw Data'!D23</f>
        <v>2184.6970000000001</v>
      </c>
      <c r="E20" s="7">
        <f>'US Raw Data'!E23</f>
        <v>298.00599999999997</v>
      </c>
      <c r="F20" s="7">
        <f t="shared" si="0"/>
        <v>1886.6910000000003</v>
      </c>
      <c r="G20" s="7">
        <f>'US Raw Data'!F23*(B20*4/100)</f>
        <v>25622.827289249602</v>
      </c>
      <c r="H20" s="7">
        <f t="shared" si="11"/>
        <v>25217.544060160002</v>
      </c>
      <c r="I20" s="7">
        <f t="shared" si="3"/>
        <v>405.28322908960035</v>
      </c>
      <c r="J20" s="7">
        <f t="shared" si="4"/>
        <v>22247.122550401604</v>
      </c>
      <c r="K20" s="7">
        <f t="shared" si="5"/>
        <v>25622.827289249602</v>
      </c>
      <c r="M20">
        <f t="shared" si="1"/>
        <v>17.056479029434975</v>
      </c>
      <c r="N20">
        <f t="shared" si="2"/>
        <v>16.996875540447604</v>
      </c>
      <c r="O20" s="10">
        <f t="shared" si="6"/>
        <v>57.91028</v>
      </c>
      <c r="P20">
        <f t="shared" si="7"/>
        <v>56.305871626578579</v>
      </c>
      <c r="Q20">
        <f t="shared" si="8"/>
        <v>4.7847574709513063</v>
      </c>
      <c r="R20">
        <f t="shared" si="9"/>
        <v>3.6639306054613385</v>
      </c>
      <c r="S20" s="10">
        <f t="shared" si="10"/>
        <v>57.91028</v>
      </c>
      <c r="T20">
        <f t="shared" si="12"/>
        <v>58.417500518061075</v>
      </c>
      <c r="U20">
        <f t="shared" si="13"/>
        <v>58.008773582085027</v>
      </c>
    </row>
    <row r="21" spans="1:21" x14ac:dyDescent="0.35">
      <c r="A21" t="str">
        <f>'US Raw Data'!A24</f>
        <v>2003-Q1</v>
      </c>
      <c r="B21" s="7">
        <f>'US Raw Data'!B24</f>
        <v>11174.129000000001</v>
      </c>
      <c r="C21" s="7">
        <f>'US Raw Data'!C24</f>
        <v>1889.816</v>
      </c>
      <c r="D21" s="7">
        <f>'US Raw Data'!D24</f>
        <v>2220.2620000000002</v>
      </c>
      <c r="E21" s="7">
        <f>'US Raw Data'!E24</f>
        <v>290.79399999999998</v>
      </c>
      <c r="F21" s="7">
        <f t="shared" si="0"/>
        <v>1929.4680000000003</v>
      </c>
      <c r="G21" s="7">
        <f>'US Raw Data'!F24*(B21*4/100)</f>
        <v>25843.105403949601</v>
      </c>
      <c r="H21" s="7">
        <f t="shared" si="11"/>
        <v>25953.273289249602</v>
      </c>
      <c r="I21" s="7">
        <f t="shared" si="3"/>
        <v>-110.16788530000122</v>
      </c>
      <c r="J21" s="7">
        <f t="shared" si="4"/>
        <v>22577.568550401604</v>
      </c>
      <c r="K21" s="7">
        <f t="shared" si="5"/>
        <v>25843.105403949601</v>
      </c>
      <c r="M21">
        <f t="shared" si="1"/>
        <v>17.267278729286193</v>
      </c>
      <c r="N21">
        <f t="shared" si="2"/>
        <v>16.912423330713292</v>
      </c>
      <c r="O21" s="10">
        <f t="shared" si="6"/>
        <v>57.819059999999993</v>
      </c>
      <c r="P21">
        <f t="shared" si="7"/>
        <v>57.326229384969515</v>
      </c>
      <c r="Q21">
        <f t="shared" si="8"/>
        <v>4.5396083221777239</v>
      </c>
      <c r="R21">
        <f t="shared" si="9"/>
        <v>-0.98591921840173147</v>
      </c>
      <c r="S21" s="10">
        <f t="shared" si="10"/>
        <v>57.81906</v>
      </c>
      <c r="T21">
        <f t="shared" si="12"/>
        <v>58.509350405409215</v>
      </c>
      <c r="U21">
        <f t="shared" si="13"/>
        <v>57.919257902155671</v>
      </c>
    </row>
    <row r="22" spans="1:21" x14ac:dyDescent="0.35">
      <c r="A22" t="str">
        <f>'US Raw Data'!A25</f>
        <v>2003-Q2</v>
      </c>
      <c r="B22" s="7">
        <f>'US Raw Data'!B25</f>
        <v>11312.766</v>
      </c>
      <c r="C22" s="7">
        <f>'US Raw Data'!C25</f>
        <v>1912.664</v>
      </c>
      <c r="D22" s="7">
        <f>'US Raw Data'!D25</f>
        <v>2299.9189999999999</v>
      </c>
      <c r="E22" s="7">
        <f>'US Raw Data'!E25</f>
        <v>290.322</v>
      </c>
      <c r="F22" s="7">
        <f t="shared" si="0"/>
        <v>2009.5969999999998</v>
      </c>
      <c r="G22" s="7">
        <f>'US Raw Data'!F25*(B22*4/100)</f>
        <v>26680.484370146398</v>
      </c>
      <c r="H22" s="7">
        <f t="shared" si="11"/>
        <v>26230.360403949602</v>
      </c>
      <c r="I22" s="7">
        <f t="shared" si="3"/>
        <v>450.12396619679566</v>
      </c>
      <c r="J22" s="7">
        <f t="shared" si="4"/>
        <v>22964.823550401605</v>
      </c>
      <c r="K22" s="7">
        <f t="shared" si="5"/>
        <v>26680.484370146398</v>
      </c>
      <c r="M22">
        <f t="shared" si="1"/>
        <v>17.763975671378688</v>
      </c>
      <c r="N22">
        <f t="shared" si="2"/>
        <v>16.907129520755579</v>
      </c>
      <c r="O22" s="10">
        <f t="shared" si="6"/>
        <v>58.961010000000002</v>
      </c>
      <c r="P22">
        <f t="shared" si="7"/>
        <v>57.110492261462845</v>
      </c>
      <c r="Q22">
        <f t="shared" si="8"/>
        <v>4.4936085731497295</v>
      </c>
      <c r="R22">
        <f t="shared" si="9"/>
        <v>3.9789028270963591</v>
      </c>
      <c r="S22" s="10">
        <f t="shared" si="10"/>
        <v>58.961009999999995</v>
      </c>
      <c r="T22">
        <f t="shared" si="12"/>
        <v>59.77886133123453</v>
      </c>
      <c r="U22">
        <f t="shared" si="13"/>
        <v>59.04627639149669</v>
      </c>
    </row>
    <row r="23" spans="1:21" x14ac:dyDescent="0.35">
      <c r="A23" t="str">
        <f>'US Raw Data'!A26</f>
        <v>2003-Q3</v>
      </c>
      <c r="B23" s="7">
        <f>'US Raw Data'!B26</f>
        <v>11566.669</v>
      </c>
      <c r="C23" s="7">
        <f>'US Raw Data'!C26</f>
        <v>1840.1859999999999</v>
      </c>
      <c r="D23" s="7">
        <f>'US Raw Data'!D26</f>
        <v>2309.6219999999998</v>
      </c>
      <c r="E23" s="7">
        <f>'US Raw Data'!E26</f>
        <v>291.65899999999999</v>
      </c>
      <c r="F23" s="7">
        <f t="shared" si="0"/>
        <v>2017.9629999999997</v>
      </c>
      <c r="G23" s="7">
        <f>'US Raw Data'!F26*(B23*4/100)</f>
        <v>27133.2818335716</v>
      </c>
      <c r="H23" s="7">
        <f t="shared" si="11"/>
        <v>27149.920370146399</v>
      </c>
      <c r="I23" s="7">
        <f t="shared" si="3"/>
        <v>-16.638536574799218</v>
      </c>
      <c r="J23" s="7">
        <f t="shared" si="4"/>
        <v>23434.259550401606</v>
      </c>
      <c r="K23" s="7">
        <f t="shared" si="5"/>
        <v>27133.2818335716</v>
      </c>
      <c r="M23">
        <f t="shared" si="1"/>
        <v>17.446362474797194</v>
      </c>
      <c r="N23">
        <f t="shared" si="2"/>
        <v>15.909385839605163</v>
      </c>
      <c r="O23" s="10">
        <f t="shared" si="6"/>
        <v>58.645410000000005</v>
      </c>
      <c r="P23">
        <f t="shared" si="7"/>
        <v>57.666741328351314</v>
      </c>
      <c r="Q23">
        <f t="shared" si="8"/>
        <v>4.3726192666328956</v>
      </c>
      <c r="R23">
        <f t="shared" si="9"/>
        <v>-0.14384899036013929</v>
      </c>
      <c r="S23" s="10">
        <f t="shared" si="10"/>
        <v>58.645409999999991</v>
      </c>
      <c r="T23">
        <f t="shared" si="12"/>
        <v>60.040025517135625</v>
      </c>
      <c r="U23">
        <f t="shared" si="13"/>
        <v>58.72207109145981</v>
      </c>
    </row>
    <row r="24" spans="1:21" x14ac:dyDescent="0.35">
      <c r="A24" t="str">
        <f>'US Raw Data'!A27</f>
        <v>2003-Q4</v>
      </c>
      <c r="B24" s="7">
        <f>'US Raw Data'!B27</f>
        <v>11772.234</v>
      </c>
      <c r="C24" s="7">
        <f>'US Raw Data'!C27</f>
        <v>1941.796</v>
      </c>
      <c r="D24" s="7">
        <f>'US Raw Data'!D27</f>
        <v>2344.1799999999998</v>
      </c>
      <c r="E24" s="7">
        <f>'US Raw Data'!E27</f>
        <v>294.108</v>
      </c>
      <c r="F24" s="7">
        <f t="shared" si="0"/>
        <v>2050.0719999999997</v>
      </c>
      <c r="G24" s="7">
        <f>'US Raw Data'!F27*(B24*4/100)</f>
        <v>27991.857902817599</v>
      </c>
      <c r="H24" s="7">
        <f t="shared" si="11"/>
        <v>27535.665833571598</v>
      </c>
      <c r="I24" s="7">
        <f t="shared" si="3"/>
        <v>456.19206924600076</v>
      </c>
      <c r="J24" s="7">
        <f t="shared" si="4"/>
        <v>23836.643550401604</v>
      </c>
      <c r="K24" s="7">
        <f t="shared" si="5"/>
        <v>27991.857902817599</v>
      </c>
      <c r="M24">
        <f t="shared" si="1"/>
        <v>17.41446865565193</v>
      </c>
      <c r="N24">
        <f t="shared" si="2"/>
        <v>16.494711199250712</v>
      </c>
      <c r="O24" s="10">
        <f t="shared" si="6"/>
        <v>59.444659999999999</v>
      </c>
      <c r="P24">
        <f t="shared" si="7"/>
        <v>57.621352569044241</v>
      </c>
      <c r="Q24">
        <f t="shared" si="8"/>
        <v>4.335752701114167</v>
      </c>
      <c r="R24">
        <f t="shared" si="9"/>
        <v>3.8751529169909529</v>
      </c>
      <c r="S24" s="10">
        <f t="shared" si="10"/>
        <v>59.444659999999999</v>
      </c>
      <c r="T24">
        <f t="shared" si="12"/>
        <v>60.557309630682397</v>
      </c>
      <c r="U24">
        <f t="shared" si="13"/>
        <v>59.499866892606406</v>
      </c>
    </row>
    <row r="25" spans="1:21" x14ac:dyDescent="0.35">
      <c r="A25" t="str">
        <f>'US Raw Data'!A28</f>
        <v>2004-Q1</v>
      </c>
      <c r="B25" s="7">
        <f>'US Raw Data'!B28</f>
        <v>11923.447</v>
      </c>
      <c r="C25" s="7">
        <f>'US Raw Data'!C28</f>
        <v>1952.066</v>
      </c>
      <c r="D25" s="7">
        <f>'US Raw Data'!D28</f>
        <v>2381.04</v>
      </c>
      <c r="E25" s="7">
        <f>'US Raw Data'!E28</f>
        <v>297.88200000000001</v>
      </c>
      <c r="F25" s="7">
        <f t="shared" si="0"/>
        <v>2083.1579999999999</v>
      </c>
      <c r="G25" s="7">
        <f>'US Raw Data'!F28*(B25*4/100)</f>
        <v>28524.271482947999</v>
      </c>
      <c r="H25" s="7">
        <f t="shared" si="11"/>
        <v>28420.831902817597</v>
      </c>
      <c r="I25" s="7">
        <f t="shared" si="3"/>
        <v>103.43958013040174</v>
      </c>
      <c r="J25" s="7">
        <f t="shared" si="4"/>
        <v>24265.617550401603</v>
      </c>
      <c r="K25" s="7">
        <f t="shared" si="5"/>
        <v>28524.271482947999</v>
      </c>
      <c r="M25">
        <f t="shared" si="1"/>
        <v>17.471105461365322</v>
      </c>
      <c r="N25">
        <f t="shared" si="2"/>
        <v>16.371658296464101</v>
      </c>
      <c r="O25" s="10">
        <f t="shared" si="6"/>
        <v>59.807099999999998</v>
      </c>
      <c r="P25">
        <f t="shared" si="7"/>
        <v>58.690783593908705</v>
      </c>
      <c r="Q25">
        <f t="shared" si="8"/>
        <v>4.2566949437109836</v>
      </c>
      <c r="R25">
        <f t="shared" si="9"/>
        <v>0.86753084179769269</v>
      </c>
      <c r="S25" s="10">
        <f t="shared" si="10"/>
        <v>59.807100000000005</v>
      </c>
      <c r="T25">
        <f t="shared" si="12"/>
        <v>60.624793350664227</v>
      </c>
      <c r="U25">
        <f t="shared" si="13"/>
        <v>59.855950508746623</v>
      </c>
    </row>
    <row r="26" spans="1:21" x14ac:dyDescent="0.35">
      <c r="A26" t="str">
        <f>'US Raw Data'!A29</f>
        <v>2004-Q2</v>
      </c>
      <c r="B26" s="7">
        <f>'US Raw Data'!B29</f>
        <v>12112.815000000001</v>
      </c>
      <c r="C26" s="7">
        <f>'US Raw Data'!C29</f>
        <v>2003.4829999999999</v>
      </c>
      <c r="D26" s="7">
        <f>'US Raw Data'!D29</f>
        <v>2400.4</v>
      </c>
      <c r="E26" s="7">
        <f>'US Raw Data'!E29</f>
        <v>299.661</v>
      </c>
      <c r="F26" s="7">
        <f t="shared" si="0"/>
        <v>2100.739</v>
      </c>
      <c r="G26" s="7">
        <f>'US Raw Data'!F29*(B26*4/100)</f>
        <v>29097.341206362002</v>
      </c>
      <c r="H26" s="7">
        <f t="shared" si="11"/>
        <v>28921.188482948</v>
      </c>
      <c r="I26" s="7">
        <f t="shared" si="3"/>
        <v>176.15272341400123</v>
      </c>
      <c r="J26" s="7">
        <f t="shared" si="4"/>
        <v>24662.534550401604</v>
      </c>
      <c r="K26" s="7">
        <f t="shared" si="5"/>
        <v>29097.341206362002</v>
      </c>
      <c r="M26">
        <f t="shared" si="1"/>
        <v>17.343111407216242</v>
      </c>
      <c r="N26">
        <f t="shared" si="2"/>
        <v>16.540193175574792</v>
      </c>
      <c r="O26" s="10">
        <f t="shared" si="6"/>
        <v>60.054870000000001</v>
      </c>
      <c r="P26">
        <f t="shared" si="7"/>
        <v>58.872094312816628</v>
      </c>
      <c r="Q26">
        <f t="shared" si="8"/>
        <v>4.2021897061124154</v>
      </c>
      <c r="R26">
        <f t="shared" si="9"/>
        <v>1.454267430106059</v>
      </c>
      <c r="S26" s="10">
        <f t="shared" si="10"/>
        <v>60.054870000000001</v>
      </c>
      <c r="T26">
        <f t="shared" si="12"/>
        <v>61.049062071877074</v>
      </c>
      <c r="U26">
        <f t="shared" si="13"/>
        <v>60.094639934130626</v>
      </c>
    </row>
    <row r="27" spans="1:21" x14ac:dyDescent="0.35">
      <c r="A27" t="str">
        <f>'US Raw Data'!A30</f>
        <v>2004-Q3</v>
      </c>
      <c r="B27" s="7">
        <f>'US Raw Data'!B30</f>
        <v>12305.307000000001</v>
      </c>
      <c r="C27" s="7">
        <f>'US Raw Data'!C30</f>
        <v>2062.8130000000001</v>
      </c>
      <c r="D27" s="7">
        <f>'US Raw Data'!D30</f>
        <v>2428.7950000000001</v>
      </c>
      <c r="E27" s="7">
        <f>'US Raw Data'!E30</f>
        <v>308.15899999999999</v>
      </c>
      <c r="F27" s="7">
        <f t="shared" si="0"/>
        <v>2120.636</v>
      </c>
      <c r="G27" s="7">
        <f>'US Raw Data'!F30*(B27*4/100)</f>
        <v>29516.213233760402</v>
      </c>
      <c r="H27" s="7">
        <f t="shared" si="11"/>
        <v>29463.323206362002</v>
      </c>
      <c r="I27" s="7">
        <f t="shared" si="3"/>
        <v>52.89002739839998</v>
      </c>
      <c r="J27" s="7">
        <f t="shared" si="4"/>
        <v>25028.516550401604</v>
      </c>
      <c r="K27" s="7">
        <f t="shared" si="5"/>
        <v>29516.213233760402</v>
      </c>
      <c r="M27">
        <f t="shared" si="1"/>
        <v>17.233507461455453</v>
      </c>
      <c r="N27">
        <f t="shared" si="2"/>
        <v>16.763604516327792</v>
      </c>
      <c r="O27" s="10">
        <f t="shared" si="6"/>
        <v>59.966429999999995</v>
      </c>
      <c r="P27">
        <f t="shared" si="7"/>
        <v>59.115431265473504</v>
      </c>
      <c r="Q27">
        <f t="shared" si="8"/>
        <v>4.2362495984014155</v>
      </c>
      <c r="R27">
        <f t="shared" si="9"/>
        <v>0.42981477340142732</v>
      </c>
      <c r="S27" s="10">
        <f t="shared" si="10"/>
        <v>59.966430000000003</v>
      </c>
      <c r="T27">
        <f t="shared" si="12"/>
        <v>60.956009099480497</v>
      </c>
      <c r="U27">
        <f t="shared" si="13"/>
        <v>60.002473839971962</v>
      </c>
    </row>
    <row r="28" spans="1:21" x14ac:dyDescent="0.35">
      <c r="A28" t="str">
        <f>'US Raw Data'!A31</f>
        <v>2004-Q4</v>
      </c>
      <c r="B28" s="7">
        <f>'US Raw Data'!B31</f>
        <v>12527.214</v>
      </c>
      <c r="C28" s="7">
        <f>'US Raw Data'!C31</f>
        <v>2093.96</v>
      </c>
      <c r="D28" s="7">
        <f>'US Raw Data'!D31</f>
        <v>2476.0500000000002</v>
      </c>
      <c r="E28" s="7">
        <f>'US Raw Data'!E31</f>
        <v>318.38600000000002</v>
      </c>
      <c r="F28" s="7">
        <f t="shared" si="0"/>
        <v>2157.6640000000002</v>
      </c>
      <c r="G28" s="7">
        <f>'US Raw Data'!F31*(B28*4/100)</f>
        <v>30384.572154232799</v>
      </c>
      <c r="H28" s="7">
        <f t="shared" si="11"/>
        <v>29898.303233760402</v>
      </c>
      <c r="I28" s="7">
        <f t="shared" si="3"/>
        <v>486.26892047239744</v>
      </c>
      <c r="J28" s="7">
        <f t="shared" si="4"/>
        <v>25410.606550401604</v>
      </c>
      <c r="K28" s="7">
        <f t="shared" si="5"/>
        <v>30384.572154232799</v>
      </c>
      <c r="M28">
        <f t="shared" si="1"/>
        <v>17.223813690737622</v>
      </c>
      <c r="N28">
        <f t="shared" si="2"/>
        <v>16.715288810425047</v>
      </c>
      <c r="O28" s="10">
        <f t="shared" si="6"/>
        <v>60.637129999999999</v>
      </c>
      <c r="P28">
        <f t="shared" si="7"/>
        <v>58.904184988299072</v>
      </c>
      <c r="Q28">
        <f t="shared" si="8"/>
        <v>4.3147269262282304</v>
      </c>
      <c r="R28">
        <f t="shared" si="9"/>
        <v>3.8817004361256817</v>
      </c>
      <c r="S28" s="10">
        <f t="shared" si="10"/>
        <v>60.637129999999992</v>
      </c>
      <c r="T28">
        <f t="shared" si="12"/>
        <v>61.747265892875603</v>
      </c>
      <c r="U28">
        <f t="shared" si="13"/>
        <v>60.653475163948144</v>
      </c>
    </row>
    <row r="29" spans="1:21" x14ac:dyDescent="0.35">
      <c r="A29" t="str">
        <f>'US Raw Data'!A32</f>
        <v>2005-Q1</v>
      </c>
      <c r="B29" s="7">
        <f>'US Raw Data'!B32</f>
        <v>12767.286</v>
      </c>
      <c r="C29" s="7">
        <f>'US Raw Data'!C32</f>
        <v>2242.79</v>
      </c>
      <c r="D29" s="7">
        <f>'US Raw Data'!D32</f>
        <v>2548.0189999999998</v>
      </c>
      <c r="E29" s="7">
        <f>'US Raw Data'!E32</f>
        <v>329.40699999999998</v>
      </c>
      <c r="F29" s="7">
        <f t="shared" si="0"/>
        <v>2218.6119999999996</v>
      </c>
      <c r="G29" s="7">
        <f>'US Raw Data'!F32*(B29*4/100)</f>
        <v>31107.7578985488</v>
      </c>
      <c r="H29" s="7">
        <f t="shared" si="11"/>
        <v>30689.801154232799</v>
      </c>
      <c r="I29" s="7">
        <f t="shared" si="3"/>
        <v>417.95674431600128</v>
      </c>
      <c r="J29" s="7">
        <f t="shared" si="4"/>
        <v>25715.835550401604</v>
      </c>
      <c r="K29" s="7">
        <f t="shared" si="5"/>
        <v>31107.7578985488</v>
      </c>
      <c r="M29">
        <f t="shared" si="1"/>
        <v>17.377318875757929</v>
      </c>
      <c r="N29">
        <f t="shared" si="2"/>
        <v>17.566693500874031</v>
      </c>
      <c r="O29" s="10">
        <f t="shared" si="6"/>
        <v>60.913019999999996</v>
      </c>
      <c r="P29">
        <f t="shared" si="7"/>
        <v>59.496928623344068</v>
      </c>
      <c r="Q29">
        <f t="shared" si="8"/>
        <v>4.3365033850458357</v>
      </c>
      <c r="R29">
        <f t="shared" si="9"/>
        <v>3.2736538079902124</v>
      </c>
      <c r="S29" s="10">
        <f t="shared" si="10"/>
        <v>60.913019999999996</v>
      </c>
      <c r="T29">
        <f t="shared" si="12"/>
        <v>62.082104960574803</v>
      </c>
      <c r="U29">
        <f t="shared" si="13"/>
        <v>60.91473273267178</v>
      </c>
    </row>
    <row r="30" spans="1:21" x14ac:dyDescent="0.35">
      <c r="A30" t="str">
        <f>'US Raw Data'!A33</f>
        <v>2005-Q2</v>
      </c>
      <c r="B30" s="7">
        <f>'US Raw Data'!B33</f>
        <v>12922.656000000001</v>
      </c>
      <c r="C30" s="7">
        <f>'US Raw Data'!C33</f>
        <v>2272.0079999999998</v>
      </c>
      <c r="D30" s="7">
        <f>'US Raw Data'!D33</f>
        <v>2578.6860000000001</v>
      </c>
      <c r="E30" s="7">
        <f>'US Raw Data'!E33</f>
        <v>343.58199999999999</v>
      </c>
      <c r="F30" s="7">
        <f t="shared" si="0"/>
        <v>2235.1040000000003</v>
      </c>
      <c r="G30" s="7">
        <f>'US Raw Data'!F33*(B30*4/100)</f>
        <v>31345.985260147205</v>
      </c>
      <c r="H30" s="7">
        <f t="shared" si="11"/>
        <v>31414.4358985488</v>
      </c>
      <c r="I30" s="7">
        <f t="shared" si="3"/>
        <v>-68.450638401594915</v>
      </c>
      <c r="J30" s="7">
        <f t="shared" si="4"/>
        <v>26022.513550401603</v>
      </c>
      <c r="K30" s="7">
        <f t="shared" si="5"/>
        <v>31345.985260147205</v>
      </c>
      <c r="M30">
        <f t="shared" si="1"/>
        <v>17.296010974833656</v>
      </c>
      <c r="N30">
        <f t="shared" si="2"/>
        <v>17.581586943117575</v>
      </c>
      <c r="O30" s="10">
        <f t="shared" si="6"/>
        <v>60.64153000000001</v>
      </c>
      <c r="P30">
        <f t="shared" si="7"/>
        <v>60.180658485664246</v>
      </c>
      <c r="Q30">
        <f t="shared" si="8"/>
        <v>4.4179590328627087</v>
      </c>
      <c r="R30">
        <f t="shared" si="9"/>
        <v>-0.52969481197669355</v>
      </c>
      <c r="S30" s="10">
        <f t="shared" si="10"/>
        <v>60.64153000000001</v>
      </c>
      <c r="T30">
        <f t="shared" si="12"/>
        <v>61.383712021883447</v>
      </c>
      <c r="U30">
        <f t="shared" si="13"/>
        <v>60.645691344335418</v>
      </c>
    </row>
    <row r="31" spans="1:21" x14ac:dyDescent="0.35">
      <c r="A31" t="str">
        <f>'US Raw Data'!A34</f>
        <v>2005-Q3</v>
      </c>
      <c r="B31" s="7">
        <f>'US Raw Data'!B34</f>
        <v>13142.642</v>
      </c>
      <c r="C31" s="7">
        <f>'US Raw Data'!C34</f>
        <v>2316.739</v>
      </c>
      <c r="D31" s="7">
        <f>'US Raw Data'!D34</f>
        <v>2617.33</v>
      </c>
      <c r="E31" s="7">
        <f>'US Raw Data'!E34</f>
        <v>349.22800000000001</v>
      </c>
      <c r="F31" s="7">
        <f t="shared" si="0"/>
        <v>2268.1019999999999</v>
      </c>
      <c r="G31" s="7">
        <f>'US Raw Data'!F34*(B31*4/100)</f>
        <v>31730.837828620799</v>
      </c>
      <c r="H31" s="7">
        <f t="shared" si="11"/>
        <v>31646.576260147205</v>
      </c>
      <c r="I31" s="7">
        <f t="shared" si="3"/>
        <v>84.261568473593798</v>
      </c>
      <c r="J31" s="7">
        <f t="shared" si="4"/>
        <v>26323.104550401604</v>
      </c>
      <c r="K31" s="7">
        <f t="shared" si="5"/>
        <v>31730.837828620799</v>
      </c>
      <c r="M31">
        <f t="shared" si="1"/>
        <v>17.257580325173581</v>
      </c>
      <c r="N31">
        <f t="shared" si="2"/>
        <v>17.627650513496448</v>
      </c>
      <c r="O31" s="10">
        <f t="shared" si="6"/>
        <v>60.358559999999997</v>
      </c>
      <c r="P31">
        <f t="shared" si="7"/>
        <v>59.6264915002387</v>
      </c>
      <c r="Q31">
        <f t="shared" si="8"/>
        <v>4.4564303479591443</v>
      </c>
      <c r="R31">
        <f t="shared" si="9"/>
        <v>0.64113112472814671</v>
      </c>
      <c r="S31" s="10">
        <f t="shared" si="10"/>
        <v>60.358559999999997</v>
      </c>
      <c r="T31">
        <f t="shared" si="12"/>
        <v>61.389114826886384</v>
      </c>
      <c r="U31">
        <f t="shared" si="13"/>
        <v>60.361562998699377</v>
      </c>
    </row>
    <row r="32" spans="1:21" x14ac:dyDescent="0.35">
      <c r="A32" t="str">
        <f>'US Raw Data'!A35</f>
        <v>2005-Q4</v>
      </c>
      <c r="B32" s="7">
        <f>'US Raw Data'!B35</f>
        <v>13324.204</v>
      </c>
      <c r="C32" s="7">
        <f>'US Raw Data'!C35</f>
        <v>2387.2860000000001</v>
      </c>
      <c r="D32" s="7">
        <f>'US Raw Data'!D35</f>
        <v>2649.819</v>
      </c>
      <c r="E32" s="7">
        <f>'US Raw Data'!E35</f>
        <v>355.28199999999998</v>
      </c>
      <c r="F32" s="7">
        <f t="shared" si="0"/>
        <v>2294.5369999999998</v>
      </c>
      <c r="G32" s="7">
        <f>'US Raw Data'!F35*(B32*4/100)</f>
        <v>32681.650208652798</v>
      </c>
      <c r="H32" s="7">
        <f t="shared" si="11"/>
        <v>31993.370828620798</v>
      </c>
      <c r="I32" s="7">
        <f t="shared" si="3"/>
        <v>688.27938003199961</v>
      </c>
      <c r="J32" s="7">
        <f t="shared" si="4"/>
        <v>26585.637550401603</v>
      </c>
      <c r="K32" s="7">
        <f t="shared" si="5"/>
        <v>32681.650208652798</v>
      </c>
      <c r="M32">
        <f t="shared" si="1"/>
        <v>17.220818594491647</v>
      </c>
      <c r="N32">
        <f t="shared" si="2"/>
        <v>17.916912710132628</v>
      </c>
      <c r="O32" s="10">
        <f t="shared" si="6"/>
        <v>61.320079999999997</v>
      </c>
      <c r="P32">
        <f t="shared" si="7"/>
        <v>59.5360852862595</v>
      </c>
      <c r="Q32">
        <f t="shared" si="8"/>
        <v>4.4786967418747476</v>
      </c>
      <c r="R32">
        <f t="shared" si="9"/>
        <v>5.1656322586474932</v>
      </c>
      <c r="S32" s="10">
        <f t="shared" si="10"/>
        <v>61.32007999999999</v>
      </c>
      <c r="T32">
        <f t="shared" si="12"/>
        <v>62.154800373292851</v>
      </c>
      <c r="U32">
        <f t="shared" si="13"/>
        <v>61.307849225939073</v>
      </c>
    </row>
    <row r="33" spans="1:21" x14ac:dyDescent="0.35">
      <c r="A33" t="str">
        <f>'US Raw Data'!A36</f>
        <v>2006-Q1</v>
      </c>
      <c r="B33" s="7">
        <f>'US Raw Data'!B36</f>
        <v>13599.16</v>
      </c>
      <c r="C33" s="7">
        <f>'US Raw Data'!C36</f>
        <v>2482.895</v>
      </c>
      <c r="D33" s="7">
        <f>'US Raw Data'!D36</f>
        <v>2728.1840000000002</v>
      </c>
      <c r="E33" s="7">
        <f>'US Raw Data'!E36</f>
        <v>358.209</v>
      </c>
      <c r="F33" s="7">
        <f t="shared" si="0"/>
        <v>2369.9750000000004</v>
      </c>
      <c r="G33" s="7">
        <f>'US Raw Data'!F36*(B33*4/100)</f>
        <v>33484.624184288004</v>
      </c>
      <c r="H33" s="7">
        <f t="shared" si="11"/>
        <v>32926.939208652795</v>
      </c>
      <c r="I33" s="7">
        <f t="shared" si="3"/>
        <v>557.68497563520941</v>
      </c>
      <c r="J33" s="7">
        <f t="shared" si="4"/>
        <v>26830.926550401604</v>
      </c>
      <c r="K33" s="7">
        <f t="shared" si="5"/>
        <v>33484.624184288004</v>
      </c>
      <c r="M33">
        <f t="shared" si="1"/>
        <v>17.427363160665809</v>
      </c>
      <c r="N33">
        <f t="shared" si="2"/>
        <v>18.257708564352505</v>
      </c>
      <c r="O33" s="10">
        <f t="shared" si="6"/>
        <v>61.55642000000001</v>
      </c>
      <c r="P33">
        <f t="shared" si="7"/>
        <v>60.080273723988832</v>
      </c>
      <c r="Q33">
        <f t="shared" si="8"/>
        <v>4.3842216988805607</v>
      </c>
      <c r="R33">
        <f t="shared" si="9"/>
        <v>4.100878110377475</v>
      </c>
      <c r="S33" s="10">
        <f t="shared" si="10"/>
        <v>61.55642000000001</v>
      </c>
      <c r="T33">
        <f t="shared" si="12"/>
        <v>62.79745040983191</v>
      </c>
      <c r="U33">
        <f t="shared" si="13"/>
        <v>61.527773769886075</v>
      </c>
    </row>
    <row r="34" spans="1:21" x14ac:dyDescent="0.35">
      <c r="A34" t="str">
        <f>'US Raw Data'!A37</f>
        <v>2006-Q2</v>
      </c>
      <c r="B34" s="7">
        <f>'US Raw Data'!B37</f>
        <v>13753.424000000001</v>
      </c>
      <c r="C34" s="7">
        <f>'US Raw Data'!C37</f>
        <v>2518.5050000000001</v>
      </c>
      <c r="D34" s="7">
        <f>'US Raw Data'!D37</f>
        <v>2749.085</v>
      </c>
      <c r="E34" s="7">
        <f>'US Raw Data'!E37</f>
        <v>367.41500000000002</v>
      </c>
      <c r="F34" s="7">
        <f t="shared" si="0"/>
        <v>2381.67</v>
      </c>
      <c r="G34" s="7">
        <f>'US Raw Data'!F37*(B34*4/100)</f>
        <v>33680.165885683207</v>
      </c>
      <c r="H34" s="7">
        <f t="shared" si="11"/>
        <v>33715.204184288006</v>
      </c>
      <c r="I34" s="7">
        <f t="shared" si="3"/>
        <v>-35.038298604798911</v>
      </c>
      <c r="J34" s="7">
        <f t="shared" si="4"/>
        <v>27061.506550401606</v>
      </c>
      <c r="K34" s="7">
        <f t="shared" si="5"/>
        <v>33680.165885683207</v>
      </c>
      <c r="M34">
        <f t="shared" si="1"/>
        <v>17.316924134673663</v>
      </c>
      <c r="N34">
        <f t="shared" si="2"/>
        <v>18.311840018892749</v>
      </c>
      <c r="O34" s="10">
        <f t="shared" si="6"/>
        <v>61.221420000000002</v>
      </c>
      <c r="P34">
        <f t="shared" si="7"/>
        <v>60.86597814531131</v>
      </c>
      <c r="Q34">
        <f t="shared" si="8"/>
        <v>4.3890592646687345</v>
      </c>
      <c r="R34">
        <f t="shared" si="9"/>
        <v>-0.2547605498441618</v>
      </c>
      <c r="S34" s="10">
        <f t="shared" si="10"/>
        <v>61.221420000000009</v>
      </c>
      <c r="T34">
        <f t="shared" si="12"/>
        <v>61.890477275118165</v>
      </c>
      <c r="U34">
        <f t="shared" si="13"/>
        <v>61.196288498100245</v>
      </c>
    </row>
    <row r="35" spans="1:21" x14ac:dyDescent="0.35">
      <c r="A35" t="str">
        <f>'US Raw Data'!A38</f>
        <v>2006-Q3</v>
      </c>
      <c r="B35" s="7">
        <f>'US Raw Data'!B38</f>
        <v>13870.188</v>
      </c>
      <c r="C35" s="7">
        <f>'US Raw Data'!C38</f>
        <v>2562.8609999999999</v>
      </c>
      <c r="D35" s="7">
        <f>'US Raw Data'!D38</f>
        <v>2775.712</v>
      </c>
      <c r="E35" s="7">
        <f>'US Raw Data'!E38</f>
        <v>376.29899999999998</v>
      </c>
      <c r="F35" s="7">
        <f t="shared" si="0"/>
        <v>2399.413</v>
      </c>
      <c r="G35" s="7">
        <f>'US Raw Data'!F38*(B35*4/100)</f>
        <v>34027.898662656</v>
      </c>
      <c r="H35" s="7">
        <f t="shared" si="11"/>
        <v>33893.01688568321</v>
      </c>
      <c r="I35" s="7">
        <f t="shared" si="3"/>
        <v>134.88177697279025</v>
      </c>
      <c r="J35" s="7">
        <f t="shared" si="4"/>
        <v>27274.357550401604</v>
      </c>
      <c r="K35" s="7">
        <f t="shared" si="5"/>
        <v>34027.898662656</v>
      </c>
      <c r="M35">
        <f t="shared" si="1"/>
        <v>17.299066169831296</v>
      </c>
      <c r="N35">
        <f t="shared" si="2"/>
        <v>18.477478459556565</v>
      </c>
      <c r="O35" s="10">
        <f t="shared" si="6"/>
        <v>61.332799999999999</v>
      </c>
      <c r="P35">
        <f t="shared" si="7"/>
        <v>60.706037087751092</v>
      </c>
      <c r="Q35">
        <f t="shared" si="8"/>
        <v>4.4690872518529652</v>
      </c>
      <c r="R35">
        <f t="shared" si="9"/>
        <v>0.9724581741270576</v>
      </c>
      <c r="S35" s="10">
        <f t="shared" si="10"/>
        <v>61.332799999999992</v>
      </c>
      <c r="T35">
        <f t="shared" si="12"/>
        <v>61.828528851169629</v>
      </c>
      <c r="U35">
        <f t="shared" si="13"/>
        <v>61.308035088375796</v>
      </c>
    </row>
    <row r="36" spans="1:21" x14ac:dyDescent="0.35">
      <c r="A36" t="str">
        <f>'US Raw Data'!A39</f>
        <v>2006-Q4</v>
      </c>
      <c r="B36" s="7">
        <f>'US Raw Data'!B39</f>
        <v>14039.56</v>
      </c>
      <c r="C36" s="7">
        <f>'US Raw Data'!C39</f>
        <v>2590.85</v>
      </c>
      <c r="D36" s="7">
        <f>'US Raw Data'!D39</f>
        <v>2789.9059999999999</v>
      </c>
      <c r="E36" s="7">
        <f>'US Raw Data'!E39</f>
        <v>386.92500000000001</v>
      </c>
      <c r="F36" s="7">
        <f t="shared" si="0"/>
        <v>2402.9809999999998</v>
      </c>
      <c r="G36" s="7">
        <f>'US Raw Data'!F39*(B36*4/100)</f>
        <v>34720.893270736</v>
      </c>
      <c r="H36" s="7">
        <f t="shared" si="11"/>
        <v>34226.954662655997</v>
      </c>
      <c r="I36" s="7">
        <f t="shared" si="3"/>
        <v>493.93860808000318</v>
      </c>
      <c r="J36" s="7">
        <f t="shared" ref="J36:J67" si="14">F36-C36+E36+J35</f>
        <v>27473.413550401605</v>
      </c>
      <c r="K36" s="7">
        <f t="shared" ref="K36:K67" si="15">F36-C36+E36+I36+K35</f>
        <v>34720.893270736</v>
      </c>
      <c r="M36">
        <f t="shared" si="1"/>
        <v>17.115785679893101</v>
      </c>
      <c r="N36">
        <f t="shared" si="2"/>
        <v>18.453925906509891</v>
      </c>
      <c r="O36" s="10">
        <f t="shared" si="6"/>
        <v>61.826890000000006</v>
      </c>
      <c r="P36">
        <f t="shared" si="7"/>
        <v>60.592886569550615</v>
      </c>
      <c r="Q36">
        <f t="shared" si="8"/>
        <v>4.548326699052172</v>
      </c>
      <c r="R36">
        <f t="shared" si="9"/>
        <v>3.5181915108450919</v>
      </c>
      <c r="S36" s="10">
        <f t="shared" si="10"/>
        <v>61.826890000000013</v>
      </c>
      <c r="T36">
        <f t="shared" si="12"/>
        <v>62.550170341580099</v>
      </c>
      <c r="U36">
        <f t="shared" si="13"/>
        <v>61.795570663876951</v>
      </c>
    </row>
    <row r="37" spans="1:21" x14ac:dyDescent="0.35">
      <c r="A37" t="str">
        <f>'US Raw Data'!A40</f>
        <v>2007-Q1</v>
      </c>
      <c r="B37" s="7">
        <f>'US Raw Data'!B40</f>
        <v>14215.651</v>
      </c>
      <c r="C37" s="7">
        <f>'US Raw Data'!C40</f>
        <v>2659.4859999999999</v>
      </c>
      <c r="D37" s="7">
        <f>'US Raw Data'!D40</f>
        <v>2869.326</v>
      </c>
      <c r="E37" s="7">
        <f>'US Raw Data'!E40</f>
        <v>396.00900000000001</v>
      </c>
      <c r="F37" s="7">
        <f t="shared" si="0"/>
        <v>2473.317</v>
      </c>
      <c r="G37" s="7">
        <f>'US Raw Data'!F40*(B37*4/100)</f>
        <v>35398.659809338795</v>
      </c>
      <c r="H37" s="7">
        <f t="shared" si="11"/>
        <v>34930.733270736004</v>
      </c>
      <c r="I37" s="7">
        <f t="shared" si="3"/>
        <v>467.92653860279097</v>
      </c>
      <c r="J37" s="7">
        <f t="shared" si="14"/>
        <v>27683.253550401605</v>
      </c>
      <c r="K37" s="7">
        <f t="shared" si="15"/>
        <v>35398.659809338787</v>
      </c>
      <c r="M37">
        <f t="shared" si="1"/>
        <v>17.398548965502883</v>
      </c>
      <c r="N37">
        <f t="shared" si="2"/>
        <v>18.708154835821446</v>
      </c>
      <c r="O37" s="10">
        <f t="shared" si="6"/>
        <v>62.252969999999991</v>
      </c>
      <c r="P37">
        <f t="shared" si="7"/>
        <v>61.061032784808802</v>
      </c>
      <c r="Q37">
        <f t="shared" si="8"/>
        <v>4.5621982926778033</v>
      </c>
      <c r="R37">
        <f t="shared" si="9"/>
        <v>3.2916293358833233</v>
      </c>
      <c r="S37" s="10">
        <f t="shared" si="10"/>
        <v>62.252969999999983</v>
      </c>
      <c r="T37">
        <f t="shared" si="12"/>
        <v>62.995885647712612</v>
      </c>
      <c r="U37">
        <f t="shared" si="13"/>
        <v>62.21554794108269</v>
      </c>
    </row>
    <row r="38" spans="1:21" x14ac:dyDescent="0.35">
      <c r="A38" t="str">
        <f>'US Raw Data'!A41</f>
        <v>2007-Q2</v>
      </c>
      <c r="B38" s="7">
        <f>'US Raw Data'!B41</f>
        <v>14402.082</v>
      </c>
      <c r="C38" s="7">
        <f>'US Raw Data'!C41</f>
        <v>2674.2060000000001</v>
      </c>
      <c r="D38" s="7">
        <f>'US Raw Data'!D41</f>
        <v>2905.2020000000002</v>
      </c>
      <c r="E38" s="7">
        <f>'US Raw Data'!E41</f>
        <v>407.91399999999999</v>
      </c>
      <c r="F38" s="7">
        <f t="shared" si="0"/>
        <v>2497.2880000000005</v>
      </c>
      <c r="G38" s="7">
        <f>'US Raw Data'!F41*(B38*4/100)</f>
        <v>35470.709171983202</v>
      </c>
      <c r="H38" s="7">
        <f t="shared" si="11"/>
        <v>35629.655809338794</v>
      </c>
      <c r="I38" s="7">
        <f t="shared" si="3"/>
        <v>-158.94663735559152</v>
      </c>
      <c r="J38" s="7">
        <f t="shared" si="14"/>
        <v>27914.249550401604</v>
      </c>
      <c r="K38" s="7">
        <f t="shared" si="15"/>
        <v>35470.709171983195</v>
      </c>
      <c r="M38">
        <f t="shared" si="1"/>
        <v>17.339770735925544</v>
      </c>
      <c r="N38">
        <f t="shared" si="2"/>
        <v>18.568190349145354</v>
      </c>
      <c r="O38" s="10">
        <f t="shared" si="6"/>
        <v>61.572190000000006</v>
      </c>
      <c r="P38">
        <f t="shared" si="7"/>
        <v>61.447122383657437</v>
      </c>
      <c r="Q38">
        <f t="shared" si="8"/>
        <v>4.6093722440010012</v>
      </c>
      <c r="R38">
        <f t="shared" si="9"/>
        <v>-1.103636525299547</v>
      </c>
      <c r="S38" s="10">
        <f t="shared" si="10"/>
        <v>61.572190000000006</v>
      </c>
      <c r="T38">
        <f t="shared" si="12"/>
        <v>62.349470456015197</v>
      </c>
      <c r="U38">
        <f t="shared" si="13"/>
        <v>61.54237366774629</v>
      </c>
    </row>
    <row r="39" spans="1:21" x14ac:dyDescent="0.35">
      <c r="A39" t="str">
        <f>'US Raw Data'!A42</f>
        <v>2007-Q3</v>
      </c>
      <c r="B39" s="7">
        <f>'US Raw Data'!B42</f>
        <v>14564.117</v>
      </c>
      <c r="C39" s="7">
        <f>'US Raw Data'!C42</f>
        <v>2666.732</v>
      </c>
      <c r="D39" s="7">
        <f>'US Raw Data'!D42</f>
        <v>2945.721</v>
      </c>
      <c r="E39" s="7">
        <f>'US Raw Data'!E42</f>
        <v>414.16399999999999</v>
      </c>
      <c r="F39" s="7">
        <f t="shared" si="0"/>
        <v>2531.5569999999998</v>
      </c>
      <c r="G39" s="7">
        <f>'US Raw Data'!F42*(B39*4/100)</f>
        <v>36030.611795456796</v>
      </c>
      <c r="H39" s="7">
        <f t="shared" si="11"/>
        <v>35749.698171983204</v>
      </c>
      <c r="I39" s="7">
        <f t="shared" si="3"/>
        <v>280.91362347359245</v>
      </c>
      <c r="J39" s="7">
        <f t="shared" si="14"/>
        <v>28193.238550401606</v>
      </c>
      <c r="K39" s="7">
        <f t="shared" si="15"/>
        <v>36030.611795456789</v>
      </c>
      <c r="M39">
        <f t="shared" si="1"/>
        <v>17.38215231311311</v>
      </c>
      <c r="N39">
        <f t="shared" si="2"/>
        <v>18.310289597371405</v>
      </c>
      <c r="O39" s="10">
        <f t="shared" si="6"/>
        <v>61.848259999999989</v>
      </c>
      <c r="P39">
        <f t="shared" si="7"/>
        <v>60.887160498613142</v>
      </c>
      <c r="Q39">
        <f t="shared" si="8"/>
        <v>4.6704902119874205</v>
      </c>
      <c r="R39">
        <f t="shared" si="9"/>
        <v>1.9288064183609102</v>
      </c>
      <c r="S39" s="10">
        <f t="shared" si="10"/>
        <v>61.848259999999996</v>
      </c>
      <c r="T39">
        <f t="shared" si="12"/>
        <v>62.511123585866144</v>
      </c>
      <c r="U39">
        <f t="shared" si="13"/>
        <v>61.81564785532678</v>
      </c>
    </row>
    <row r="40" spans="1:21" x14ac:dyDescent="0.35">
      <c r="A40" t="str">
        <f>'US Raw Data'!A43</f>
        <v>2007-Q4</v>
      </c>
      <c r="B40" s="7">
        <f>'US Raw Data'!B43</f>
        <v>14715.058000000001</v>
      </c>
      <c r="C40" s="7">
        <f>'US Raw Data'!C43</f>
        <v>2672.884</v>
      </c>
      <c r="D40" s="7">
        <f>'US Raw Data'!D43</f>
        <v>2991.7649999999999</v>
      </c>
      <c r="E40" s="7">
        <f>'US Raw Data'!E43</f>
        <v>413.82499999999999</v>
      </c>
      <c r="F40" s="7">
        <f t="shared" si="0"/>
        <v>2577.94</v>
      </c>
      <c r="G40" s="7">
        <f>'US Raw Data'!F43*(B40*4/100)</f>
        <v>36916.690172636801</v>
      </c>
      <c r="H40" s="7">
        <f t="shared" si="11"/>
        <v>36349.492795456797</v>
      </c>
      <c r="I40" s="7">
        <f t="shared" si="3"/>
        <v>567.19737718000397</v>
      </c>
      <c r="J40" s="7">
        <f t="shared" si="14"/>
        <v>28512.119550401607</v>
      </c>
      <c r="K40" s="7">
        <f t="shared" si="15"/>
        <v>36916.690172636794</v>
      </c>
      <c r="M40">
        <f t="shared" si="1"/>
        <v>17.519061086949165</v>
      </c>
      <c r="N40">
        <f t="shared" si="2"/>
        <v>18.164277707909818</v>
      </c>
      <c r="O40" s="10">
        <f t="shared" si="6"/>
        <v>62.719239999999999</v>
      </c>
      <c r="P40">
        <f t="shared" si="7"/>
        <v>61.213846040322764</v>
      </c>
      <c r="Q40">
        <f t="shared" si="8"/>
        <v>4.5941490236053157</v>
      </c>
      <c r="R40">
        <f t="shared" si="9"/>
        <v>3.8545371494968212</v>
      </c>
      <c r="S40" s="10">
        <f t="shared" si="10"/>
        <v>62.719239999999999</v>
      </c>
      <c r="T40">
        <f t="shared" si="12"/>
        <v>63.327953733056027</v>
      </c>
      <c r="U40">
        <f t="shared" si="13"/>
        <v>62.678361684936256</v>
      </c>
    </row>
    <row r="41" spans="1:21" x14ac:dyDescent="0.35">
      <c r="A41" t="str">
        <f>'US Raw Data'!A44</f>
        <v>2008-Q1</v>
      </c>
      <c r="B41" s="7">
        <f>'US Raw Data'!B44</f>
        <v>14706.538</v>
      </c>
      <c r="C41" s="7">
        <f>'US Raw Data'!C44</f>
        <v>2638.9490000000001</v>
      </c>
      <c r="D41" s="7">
        <f>'US Raw Data'!D44</f>
        <v>3043.5219999999999</v>
      </c>
      <c r="E41" s="7">
        <f>'US Raw Data'!E44</f>
        <v>403.47300000000001</v>
      </c>
      <c r="F41" s="7">
        <f t="shared" si="0"/>
        <v>2640.049</v>
      </c>
      <c r="G41" s="7">
        <f>'US Raw Data'!F44*(B41*4/100)</f>
        <v>37750.377105425599</v>
      </c>
      <c r="H41" s="7">
        <f t="shared" si="11"/>
        <v>37321.263172636798</v>
      </c>
      <c r="I41" s="7">
        <f t="shared" si="3"/>
        <v>429.11393278880132</v>
      </c>
      <c r="J41" s="7">
        <f t="shared" si="14"/>
        <v>28916.692550401607</v>
      </c>
      <c r="K41" s="7">
        <f t="shared" si="15"/>
        <v>37750.377105425592</v>
      </c>
      <c r="M41">
        <f t="shared" si="1"/>
        <v>17.951532848859468</v>
      </c>
      <c r="N41">
        <f t="shared" si="2"/>
        <v>17.944053182332919</v>
      </c>
      <c r="O41" s="10">
        <f t="shared" si="6"/>
        <v>64.172780000000003</v>
      </c>
      <c r="P41">
        <f t="shared" si="7"/>
        <v>62.755575398908974</v>
      </c>
      <c r="Q41">
        <f t="shared" si="8"/>
        <v>4.3717136949515618</v>
      </c>
      <c r="R41">
        <f t="shared" si="9"/>
        <v>2.9178446537778049</v>
      </c>
      <c r="S41" s="10">
        <f t="shared" si="10"/>
        <v>64.172780000000003</v>
      </c>
      <c r="T41">
        <f t="shared" si="12"/>
        <v>64.094722395400254</v>
      </c>
      <c r="U41">
        <f t="shared" si="13"/>
        <v>64.131854658262455</v>
      </c>
    </row>
    <row r="42" spans="1:21" x14ac:dyDescent="0.35">
      <c r="A42" t="str">
        <f>'US Raw Data'!A45</f>
        <v>2008-Q2</v>
      </c>
      <c r="B42" s="7">
        <f>'US Raw Data'!B45</f>
        <v>14865.700999999999</v>
      </c>
      <c r="C42" s="7">
        <f>'US Raw Data'!C45</f>
        <v>2621.0059999999999</v>
      </c>
      <c r="D42" s="7">
        <f>'US Raw Data'!D45</f>
        <v>3397.4520000000002</v>
      </c>
      <c r="E42" s="7">
        <f>'US Raw Data'!E45</f>
        <v>388.351</v>
      </c>
      <c r="F42" s="7">
        <f t="shared" si="0"/>
        <v>3009.1010000000001</v>
      </c>
      <c r="G42" s="7">
        <f>'US Raw Data'!F45*(B42*4/100)</f>
        <v>37968.023114228796</v>
      </c>
      <c r="H42" s="7">
        <f t="shared" si="11"/>
        <v>38526.823105425603</v>
      </c>
      <c r="I42" s="7">
        <f t="shared" si="3"/>
        <v>-558.79999119680724</v>
      </c>
      <c r="J42" s="7">
        <f t="shared" si="14"/>
        <v>29693.138550401607</v>
      </c>
      <c r="K42" s="7">
        <f t="shared" si="15"/>
        <v>37968.023114228788</v>
      </c>
      <c r="M42">
        <f t="shared" si="1"/>
        <v>20.241904502182578</v>
      </c>
      <c r="N42">
        <f t="shared" si="2"/>
        <v>17.63123044113426</v>
      </c>
      <c r="O42" s="10">
        <f t="shared" si="6"/>
        <v>63.85172</v>
      </c>
      <c r="P42">
        <f t="shared" si="7"/>
        <v>63.485699573510871</v>
      </c>
      <c r="Q42">
        <f t="shared" si="8"/>
        <v>4.114936377090495</v>
      </c>
      <c r="R42">
        <f t="shared" si="9"/>
        <v>-3.7589885010925976</v>
      </c>
      <c r="S42" s="10">
        <f t="shared" si="10"/>
        <v>63.851719999999993</v>
      </c>
      <c r="T42">
        <f t="shared" si="12"/>
        <v>64.504522302410294</v>
      </c>
      <c r="U42">
        <f t="shared" si="13"/>
        <v>63.813890001705573</v>
      </c>
    </row>
    <row r="43" spans="1:21" x14ac:dyDescent="0.35">
      <c r="A43" t="str">
        <f>'US Raw Data'!A46</f>
        <v>2008-Q3</v>
      </c>
      <c r="B43" s="7">
        <f>'US Raw Data'!B46</f>
        <v>14898.999</v>
      </c>
      <c r="C43" s="7">
        <f>'US Raw Data'!C46</f>
        <v>2574.5700000000002</v>
      </c>
      <c r="D43" s="7">
        <f>'US Raw Data'!D46</f>
        <v>3194.11</v>
      </c>
      <c r="E43" s="7">
        <f>'US Raw Data'!E46</f>
        <v>382.15199999999999</v>
      </c>
      <c r="F43" s="7">
        <f t="shared" si="0"/>
        <v>2811.9580000000001</v>
      </c>
      <c r="G43" s="7">
        <f>'US Raw Data'!F46*(B43*4/100)</f>
        <v>40098.897726618001</v>
      </c>
      <c r="H43" s="7">
        <f t="shared" si="11"/>
        <v>38587.563114228797</v>
      </c>
      <c r="I43" s="7">
        <f t="shared" si="3"/>
        <v>1511.3346123892043</v>
      </c>
      <c r="J43" s="7">
        <f t="shared" si="14"/>
        <v>30312.678550401608</v>
      </c>
      <c r="K43" s="7">
        <f t="shared" si="15"/>
        <v>40098.897726617994</v>
      </c>
      <c r="M43">
        <f t="shared" si="1"/>
        <v>18.873469284748591</v>
      </c>
      <c r="N43">
        <f t="shared" si="2"/>
        <v>17.280154190224458</v>
      </c>
      <c r="O43" s="10">
        <f t="shared" si="6"/>
        <v>67.284549999999996</v>
      </c>
      <c r="P43">
        <f t="shared" si="7"/>
        <v>63.70901681755398</v>
      </c>
      <c r="Q43">
        <f t="shared" si="8"/>
        <v>4.026040532584755</v>
      </c>
      <c r="R43">
        <f t="shared" si="9"/>
        <v>10.143866795273993</v>
      </c>
      <c r="S43" s="10">
        <f t="shared" si="10"/>
        <v>67.28455000000001</v>
      </c>
      <c r="T43">
        <f t="shared" si="12"/>
        <v>67.390478743377031</v>
      </c>
      <c r="U43">
        <f t="shared" si="13"/>
        <v>67.239866735067139</v>
      </c>
    </row>
    <row r="44" spans="1:21" x14ac:dyDescent="0.35">
      <c r="A44" t="str">
        <f>'US Raw Data'!A47</f>
        <v>2008-Q4</v>
      </c>
      <c r="B44" s="7">
        <f>'US Raw Data'!B47</f>
        <v>14608.209000000001</v>
      </c>
      <c r="C44" s="7">
        <f>'US Raw Data'!C47</f>
        <v>2493.6770000000001</v>
      </c>
      <c r="D44" s="7">
        <f>'US Raw Data'!D47</f>
        <v>3192.866</v>
      </c>
      <c r="E44" s="7">
        <f>'US Raw Data'!E47</f>
        <v>379.61399999999998</v>
      </c>
      <c r="F44" s="7">
        <f t="shared" si="0"/>
        <v>2813.252</v>
      </c>
      <c r="G44" s="7">
        <f>'US Raw Data'!F47*(B44*4/100)</f>
        <v>42799.218377453995</v>
      </c>
      <c r="H44" s="7">
        <f t="shared" si="11"/>
        <v>40798.086726617999</v>
      </c>
      <c r="I44" s="7">
        <f t="shared" si="3"/>
        <v>2001.131650835996</v>
      </c>
      <c r="J44" s="7">
        <f t="shared" si="14"/>
        <v>31011.867550401606</v>
      </c>
      <c r="K44" s="7">
        <f t="shared" si="15"/>
        <v>42799.218377453988</v>
      </c>
      <c r="M44">
        <f t="shared" si="1"/>
        <v>19.258021294739144</v>
      </c>
      <c r="N44">
        <f t="shared" si="2"/>
        <v>17.070381454701256</v>
      </c>
      <c r="O44" s="10">
        <f t="shared" si="6"/>
        <v>73.245149999999981</v>
      </c>
      <c r="P44">
        <f t="shared" si="7"/>
        <v>68.623911607880885</v>
      </c>
      <c r="Q44">
        <f t="shared" si="8"/>
        <v>3.7867774080783154</v>
      </c>
      <c r="R44">
        <f t="shared" si="9"/>
        <v>13.698678947131684</v>
      </c>
      <c r="S44" s="10">
        <f t="shared" si="10"/>
        <v>73.245149999999981</v>
      </c>
      <c r="T44">
        <f t="shared" si="12"/>
        <v>71.848002452545899</v>
      </c>
      <c r="U44">
        <f t="shared" si="13"/>
        <v>73.27820382994787</v>
      </c>
    </row>
    <row r="45" spans="1:21" x14ac:dyDescent="0.35">
      <c r="A45" t="str">
        <f>'US Raw Data'!A48</f>
        <v>2009-Q1</v>
      </c>
      <c r="B45" s="7">
        <f>'US Raw Data'!B48</f>
        <v>14430.902</v>
      </c>
      <c r="C45" s="7">
        <f>'US Raw Data'!C48</f>
        <v>2222.444</v>
      </c>
      <c r="D45" s="7">
        <f>'US Raw Data'!D48</f>
        <v>3322.7669999999998</v>
      </c>
      <c r="E45" s="7">
        <f>'US Raw Data'!E48</f>
        <v>361.86900000000003</v>
      </c>
      <c r="F45" s="7">
        <f t="shared" si="0"/>
        <v>2960.8979999999997</v>
      </c>
      <c r="G45" s="7">
        <f>'US Raw Data'!F48*(B45*4/100)</f>
        <v>44507.764858956805</v>
      </c>
      <c r="H45" s="7">
        <f t="shared" si="11"/>
        <v>43899.541377453992</v>
      </c>
      <c r="I45" s="7">
        <f t="shared" si="3"/>
        <v>608.22348150281323</v>
      </c>
      <c r="J45" s="7">
        <f t="shared" si="14"/>
        <v>32112.190550401607</v>
      </c>
      <c r="K45" s="7">
        <f t="shared" si="15"/>
        <v>44507.764858956798</v>
      </c>
      <c r="M45">
        <f t="shared" si="1"/>
        <v>20.517761121238298</v>
      </c>
      <c r="N45">
        <f t="shared" si="2"/>
        <v>15.400589651291375</v>
      </c>
      <c r="O45" s="10">
        <f t="shared" si="6"/>
        <v>77.104960000000005</v>
      </c>
      <c r="P45">
        <f t="shared" si="7"/>
        <v>74.145085278546674</v>
      </c>
      <c r="Q45">
        <f t="shared" si="8"/>
        <v>3.3820150340934951</v>
      </c>
      <c r="R45">
        <f t="shared" si="9"/>
        <v>4.2147294847045131</v>
      </c>
      <c r="S45" s="10">
        <f t="shared" si="10"/>
        <v>77.104959999999991</v>
      </c>
      <c r="T45">
        <f t="shared" si="12"/>
        <v>76.230749036171346</v>
      </c>
      <c r="U45">
        <f t="shared" si="13"/>
        <v>77.16736723365868</v>
      </c>
    </row>
    <row r="46" spans="1:21" x14ac:dyDescent="0.35">
      <c r="A46" t="str">
        <f>'US Raw Data'!A49</f>
        <v>2009-Q2</v>
      </c>
      <c r="B46" s="7">
        <f>'US Raw Data'!B49</f>
        <v>14381.236000000001</v>
      </c>
      <c r="C46" s="7">
        <f>'US Raw Data'!C49</f>
        <v>2223.8240000000001</v>
      </c>
      <c r="D46" s="7">
        <f>'US Raw Data'!D49</f>
        <v>3524.6709999999998</v>
      </c>
      <c r="E46" s="7">
        <f>'US Raw Data'!E49</f>
        <v>352.13400000000001</v>
      </c>
      <c r="F46" s="7">
        <f t="shared" si="0"/>
        <v>3172.5369999999998</v>
      </c>
      <c r="G46" s="7">
        <f>'US Raw Data'!F49*(B46*4/100)</f>
        <v>46181.099825627207</v>
      </c>
      <c r="H46" s="7">
        <f t="shared" si="11"/>
        <v>45808.611858956807</v>
      </c>
      <c r="I46" s="7">
        <f t="shared" si="3"/>
        <v>372.48796667040006</v>
      </c>
      <c r="J46" s="7">
        <f t="shared" si="14"/>
        <v>33413.037550401605</v>
      </c>
      <c r="K46" s="7">
        <f t="shared" si="15"/>
        <v>46181.0998256272</v>
      </c>
      <c r="M46">
        <f t="shared" si="1"/>
        <v>22.060252679255104</v>
      </c>
      <c r="N46">
        <f t="shared" si="2"/>
        <v>15.463371854825272</v>
      </c>
      <c r="O46" s="10">
        <f t="shared" si="6"/>
        <v>80.280130000000014</v>
      </c>
      <c r="P46">
        <f t="shared" si="7"/>
        <v>77.371244131861829</v>
      </c>
      <c r="Q46">
        <f t="shared" si="8"/>
        <v>3.1646972263459876</v>
      </c>
      <c r="R46">
        <f t="shared" si="9"/>
        <v>2.5900970310924598</v>
      </c>
      <c r="S46" s="10">
        <f t="shared" si="10"/>
        <v>80.280130000000014</v>
      </c>
      <c r="T46">
        <f t="shared" si="12"/>
        <v>80.074640080161217</v>
      </c>
      <c r="U46">
        <f t="shared" si="13"/>
        <v>80.351180085082987</v>
      </c>
    </row>
    <row r="47" spans="1:21" x14ac:dyDescent="0.35">
      <c r="A47" t="str">
        <f>'US Raw Data'!A50</f>
        <v>2009-Q3</v>
      </c>
      <c r="B47" s="7">
        <f>'US Raw Data'!B50</f>
        <v>14448.882</v>
      </c>
      <c r="C47" s="7">
        <f>'US Raw Data'!C50</f>
        <v>2225.5010000000002</v>
      </c>
      <c r="D47" s="7">
        <f>'US Raw Data'!D50</f>
        <v>3532.9029999999998</v>
      </c>
      <c r="E47" s="7">
        <f>'US Raw Data'!E50</f>
        <v>350.31700000000001</v>
      </c>
      <c r="F47" s="7">
        <f t="shared" si="0"/>
        <v>3182.5859999999998</v>
      </c>
      <c r="G47" s="7">
        <f>'US Raw Data'!F50*(B47*4/100)</f>
        <v>47639.310589802401</v>
      </c>
      <c r="H47" s="7">
        <f t="shared" si="11"/>
        <v>47488.501825627209</v>
      </c>
      <c r="I47" s="7">
        <f t="shared" si="3"/>
        <v>150.80876417519175</v>
      </c>
      <c r="J47" s="7">
        <f t="shared" si="14"/>
        <v>34720.439550401607</v>
      </c>
      <c r="K47" s="7">
        <f t="shared" si="15"/>
        <v>47639.310589802393</v>
      </c>
      <c r="M47">
        <f t="shared" si="1"/>
        <v>22.026520806246463</v>
      </c>
      <c r="N47">
        <f t="shared" si="2"/>
        <v>15.402582705014828</v>
      </c>
      <c r="O47" s="10">
        <f t="shared" si="6"/>
        <v>82.427330000000012</v>
      </c>
      <c r="P47">
        <f t="shared" si="7"/>
        <v>79.904278797534658</v>
      </c>
      <c r="Q47">
        <f t="shared" si="8"/>
        <v>3.0342889305169742</v>
      </c>
      <c r="R47">
        <f t="shared" si="9"/>
        <v>1.0437400220667021</v>
      </c>
      <c r="S47" s="10">
        <f t="shared" si="10"/>
        <v>82.427329999999998</v>
      </c>
      <c r="T47">
        <f t="shared" si="12"/>
        <v>82.877621356622939</v>
      </c>
      <c r="U47">
        <f t="shared" si="13"/>
        <v>82.489609358581149</v>
      </c>
    </row>
    <row r="48" spans="1:21" x14ac:dyDescent="0.35">
      <c r="A48" t="str">
        <f>'US Raw Data'!A51</f>
        <v>2009-Q4</v>
      </c>
      <c r="B48" s="7">
        <f>'US Raw Data'!B51</f>
        <v>14651.249</v>
      </c>
      <c r="C48" s="7">
        <f>'US Raw Data'!C51</f>
        <v>2296.4920000000002</v>
      </c>
      <c r="D48" s="7">
        <f>'US Raw Data'!D51</f>
        <v>3560.6190000000001</v>
      </c>
      <c r="E48" s="7">
        <f>'US Raw Data'!E51</f>
        <v>353.81099999999998</v>
      </c>
      <c r="F48" s="7">
        <f t="shared" si="0"/>
        <v>3206.808</v>
      </c>
      <c r="G48" s="7">
        <f>'US Raw Data'!F51*(B48*4/100)</f>
        <v>49245.397206325993</v>
      </c>
      <c r="H48" s="7">
        <f t="shared" si="11"/>
        <v>48903.437589802401</v>
      </c>
      <c r="I48" s="7">
        <f t="shared" si="3"/>
        <v>341.95961652359256</v>
      </c>
      <c r="J48" s="7">
        <f t="shared" si="14"/>
        <v>35984.566550401607</v>
      </c>
      <c r="K48" s="7">
        <f t="shared" si="15"/>
        <v>49245.397206325986</v>
      </c>
      <c r="M48">
        <f t="shared" si="1"/>
        <v>21.887608353390213</v>
      </c>
      <c r="N48">
        <f t="shared" si="2"/>
        <v>15.674376976324682</v>
      </c>
      <c r="O48" s="10">
        <f t="shared" si="6"/>
        <v>84.029349999999994</v>
      </c>
      <c r="P48">
        <f t="shared" si="7"/>
        <v>81.288821502184561</v>
      </c>
      <c r="Q48">
        <f t="shared" si="8"/>
        <v>2.9707482801040892</v>
      </c>
      <c r="R48">
        <f t="shared" si="9"/>
        <v>2.3339963475031551</v>
      </c>
      <c r="S48" s="10">
        <f t="shared" si="10"/>
        <v>84.029349999999994</v>
      </c>
      <c r="T48">
        <f t="shared" si="12"/>
        <v>85.23905595254449</v>
      </c>
      <c r="U48">
        <f t="shared" si="13"/>
        <v>84.061711138054719</v>
      </c>
    </row>
    <row r="49" spans="1:21" x14ac:dyDescent="0.35">
      <c r="A49" t="str">
        <f>'US Raw Data'!A52</f>
        <v>2010-Q1</v>
      </c>
      <c r="B49" s="7">
        <f>'US Raw Data'!B52</f>
        <v>14764.61</v>
      </c>
      <c r="C49" s="7">
        <f>'US Raw Data'!C52</f>
        <v>2366.1320000000001</v>
      </c>
      <c r="D49" s="7">
        <f>'US Raw Data'!D52</f>
        <v>3710.5479999999998</v>
      </c>
      <c r="E49" s="7">
        <f>'US Raw Data'!E52</f>
        <v>360.25799999999998</v>
      </c>
      <c r="F49" s="7">
        <f t="shared" si="0"/>
        <v>3350.29</v>
      </c>
      <c r="G49" s="7">
        <f>'US Raw Data'!F52*(B49*4/100)</f>
        <v>51092.489966700014</v>
      </c>
      <c r="H49" s="7">
        <f t="shared" si="11"/>
        <v>50589.813206325991</v>
      </c>
      <c r="I49" s="7">
        <f t="shared" si="3"/>
        <v>502.67676037402271</v>
      </c>
      <c r="J49" s="7">
        <f t="shared" si="14"/>
        <v>37328.982550401604</v>
      </c>
      <c r="K49" s="7">
        <f t="shared" si="15"/>
        <v>51092.489966700006</v>
      </c>
      <c r="M49">
        <f t="shared" si="1"/>
        <v>22.691354529513479</v>
      </c>
      <c r="N49">
        <f t="shared" si="2"/>
        <v>16.025699290397782</v>
      </c>
      <c r="O49" s="10">
        <f t="shared" si="6"/>
        <v>86.511750000000021</v>
      </c>
      <c r="P49">
        <f t="shared" si="7"/>
        <v>83.384182186874554</v>
      </c>
      <c r="Q49">
        <f t="shared" si="8"/>
        <v>2.9262267780325404</v>
      </c>
      <c r="R49">
        <f t="shared" si="9"/>
        <v>3.4046057455904535</v>
      </c>
      <c r="S49" s="10">
        <f t="shared" si="10"/>
        <v>86.511750000000021</v>
      </c>
      <c r="T49">
        <f t="shared" si="12"/>
        <v>87.194235459579772</v>
      </c>
      <c r="U49">
        <f t="shared" si="13"/>
        <v>86.524768015066599</v>
      </c>
    </row>
    <row r="50" spans="1:21" x14ac:dyDescent="0.35">
      <c r="A50" t="str">
        <f>'US Raw Data'!A53</f>
        <v>2010-Q2</v>
      </c>
      <c r="B50" s="7">
        <f>'US Raw Data'!B53</f>
        <v>14980.192999999999</v>
      </c>
      <c r="C50" s="7">
        <f>'US Raw Data'!C53</f>
        <v>2420.6729999999998</v>
      </c>
      <c r="D50" s="7">
        <f>'US Raw Data'!D53</f>
        <v>3745.7109999999998</v>
      </c>
      <c r="E50" s="7">
        <f>'US Raw Data'!E53</f>
        <v>376.93</v>
      </c>
      <c r="F50" s="7">
        <f t="shared" si="0"/>
        <v>3368.7809999999999</v>
      </c>
      <c r="G50" s="7">
        <f>'US Raw Data'!F53*(B50*4/100)</f>
        <v>52807.1696946304</v>
      </c>
      <c r="H50" s="7">
        <f t="shared" si="11"/>
        <v>52417.527966700014</v>
      </c>
      <c r="I50" s="7">
        <f t="shared" si="3"/>
        <v>389.64172793038597</v>
      </c>
      <c r="J50" s="7">
        <f t="shared" si="14"/>
        <v>38654.020550401605</v>
      </c>
      <c r="K50" s="7">
        <f t="shared" si="15"/>
        <v>52807.169694630393</v>
      </c>
      <c r="M50">
        <f t="shared" si="1"/>
        <v>22.488234964663004</v>
      </c>
      <c r="N50">
        <f t="shared" si="2"/>
        <v>16.159157629010522</v>
      </c>
      <c r="O50" s="10">
        <f t="shared" si="6"/>
        <v>88.128320000000002</v>
      </c>
      <c r="P50">
        <f t="shared" si="7"/>
        <v>85.266741834868242</v>
      </c>
      <c r="Q50">
        <f t="shared" si="8"/>
        <v>2.9509620709084055</v>
      </c>
      <c r="R50">
        <f t="shared" si="9"/>
        <v>2.601046114228208</v>
      </c>
      <c r="S50" s="10">
        <f t="shared" si="10"/>
        <v>88.128320000000002</v>
      </c>
      <c r="T50">
        <f t="shared" si="12"/>
        <v>89.395627149053297</v>
      </c>
      <c r="U50">
        <f t="shared" si="13"/>
        <v>88.109116522142529</v>
      </c>
    </row>
    <row r="51" spans="1:21" x14ac:dyDescent="0.35">
      <c r="A51" t="str">
        <f>'US Raw Data'!A54</f>
        <v>2010-Q3</v>
      </c>
      <c r="B51" s="7">
        <f>'US Raw Data'!B54</f>
        <v>15141.607</v>
      </c>
      <c r="C51" s="7">
        <f>'US Raw Data'!C54</f>
        <v>2483.29</v>
      </c>
      <c r="D51" s="7">
        <f>'US Raw Data'!D54</f>
        <v>3792.4380000000001</v>
      </c>
      <c r="E51" s="7">
        <f>'US Raw Data'!E54</f>
        <v>389.24700000000001</v>
      </c>
      <c r="F51" s="7">
        <f t="shared" si="0"/>
        <v>3403.1910000000003</v>
      </c>
      <c r="G51" s="7">
        <f>'US Raw Data'!F54*(B51*4/100)</f>
        <v>54246.490824198394</v>
      </c>
      <c r="H51" s="7">
        <f t="shared" si="11"/>
        <v>54116.317694630401</v>
      </c>
      <c r="I51" s="7">
        <f t="shared" si="3"/>
        <v>130.17312956799287</v>
      </c>
      <c r="J51" s="7">
        <f t="shared" si="14"/>
        <v>39963.168550401606</v>
      </c>
      <c r="K51" s="7">
        <f t="shared" si="15"/>
        <v>54246.490824198387</v>
      </c>
      <c r="M51">
        <f t="shared" si="1"/>
        <v>22.475758352465498</v>
      </c>
      <c r="N51">
        <f t="shared" si="2"/>
        <v>16.400438870193899</v>
      </c>
      <c r="O51" s="10">
        <f t="shared" si="6"/>
        <v>89.565280000000001</v>
      </c>
      <c r="P51">
        <f t="shared" si="7"/>
        <v>87.188846095778345</v>
      </c>
      <c r="Q51">
        <f t="shared" si="8"/>
        <v>2.948440541319751</v>
      </c>
      <c r="R51">
        <f t="shared" si="9"/>
        <v>0.85970484881817943</v>
      </c>
      <c r="S51" s="10">
        <f t="shared" si="10"/>
        <v>89.565279999999987</v>
      </c>
      <c r="T51">
        <f t="shared" si="12"/>
        <v>90.492333832949342</v>
      </c>
      <c r="U51">
        <f t="shared" si="13"/>
        <v>89.527658843477496</v>
      </c>
    </row>
    <row r="52" spans="1:21" x14ac:dyDescent="0.35">
      <c r="A52" t="str">
        <f>'US Raw Data'!A55</f>
        <v>2010-Q4</v>
      </c>
      <c r="B52" s="7">
        <f>'US Raw Data'!B55</f>
        <v>15309.474</v>
      </c>
      <c r="C52" s="7">
        <f>'US Raw Data'!C55</f>
        <v>2514.962</v>
      </c>
      <c r="D52" s="7">
        <f>'US Raw Data'!D55</f>
        <v>3809.8040000000001</v>
      </c>
      <c r="E52" s="7">
        <f>'US Raw Data'!E55</f>
        <v>399.51400000000001</v>
      </c>
      <c r="F52" s="7">
        <f t="shared" si="0"/>
        <v>3410.29</v>
      </c>
      <c r="G52" s="7">
        <f>'US Raw Data'!F55*(B52*4/100)</f>
        <v>56100.857113406397</v>
      </c>
      <c r="H52" s="7">
        <f t="shared" si="11"/>
        <v>55541.332824198391</v>
      </c>
      <c r="I52" s="7">
        <f t="shared" si="3"/>
        <v>559.52428920800594</v>
      </c>
      <c r="J52" s="7">
        <f t="shared" si="14"/>
        <v>41258.010550401603</v>
      </c>
      <c r="K52" s="7">
        <f t="shared" si="15"/>
        <v>56100.85711340639</v>
      </c>
      <c r="M52">
        <f t="shared" si="1"/>
        <v>22.275683671431167</v>
      </c>
      <c r="N52">
        <f t="shared" si="2"/>
        <v>16.427487972480311</v>
      </c>
      <c r="O52" s="10">
        <f t="shared" si="6"/>
        <v>91.611339999999998</v>
      </c>
      <c r="P52">
        <f t="shared" si="7"/>
        <v>88.583204792337085</v>
      </c>
      <c r="Q52">
        <f t="shared" si="8"/>
        <v>2.945915902982494</v>
      </c>
      <c r="R52">
        <f t="shared" si="9"/>
        <v>3.6547584143518317</v>
      </c>
      <c r="S52" s="10">
        <f t="shared" si="10"/>
        <v>91.611340000000013</v>
      </c>
      <c r="T52">
        <f t="shared" si="12"/>
        <v>92.56274975666264</v>
      </c>
      <c r="U52">
        <f t="shared" si="13"/>
        <v>91.547807563782484</v>
      </c>
    </row>
    <row r="53" spans="1:21" x14ac:dyDescent="0.35">
      <c r="A53" t="str">
        <f>'US Raw Data'!A56</f>
        <v>2011-Q1</v>
      </c>
      <c r="B53" s="7">
        <f>'US Raw Data'!B56</f>
        <v>15351.448</v>
      </c>
      <c r="C53" s="7">
        <f>'US Raw Data'!C56</f>
        <v>2566.855</v>
      </c>
      <c r="D53" s="7">
        <f>'US Raw Data'!D56</f>
        <v>3811.2629999999999</v>
      </c>
      <c r="E53" s="7">
        <f>'US Raw Data'!E56</f>
        <v>410.80500000000001</v>
      </c>
      <c r="F53" s="7">
        <f t="shared" si="0"/>
        <v>3400.4580000000001</v>
      </c>
      <c r="G53" s="7">
        <f>'US Raw Data'!F56*(B53*4/100)</f>
        <v>57080.453979628801</v>
      </c>
      <c r="H53" s="7">
        <f t="shared" si="11"/>
        <v>57345.2651134064</v>
      </c>
      <c r="I53" s="7">
        <f t="shared" si="3"/>
        <v>-264.81113377759903</v>
      </c>
      <c r="J53" s="7">
        <f t="shared" si="14"/>
        <v>42502.418550401606</v>
      </c>
      <c r="K53" s="7">
        <f t="shared" si="15"/>
        <v>57080.453979628794</v>
      </c>
      <c r="M53">
        <f t="shared" si="1"/>
        <v>22.150731318635216</v>
      </c>
      <c r="N53">
        <f t="shared" si="2"/>
        <v>16.720605118162144</v>
      </c>
      <c r="O53" s="10">
        <f t="shared" si="6"/>
        <v>92.956140000000005</v>
      </c>
      <c r="P53">
        <f t="shared" si="7"/>
        <v>91.360855851197869</v>
      </c>
      <c r="Q53">
        <f t="shared" si="8"/>
        <v>2.9290461582044545</v>
      </c>
      <c r="R53">
        <f t="shared" si="9"/>
        <v>-1.7249912436768116</v>
      </c>
      <c r="S53" s="10">
        <f t="shared" si="10"/>
        <v>92.956139999999976</v>
      </c>
      <c r="T53">
        <f t="shared" si="12"/>
        <v>93.14446068807338</v>
      </c>
      <c r="U53">
        <f t="shared" si="13"/>
        <v>92.889784673607437</v>
      </c>
    </row>
    <row r="54" spans="1:21" x14ac:dyDescent="0.35">
      <c r="A54" t="str">
        <f>'US Raw Data'!A57</f>
        <v>2011-Q2</v>
      </c>
      <c r="B54" s="7">
        <f>'US Raw Data'!B57</f>
        <v>15557.539000000001</v>
      </c>
      <c r="C54" s="7">
        <f>'US Raw Data'!C57</f>
        <v>2574.9720000000002</v>
      </c>
      <c r="D54" s="7">
        <f>'US Raw Data'!D57</f>
        <v>3849.377</v>
      </c>
      <c r="E54" s="7">
        <f>'US Raw Data'!E57</f>
        <v>424.98700000000002</v>
      </c>
      <c r="F54" s="7">
        <f t="shared" si="0"/>
        <v>3424.39</v>
      </c>
      <c r="G54" s="7">
        <f>'US Raw Data'!F57*(B54*4/100)</f>
        <v>57372.345562327995</v>
      </c>
      <c r="H54" s="7">
        <f t="shared" si="11"/>
        <v>58354.8589796288</v>
      </c>
      <c r="I54" s="7">
        <f t="shared" si="3"/>
        <v>-982.51341730080458</v>
      </c>
      <c r="J54" s="7">
        <f t="shared" si="14"/>
        <v>43776.823550401605</v>
      </c>
      <c r="K54" s="7">
        <f t="shared" si="15"/>
        <v>57372.345562327988</v>
      </c>
      <c r="M54">
        <f t="shared" si="1"/>
        <v>22.011129138098255</v>
      </c>
      <c r="N54">
        <f t="shared" si="2"/>
        <v>16.551281022017687</v>
      </c>
      <c r="O54" s="10">
        <f t="shared" si="6"/>
        <v>92.193799999999996</v>
      </c>
      <c r="P54">
        <f t="shared" si="7"/>
        <v>91.724748335242481</v>
      </c>
      <c r="Q54">
        <f t="shared" si="8"/>
        <v>2.9781613170187602</v>
      </c>
      <c r="R54">
        <f t="shared" si="9"/>
        <v>-6.3153524301035304</v>
      </c>
      <c r="S54" s="10">
        <f t="shared" si="10"/>
        <v>92.193799999999996</v>
      </c>
      <c r="T54">
        <f t="shared" si="12"/>
        <v>93.367510503754545</v>
      </c>
      <c r="U54">
        <f t="shared" si="13"/>
        <v>92.130669406507138</v>
      </c>
    </row>
    <row r="55" spans="1:21" x14ac:dyDescent="0.35">
      <c r="A55" t="str">
        <f>'US Raw Data'!A58</f>
        <v>2011-Q3</v>
      </c>
      <c r="B55" s="7">
        <f>'US Raw Data'!B58</f>
        <v>15647.68</v>
      </c>
      <c r="C55" s="7">
        <f>'US Raw Data'!C58</f>
        <v>2565.373</v>
      </c>
      <c r="D55" s="7">
        <f>'US Raw Data'!D58</f>
        <v>3783.8330000000001</v>
      </c>
      <c r="E55" s="7">
        <f>'US Raw Data'!E58</f>
        <v>432.625</v>
      </c>
      <c r="F55" s="7">
        <f t="shared" si="0"/>
        <v>3351.2080000000001</v>
      </c>
      <c r="G55" s="7">
        <f>'US Raw Data'!F58*(B55*4/100)</f>
        <v>59161.361933055996</v>
      </c>
      <c r="H55" s="7">
        <f t="shared" si="11"/>
        <v>58590.805562327994</v>
      </c>
      <c r="I55" s="7">
        <f t="shared" si="3"/>
        <v>570.55637072800164</v>
      </c>
      <c r="J55" s="7">
        <f t="shared" si="14"/>
        <v>44995.283550401604</v>
      </c>
      <c r="K55" s="7">
        <f t="shared" si="15"/>
        <v>59161.361933055989</v>
      </c>
      <c r="M55">
        <f t="shared" si="1"/>
        <v>21.416644512157713</v>
      </c>
      <c r="N55">
        <f t="shared" si="2"/>
        <v>16.394590124542425</v>
      </c>
      <c r="O55" s="10">
        <f t="shared" si="6"/>
        <v>94.520979999999994</v>
      </c>
      <c r="P55">
        <f t="shared" si="7"/>
        <v>91.662702653569085</v>
      </c>
      <c r="Q55">
        <f t="shared" si="8"/>
        <v>3.0162615508198538</v>
      </c>
      <c r="R55">
        <f t="shared" si="9"/>
        <v>3.6462681415264222</v>
      </c>
      <c r="S55" s="10">
        <f t="shared" si="10"/>
        <v>94.520980000000009</v>
      </c>
      <c r="T55">
        <f t="shared" si="12"/>
        <v>94.992475528247937</v>
      </c>
      <c r="U55">
        <f t="shared" si="13"/>
        <v>94.445255957257743</v>
      </c>
    </row>
    <row r="56" spans="1:21" x14ac:dyDescent="0.35">
      <c r="A56" t="str">
        <f>'US Raw Data'!A59</f>
        <v>2011-Q4</v>
      </c>
      <c r="B56" s="7">
        <f>'US Raw Data'!B59</f>
        <v>15842.259</v>
      </c>
      <c r="C56" s="7">
        <f>'US Raw Data'!C59</f>
        <v>2587.239</v>
      </c>
      <c r="D56" s="7">
        <f>'US Raw Data'!D59</f>
        <v>3786.5279999999998</v>
      </c>
      <c r="E56" s="7">
        <f>'US Raw Data'!E59</f>
        <v>433.35</v>
      </c>
      <c r="F56" s="7">
        <f t="shared" si="0"/>
        <v>3353.1779999999999</v>
      </c>
      <c r="G56" s="7">
        <f>'US Raw Data'!F59*(B56*4/100)</f>
        <v>60891.762949459211</v>
      </c>
      <c r="H56" s="7">
        <f t="shared" si="11"/>
        <v>60360.650933055993</v>
      </c>
      <c r="I56" s="7">
        <f t="shared" si="3"/>
        <v>531.11201640321815</v>
      </c>
      <c r="J56" s="7">
        <f t="shared" si="14"/>
        <v>46194.572550401601</v>
      </c>
      <c r="K56" s="7">
        <f t="shared" si="15"/>
        <v>60891.762949459204</v>
      </c>
      <c r="M56">
        <f t="shared" si="1"/>
        <v>21.166034465160553</v>
      </c>
      <c r="N56">
        <f t="shared" si="2"/>
        <v>16.331250486436311</v>
      </c>
      <c r="O56" s="10">
        <f t="shared" si="6"/>
        <v>96.090720000000019</v>
      </c>
      <c r="P56">
        <f t="shared" si="7"/>
        <v>93.360047220942405</v>
      </c>
      <c r="Q56">
        <f t="shared" si="8"/>
        <v>2.9299528330017619</v>
      </c>
      <c r="R56">
        <f t="shared" si="9"/>
        <v>3.352501789064414</v>
      </c>
      <c r="S56" s="10">
        <f t="shared" si="10"/>
        <v>96.090720000000019</v>
      </c>
      <c r="T56">
        <f t="shared" si="12"/>
        <v>97.183877762343769</v>
      </c>
      <c r="U56">
        <f t="shared" si="13"/>
        <v>95.990238537589335</v>
      </c>
    </row>
    <row r="57" spans="1:21" x14ac:dyDescent="0.35">
      <c r="A57" t="str">
        <f>'US Raw Data'!A60</f>
        <v>2012-Q1</v>
      </c>
      <c r="B57" s="7">
        <f>'US Raw Data'!B60</f>
        <v>16068.805</v>
      </c>
      <c r="C57" s="7">
        <f>'US Raw Data'!C60</f>
        <v>2663.9490000000001</v>
      </c>
      <c r="D57" s="7">
        <f>'US Raw Data'!D60</f>
        <v>3774.3440000000001</v>
      </c>
      <c r="E57" s="7">
        <f>'US Raw Data'!E60</f>
        <v>428.34300000000002</v>
      </c>
      <c r="F57" s="7">
        <f t="shared" si="0"/>
        <v>3346.0010000000002</v>
      </c>
      <c r="G57" s="7">
        <f>'US Raw Data'!F60*(B57*4/100)</f>
        <v>62426.073340776005</v>
      </c>
      <c r="H57" s="7">
        <f t="shared" si="11"/>
        <v>62002.157949459208</v>
      </c>
      <c r="I57" s="7">
        <f t="shared" si="3"/>
        <v>423.91539131679747</v>
      </c>
      <c r="J57" s="7">
        <f t="shared" si="14"/>
        <v>47304.967550401598</v>
      </c>
      <c r="K57" s="7">
        <f t="shared" si="15"/>
        <v>62426.073340775998</v>
      </c>
      <c r="M57">
        <f t="shared" si="1"/>
        <v>20.822961010479624</v>
      </c>
      <c r="N57">
        <f t="shared" si="2"/>
        <v>16.578388996568197</v>
      </c>
      <c r="O57" s="10">
        <f t="shared" si="6"/>
        <v>97.123080000000002</v>
      </c>
      <c r="P57">
        <f t="shared" si="7"/>
        <v>94.735985266886999</v>
      </c>
      <c r="Q57">
        <f t="shared" si="8"/>
        <v>2.813799300608387</v>
      </c>
      <c r="R57">
        <f t="shared" si="9"/>
        <v>2.6381264276764669</v>
      </c>
      <c r="S57" s="10">
        <f t="shared" si="10"/>
        <v>97.123080000000002</v>
      </c>
      <c r="T57">
        <f t="shared" si="12"/>
        <v>98.386156313142052</v>
      </c>
      <c r="U57">
        <f t="shared" si="13"/>
        <v>96.999059377923956</v>
      </c>
    </row>
    <row r="58" spans="1:21" x14ac:dyDescent="0.35">
      <c r="A58" t="str">
        <f>'US Raw Data'!A61</f>
        <v>2012-Q2</v>
      </c>
      <c r="B58" s="7">
        <f>'US Raw Data'!B61</f>
        <v>16207.115</v>
      </c>
      <c r="C58" s="7">
        <f>'US Raw Data'!C61</f>
        <v>2679.7469999999998</v>
      </c>
      <c r="D58" s="7">
        <f>'US Raw Data'!D61</f>
        <v>3772.8670000000002</v>
      </c>
      <c r="E58" s="7">
        <f>'US Raw Data'!E61</f>
        <v>424.34500000000003</v>
      </c>
      <c r="F58" s="7">
        <f t="shared" si="0"/>
        <v>3348.5219999999999</v>
      </c>
      <c r="G58" s="7">
        <f>'US Raw Data'!F61*(B58*4/100)</f>
        <v>63420.145983497998</v>
      </c>
      <c r="H58" s="7">
        <f t="shared" si="11"/>
        <v>63519.193340776008</v>
      </c>
      <c r="I58" s="7">
        <f t="shared" si="3"/>
        <v>-99.047357278010168</v>
      </c>
      <c r="J58" s="7">
        <f t="shared" si="14"/>
        <v>48398.0875504016</v>
      </c>
      <c r="K58" s="7">
        <f t="shared" si="15"/>
        <v>63420.145983497991</v>
      </c>
      <c r="M58">
        <f t="shared" si="1"/>
        <v>20.66081471008258</v>
      </c>
      <c r="N58">
        <f t="shared" si="2"/>
        <v>16.534386286516757</v>
      </c>
      <c r="O58" s="10">
        <f t="shared" si="6"/>
        <v>97.827629999999999</v>
      </c>
      <c r="P58">
        <f t="shared" si="7"/>
        <v>96.294240740526618</v>
      </c>
      <c r="Q58">
        <f t="shared" si="8"/>
        <v>2.7190241339291328</v>
      </c>
      <c r="R58">
        <f t="shared" si="9"/>
        <v>-0.61113503099108124</v>
      </c>
      <c r="S58" s="10">
        <f t="shared" si="10"/>
        <v>97.827629999999999</v>
      </c>
      <c r="T58">
        <f t="shared" si="12"/>
        <v>98.537239684610142</v>
      </c>
      <c r="U58">
        <f t="shared" si="13"/>
        <v>97.696332118965159</v>
      </c>
    </row>
    <row r="59" spans="1:21" x14ac:dyDescent="0.35">
      <c r="A59" t="str">
        <f>'US Raw Data'!A62</f>
        <v>2012-Q3</v>
      </c>
      <c r="B59" s="7">
        <f>'US Raw Data'!B62</f>
        <v>16319.540999999999</v>
      </c>
      <c r="C59" s="7">
        <f>'US Raw Data'!C62</f>
        <v>2690.5549999999998</v>
      </c>
      <c r="D59" s="7">
        <f>'US Raw Data'!D62</f>
        <v>3777.299</v>
      </c>
      <c r="E59" s="7">
        <f>'US Raw Data'!E62</f>
        <v>420.97399999999999</v>
      </c>
      <c r="F59" s="7">
        <f t="shared" si="0"/>
        <v>3356.3249999999998</v>
      </c>
      <c r="G59" s="7">
        <f>'US Raw Data'!F62*(B59*4/100)</f>
        <v>64264.962033106793</v>
      </c>
      <c r="H59" s="7">
        <f t="shared" si="11"/>
        <v>64506.889983497997</v>
      </c>
      <c r="I59" s="7">
        <f t="shared" si="3"/>
        <v>-241.92795039120392</v>
      </c>
      <c r="J59" s="7">
        <f t="shared" si="14"/>
        <v>49484.831550401599</v>
      </c>
      <c r="K59" s="7">
        <f t="shared" si="15"/>
        <v>64264.962033106785</v>
      </c>
      <c r="M59">
        <f t="shared" si="1"/>
        <v>20.56629533882111</v>
      </c>
      <c r="N59">
        <f t="shared" si="2"/>
        <v>16.486707561199179</v>
      </c>
      <c r="O59" s="10">
        <f t="shared" si="6"/>
        <v>98.447869999999995</v>
      </c>
      <c r="P59">
        <f t="shared" si="7"/>
        <v>97.153691368369365</v>
      </c>
      <c r="Q59">
        <f t="shared" si="8"/>
        <v>2.6551436832676982</v>
      </c>
      <c r="R59">
        <f t="shared" si="9"/>
        <v>-1.4824433505280812</v>
      </c>
      <c r="S59" s="10">
        <f t="shared" si="10"/>
        <v>98.447869999999995</v>
      </c>
      <c r="T59">
        <f t="shared" si="12"/>
        <v>98.994112723498858</v>
      </c>
      <c r="U59">
        <f t="shared" si="13"/>
        <v>98.312138143634627</v>
      </c>
    </row>
    <row r="60" spans="1:21" x14ac:dyDescent="0.35">
      <c r="A60" t="str">
        <f>'US Raw Data'!A63</f>
        <v>2012-Q4</v>
      </c>
      <c r="B60" s="7">
        <f>'US Raw Data'!B63</f>
        <v>16420.419000000002</v>
      </c>
      <c r="C60" s="7">
        <f>'US Raw Data'!C63</f>
        <v>2769.018</v>
      </c>
      <c r="D60" s="7">
        <f>'US Raw Data'!D63</f>
        <v>3769.5030000000002</v>
      </c>
      <c r="E60" s="7">
        <f>'US Raw Data'!E63</f>
        <v>416.834</v>
      </c>
      <c r="F60" s="7">
        <f t="shared" si="0"/>
        <v>3352.6690000000003</v>
      </c>
      <c r="G60" s="7">
        <f>'US Raw Data'!F63*(B60*4/100)</f>
        <v>65730.917552497194</v>
      </c>
      <c r="H60" s="7">
        <f t="shared" si="11"/>
        <v>65265.447033106793</v>
      </c>
      <c r="I60" s="7">
        <f t="shared" si="3"/>
        <v>465.47051939040102</v>
      </c>
      <c r="J60" s="7">
        <f t="shared" si="14"/>
        <v>50485.3165504016</v>
      </c>
      <c r="K60" s="7">
        <f t="shared" si="15"/>
        <v>65730.91755249718</v>
      </c>
      <c r="M60">
        <f t="shared" si="1"/>
        <v>20.417682398969234</v>
      </c>
      <c r="N60">
        <f t="shared" si="2"/>
        <v>16.863260310227162</v>
      </c>
      <c r="O60" s="10">
        <f t="shared" si="6"/>
        <v>100.07496999999998</v>
      </c>
      <c r="P60">
        <f t="shared" si="7"/>
        <v>97.843060571576757</v>
      </c>
      <c r="Q60">
        <f t="shared" si="8"/>
        <v>2.5944713063722862</v>
      </c>
      <c r="R60">
        <f t="shared" si="9"/>
        <v>2.8347054931448521</v>
      </c>
      <c r="S60" s="10">
        <f t="shared" si="10"/>
        <v>100.07496999999998</v>
      </c>
      <c r="T60">
        <f t="shared" si="12"/>
        <v>100.54709009281078</v>
      </c>
      <c r="U60">
        <f t="shared" si="13"/>
        <v>99.929384213662217</v>
      </c>
    </row>
    <row r="61" spans="1:21" x14ac:dyDescent="0.35">
      <c r="A61" t="str">
        <f>'US Raw Data'!A64</f>
        <v>2013-Q1</v>
      </c>
      <c r="B61" s="7">
        <f>'US Raw Data'!B64</f>
        <v>16648.188999999998</v>
      </c>
      <c r="C61" s="7">
        <f>'US Raw Data'!C64</f>
        <v>2984.538</v>
      </c>
      <c r="D61" s="7">
        <f>'US Raw Data'!D64</f>
        <v>3758.7979999999998</v>
      </c>
      <c r="E61" s="7">
        <f>'US Raw Data'!E64</f>
        <v>411.05200000000002</v>
      </c>
      <c r="F61" s="7">
        <f t="shared" si="0"/>
        <v>3347.7459999999996</v>
      </c>
      <c r="G61" s="7">
        <f>'US Raw Data'!F64*(B61*4/100)</f>
        <v>67085.522416573192</v>
      </c>
      <c r="H61" s="7">
        <f t="shared" si="11"/>
        <v>66505.177552497189</v>
      </c>
      <c r="I61" s="7">
        <f t="shared" si="3"/>
        <v>580.34486407600343</v>
      </c>
      <c r="J61" s="7">
        <f t="shared" si="14"/>
        <v>51259.576550401602</v>
      </c>
      <c r="K61" s="7">
        <f t="shared" si="15"/>
        <v>67085.522416573178</v>
      </c>
      <c r="M61">
        <f t="shared" si="1"/>
        <v>20.108769788713957</v>
      </c>
      <c r="N61">
        <f t="shared" si="2"/>
        <v>17.927103062080807</v>
      </c>
      <c r="O61" s="10">
        <f t="shared" si="6"/>
        <v>100.73997</v>
      </c>
      <c r="P61">
        <f t="shared" si="7"/>
        <v>98.705807509299049</v>
      </c>
      <c r="Q61">
        <f t="shared" si="8"/>
        <v>2.5014225591584416</v>
      </c>
      <c r="R61">
        <f t="shared" si="9"/>
        <v>3.4859338999335212</v>
      </c>
      <c r="S61" s="10">
        <f t="shared" si="10"/>
        <v>100.73997</v>
      </c>
      <c r="T61">
        <f t="shared" si="12"/>
        <v>101.97119841029105</v>
      </c>
      <c r="U61">
        <f t="shared" si="13"/>
        <v>100.57609292092451</v>
      </c>
    </row>
    <row r="62" spans="1:21" x14ac:dyDescent="0.35">
      <c r="A62" t="str">
        <f>'US Raw Data'!A65</f>
        <v>2013-Q2</v>
      </c>
      <c r="B62" s="7">
        <f>'US Raw Data'!B65</f>
        <v>16728.687000000002</v>
      </c>
      <c r="C62" s="7">
        <f>'US Raw Data'!C65</f>
        <v>3244.7460000000001</v>
      </c>
      <c r="D62" s="7">
        <f>'US Raw Data'!D65</f>
        <v>3776.0349999999999</v>
      </c>
      <c r="E62" s="7">
        <f>'US Raw Data'!E65</f>
        <v>412.50799999999998</v>
      </c>
      <c r="F62" s="7">
        <f t="shared" si="0"/>
        <v>3363.527</v>
      </c>
      <c r="G62" s="7">
        <f>'US Raw Data'!F65*(B62*4/100)</f>
        <v>66953.277511898414</v>
      </c>
      <c r="H62" s="7">
        <f t="shared" si="11"/>
        <v>67616.811416573197</v>
      </c>
      <c r="I62" s="7">
        <f t="shared" si="3"/>
        <v>-663.53390467478312</v>
      </c>
      <c r="J62" s="7">
        <f t="shared" si="14"/>
        <v>51790.865550401599</v>
      </c>
      <c r="K62" s="7">
        <f t="shared" si="15"/>
        <v>66953.277511898399</v>
      </c>
      <c r="M62">
        <f t="shared" si="1"/>
        <v>20.106341878474979</v>
      </c>
      <c r="N62">
        <f t="shared" si="2"/>
        <v>19.396298107556198</v>
      </c>
      <c r="O62" s="10">
        <f t="shared" si="6"/>
        <v>100.05758</v>
      </c>
      <c r="P62">
        <f t="shared" si="7"/>
        <v>100.25521192513972</v>
      </c>
      <c r="Q62">
        <f t="shared" si="8"/>
        <v>2.4595947688295361</v>
      </c>
      <c r="R62">
        <f t="shared" si="9"/>
        <v>-3.9664434194673079</v>
      </c>
      <c r="S62" s="10">
        <f t="shared" si="10"/>
        <v>100.05758000000002</v>
      </c>
      <c r="T62">
        <f t="shared" si="12"/>
        <v>100.38043408883142</v>
      </c>
      <c r="U62">
        <f t="shared" si="13"/>
        <v>99.897406091279478</v>
      </c>
    </row>
    <row r="63" spans="1:21" x14ac:dyDescent="0.35">
      <c r="A63" t="str">
        <f>'US Raw Data'!A66</f>
        <v>2013-Q3</v>
      </c>
      <c r="B63" s="7">
        <f>'US Raw Data'!B66</f>
        <v>16953.838</v>
      </c>
      <c r="C63" s="7">
        <f>'US Raw Data'!C66</f>
        <v>3070.3290000000002</v>
      </c>
      <c r="D63" s="7">
        <f>'US Raw Data'!D66</f>
        <v>3773.7240000000002</v>
      </c>
      <c r="E63" s="7">
        <f>'US Raw Data'!E66</f>
        <v>416.74200000000002</v>
      </c>
      <c r="F63" s="7">
        <f t="shared" si="0"/>
        <v>3356.982</v>
      </c>
      <c r="G63" s="7">
        <f>'US Raw Data'!F66*(B63*4/100)</f>
        <v>66952.720377954392</v>
      </c>
      <c r="H63" s="7">
        <f t="shared" si="11"/>
        <v>67656.672511898418</v>
      </c>
      <c r="I63" s="7">
        <f t="shared" si="3"/>
        <v>-703.95213394402526</v>
      </c>
      <c r="J63" s="7">
        <f t="shared" si="14"/>
        <v>52494.260550401596</v>
      </c>
      <c r="K63" s="7">
        <f t="shared" si="15"/>
        <v>66952.720377954378</v>
      </c>
      <c r="M63">
        <f t="shared" si="1"/>
        <v>19.800720049348119</v>
      </c>
      <c r="N63">
        <f t="shared" si="2"/>
        <v>18.109934753416898</v>
      </c>
      <c r="O63" s="10">
        <f t="shared" si="6"/>
        <v>98.727969999999999</v>
      </c>
      <c r="P63">
        <f t="shared" si="7"/>
        <v>98.728791545457753</v>
      </c>
      <c r="Q63">
        <f t="shared" si="8"/>
        <v>2.4897481675990538</v>
      </c>
      <c r="R63">
        <f t="shared" si="9"/>
        <v>-4.1521697561580169</v>
      </c>
      <c r="S63" s="10">
        <f t="shared" si="10"/>
        <v>98.727969999999999</v>
      </c>
      <c r="T63">
        <f t="shared" si="12"/>
        <v>99.903858435631946</v>
      </c>
      <c r="U63">
        <f t="shared" si="13"/>
        <v>98.577111440017106</v>
      </c>
    </row>
    <row r="64" spans="1:21" x14ac:dyDescent="0.35">
      <c r="A64" t="str">
        <f>'US Raw Data'!A67</f>
        <v>2013-Q4</v>
      </c>
      <c r="B64" s="7">
        <f>'US Raw Data'!B67</f>
        <v>17192.019</v>
      </c>
      <c r="C64" s="7">
        <f>'US Raw Data'!C67</f>
        <v>3245.665</v>
      </c>
      <c r="D64" s="7">
        <f>'US Raw Data'!D67</f>
        <v>3772.4630000000002</v>
      </c>
      <c r="E64" s="7">
        <f>'US Raw Data'!E67</f>
        <v>425.00099999999998</v>
      </c>
      <c r="F64" s="7">
        <f t="shared" si="0"/>
        <v>3347.4620000000004</v>
      </c>
      <c r="G64" s="7">
        <f>'US Raw Data'!F67*(B64*4/100)</f>
        <v>68624.474503696794</v>
      </c>
      <c r="H64" s="7">
        <f t="shared" si="11"/>
        <v>67479.518377954388</v>
      </c>
      <c r="I64" s="7">
        <f t="shared" si="3"/>
        <v>1144.9561257424066</v>
      </c>
      <c r="J64" s="7">
        <f t="shared" si="14"/>
        <v>53021.058550401598</v>
      </c>
      <c r="K64" s="7">
        <f t="shared" si="15"/>
        <v>68624.47450369678</v>
      </c>
      <c r="M64">
        <f t="shared" si="1"/>
        <v>19.47102315324338</v>
      </c>
      <c r="N64">
        <f t="shared" si="2"/>
        <v>18.878905380455898</v>
      </c>
      <c r="O64" s="10">
        <f t="shared" si="6"/>
        <v>99.791179999999983</v>
      </c>
      <c r="P64">
        <f t="shared" si="7"/>
        <v>97.360176803484208</v>
      </c>
      <c r="Q64">
        <f t="shared" si="8"/>
        <v>2.5391111674078628</v>
      </c>
      <c r="R64">
        <f t="shared" si="9"/>
        <v>6.6598118914503672</v>
      </c>
      <c r="S64" s="10">
        <f t="shared" si="10"/>
        <v>99.791179999999997</v>
      </c>
      <c r="T64">
        <f t="shared" si="12"/>
        <v>101.01583946734698</v>
      </c>
      <c r="U64">
        <f t="shared" si="13"/>
        <v>99.616349758769289</v>
      </c>
    </row>
    <row r="65" spans="1:21" x14ac:dyDescent="0.35">
      <c r="A65" t="str">
        <f>'US Raw Data'!A68</f>
        <v>2014-Q1</v>
      </c>
      <c r="B65" s="7">
        <f>'US Raw Data'!B68</f>
        <v>17197.738000000001</v>
      </c>
      <c r="C65" s="7">
        <f>'US Raw Data'!C68</f>
        <v>3262.8380000000002</v>
      </c>
      <c r="D65" s="7">
        <f>'US Raw Data'!D68</f>
        <v>3819.402</v>
      </c>
      <c r="E65" s="7">
        <f>'US Raw Data'!E68</f>
        <v>431.952</v>
      </c>
      <c r="F65" s="7">
        <f t="shared" si="0"/>
        <v>3387.45</v>
      </c>
      <c r="G65" s="7">
        <f>'US Raw Data'!F68*(B65*4/100)</f>
        <v>70404.904678538398</v>
      </c>
      <c r="H65" s="7">
        <f t="shared" si="11"/>
        <v>69181.038503696793</v>
      </c>
      <c r="I65" s="7">
        <f t="shared" si="3"/>
        <v>1223.8661748416052</v>
      </c>
      <c r="J65" s="7">
        <f t="shared" si="14"/>
        <v>53577.622550401597</v>
      </c>
      <c r="K65" s="7">
        <f t="shared" si="15"/>
        <v>70404.904678538383</v>
      </c>
      <c r="M65">
        <f t="shared" si="1"/>
        <v>19.697067137550299</v>
      </c>
      <c r="N65">
        <f t="shared" si="2"/>
        <v>18.972483474280164</v>
      </c>
      <c r="O65" s="10">
        <f t="shared" si="6"/>
        <v>102.34616999999999</v>
      </c>
      <c r="P65">
        <f t="shared" si="7"/>
        <v>99.757995068445609</v>
      </c>
      <c r="Q65">
        <f t="shared" si="8"/>
        <v>2.5177722853191726</v>
      </c>
      <c r="R65">
        <f t="shared" si="9"/>
        <v>7.1164369107239871</v>
      </c>
      <c r="S65" s="10">
        <f t="shared" si="10"/>
        <v>102.34616999999999</v>
      </c>
      <c r="T65">
        <f t="shared" si="12"/>
        <v>102.20363311373605</v>
      </c>
      <c r="U65">
        <f t="shared" si="13"/>
        <v>102.16964593601665</v>
      </c>
    </row>
    <row r="66" spans="1:21" x14ac:dyDescent="0.35">
      <c r="A66" t="str">
        <f>'US Raw Data'!A69</f>
        <v>2014-Q2</v>
      </c>
      <c r="B66" s="7">
        <f>'US Raw Data'!B69</f>
        <v>17518.508000000002</v>
      </c>
      <c r="C66" s="7">
        <f>'US Raw Data'!C69</f>
        <v>3295.8310000000001</v>
      </c>
      <c r="D66" s="7">
        <f>'US Raw Data'!D69</f>
        <v>3876.0720000000001</v>
      </c>
      <c r="E66" s="7">
        <f>'US Raw Data'!E69</f>
        <v>440.02699999999999</v>
      </c>
      <c r="F66" s="7">
        <f t="shared" si="0"/>
        <v>3436.0450000000001</v>
      </c>
      <c r="G66" s="7">
        <f>'US Raw Data'!F69*(B66*4/100)</f>
        <v>70530.424170416009</v>
      </c>
      <c r="H66" s="7">
        <f t="shared" si="11"/>
        <v>70985.145678538393</v>
      </c>
      <c r="I66" s="7">
        <f t="shared" si="3"/>
        <v>-454.72150812238397</v>
      </c>
      <c r="J66" s="7">
        <f t="shared" si="14"/>
        <v>54157.863550401598</v>
      </c>
      <c r="K66" s="7">
        <f t="shared" si="15"/>
        <v>70530.424170415994</v>
      </c>
      <c r="M66">
        <f t="shared" si="1"/>
        <v>19.613799303000004</v>
      </c>
      <c r="N66">
        <f t="shared" si="2"/>
        <v>18.813422923915667</v>
      </c>
      <c r="O66" s="10">
        <f t="shared" si="6"/>
        <v>100.65130000000001</v>
      </c>
      <c r="P66">
        <f t="shared" si="7"/>
        <v>100.4721758818422</v>
      </c>
      <c r="Q66">
        <f t="shared" si="8"/>
        <v>2.499979238714225</v>
      </c>
      <c r="R66">
        <f t="shared" si="9"/>
        <v>-2.595663444183625</v>
      </c>
      <c r="S66" s="10">
        <f t="shared" si="10"/>
        <v>100.65130000000001</v>
      </c>
      <c r="T66">
        <f t="shared" si="12"/>
        <v>102.35937915390889</v>
      </c>
      <c r="U66">
        <f t="shared" si="13"/>
        <v>100.4851431715296</v>
      </c>
    </row>
    <row r="67" spans="1:21" x14ac:dyDescent="0.35">
      <c r="A67" t="str">
        <f>'US Raw Data'!A70</f>
        <v>2014-Q3</v>
      </c>
      <c r="B67" s="7">
        <f>'US Raw Data'!B70</f>
        <v>17804.227999999999</v>
      </c>
      <c r="C67" s="7">
        <f>'US Raw Data'!C70</f>
        <v>3303.6979999999999</v>
      </c>
      <c r="D67" s="7">
        <f>'US Raw Data'!D70</f>
        <v>3931.623</v>
      </c>
      <c r="E67" s="7">
        <f>'US Raw Data'!E70</f>
        <v>442.10700000000003</v>
      </c>
      <c r="F67" s="7">
        <f t="shared" ref="F67:F112" si="16">D67-E67</f>
        <v>3489.5160000000001</v>
      </c>
      <c r="G67" s="7">
        <f>'US Raw Data'!F70*(B67*4/100)</f>
        <v>71296.283248424006</v>
      </c>
      <c r="H67" s="7">
        <f t="shared" si="11"/>
        <v>71158.349170416011</v>
      </c>
      <c r="I67" s="7">
        <f t="shared" si="3"/>
        <v>137.93407800799469</v>
      </c>
      <c r="J67" s="7">
        <f t="shared" si="14"/>
        <v>54785.788550401601</v>
      </c>
      <c r="K67" s="7">
        <f t="shared" si="15"/>
        <v>71296.283248423992</v>
      </c>
      <c r="M67">
        <f t="shared" ref="M67:M112" si="17">400*F67/(4*B67)</f>
        <v>19.599367071686572</v>
      </c>
      <c r="N67">
        <f t="shared" ref="N67:N112" si="18">400*C67/(4*B67)</f>
        <v>18.555693625132189</v>
      </c>
      <c r="O67" s="10">
        <f t="shared" si="6"/>
        <v>100.11145000000002</v>
      </c>
      <c r="P67">
        <f t="shared" si="7"/>
        <v>99.036060662692051</v>
      </c>
      <c r="Q67">
        <f t="shared" si="8"/>
        <v>2.5073264776164033</v>
      </c>
      <c r="R67">
        <f t="shared" si="9"/>
        <v>0.77472653129354829</v>
      </c>
      <c r="S67" s="10">
        <f t="shared" si="10"/>
        <v>100.11145000000003</v>
      </c>
      <c r="T67">
        <f t="shared" si="12"/>
        <v>101.56961581619423</v>
      </c>
      <c r="U67">
        <f t="shared" si="13"/>
        <v>99.939639462768369</v>
      </c>
    </row>
    <row r="68" spans="1:21" x14ac:dyDescent="0.35">
      <c r="A68" t="str">
        <f>'US Raw Data'!A71</f>
        <v>2014-Q4</v>
      </c>
      <c r="B68" s="7">
        <f>'US Raw Data'!B71</f>
        <v>17912.079000000002</v>
      </c>
      <c r="C68" s="7">
        <f>'US Raw Data'!C71</f>
        <v>3315.2979999999998</v>
      </c>
      <c r="D68" s="7">
        <f>'US Raw Data'!D71</f>
        <v>3926.6509999999998</v>
      </c>
      <c r="E68" s="7">
        <f>'US Raw Data'!E71</f>
        <v>442.28300000000002</v>
      </c>
      <c r="F68" s="7">
        <f t="shared" si="16"/>
        <v>3484.3679999999999</v>
      </c>
      <c r="G68" s="7">
        <f>'US Raw Data'!F71*(B68*4/100)</f>
        <v>72565.77268638002</v>
      </c>
      <c r="H68" s="7">
        <f t="shared" ref="H68:H112" si="19">F68-C68+E68+G67</f>
        <v>71907.636248424009</v>
      </c>
      <c r="I68" s="7">
        <f t="shared" ref="I68:I112" si="20">G68-H68</f>
        <v>658.13643795601092</v>
      </c>
      <c r="J68" s="7">
        <f t="shared" ref="J68:J99" si="21">F68-C68+E68+J67</f>
        <v>55397.141550401604</v>
      </c>
      <c r="K68" s="7">
        <f t="shared" ref="K68:K99" si="22">F68-C68+E68+I68+K67</f>
        <v>72565.772686380005</v>
      </c>
      <c r="M68">
        <f t="shared" si="17"/>
        <v>19.452616304338541</v>
      </c>
      <c r="N68">
        <f t="shared" si="18"/>
        <v>18.508728104649379</v>
      </c>
      <c r="O68" s="10">
        <f t="shared" ref="O68:O112" si="23">100*G68/(4*B68)</f>
        <v>101.28050000000002</v>
      </c>
      <c r="P68">
        <f t="shared" ref="P68:P112" si="24">100*G67/(4*B68)</f>
        <v>99.508665700424842</v>
      </c>
      <c r="Q68">
        <f t="shared" ref="Q68:Q112" si="25">400*E68/(4*B68)*(1/(P68/100))</f>
        <v>2.4813804021671864</v>
      </c>
      <c r="R68">
        <f t="shared" ref="R68:R112" si="26">400*I68/(4*B68)</f>
        <v>3.6742604694631531</v>
      </c>
      <c r="S68" s="10">
        <f t="shared" ref="S68:S112" si="27">(1/4)*(M68-N68+R68)+(1+(Q68/400))*P68</f>
        <v>101.28050000000002</v>
      </c>
      <c r="T68">
        <f t="shared" si="12"/>
        <v>101.71414728696286</v>
      </c>
      <c r="U68">
        <f t="shared" si="13"/>
        <v>101.10171293475581</v>
      </c>
    </row>
    <row r="69" spans="1:21" x14ac:dyDescent="0.35">
      <c r="A69" t="str">
        <f>'US Raw Data'!A72</f>
        <v>2015-Q1</v>
      </c>
      <c r="B69" s="7">
        <f>'US Raw Data'!B72</f>
        <v>18063.528999999999</v>
      </c>
      <c r="C69" s="7">
        <f>'US Raw Data'!C72</f>
        <v>3391.529</v>
      </c>
      <c r="D69" s="7">
        <f>'US Raw Data'!D72</f>
        <v>3970.21</v>
      </c>
      <c r="E69" s="7">
        <f>'US Raw Data'!E72</f>
        <v>428.68900000000002</v>
      </c>
      <c r="F69" s="7">
        <f t="shared" si="16"/>
        <v>3541.5210000000002</v>
      </c>
      <c r="G69" s="7">
        <f>'US Raw Data'!F72*(B69*4/100)</f>
        <v>72608.226197104392</v>
      </c>
      <c r="H69" s="7">
        <f t="shared" si="19"/>
        <v>73144.453686380017</v>
      </c>
      <c r="I69" s="7">
        <f t="shared" si="20"/>
        <v>-536.22748927562498</v>
      </c>
      <c r="J69" s="7">
        <f t="shared" si="21"/>
        <v>55975.822550401601</v>
      </c>
      <c r="K69" s="7">
        <f t="shared" si="22"/>
        <v>72608.226197104377</v>
      </c>
      <c r="M69">
        <f t="shared" si="17"/>
        <v>19.605919751339844</v>
      </c>
      <c r="N69">
        <f t="shared" si="18"/>
        <v>18.775561519567969</v>
      </c>
      <c r="O69" s="10">
        <f t="shared" si="23"/>
        <v>100.49009</v>
      </c>
      <c r="P69">
        <f t="shared" si="24"/>
        <v>100.43133416285934</v>
      </c>
      <c r="Q69">
        <f t="shared" si="25"/>
        <v>2.3630369201895722</v>
      </c>
      <c r="R69">
        <f t="shared" si="26"/>
        <v>-2.968564388916612</v>
      </c>
      <c r="S69" s="10">
        <f t="shared" si="27"/>
        <v>100.49008999999998</v>
      </c>
      <c r="T69">
        <f t="shared" si="12"/>
        <v>101.16442909636771</v>
      </c>
      <c r="U69">
        <f t="shared" si="13"/>
        <v>100.31623643220755</v>
      </c>
    </row>
    <row r="70" spans="1:21" x14ac:dyDescent="0.35">
      <c r="A70" t="str">
        <f>'US Raw Data'!A73</f>
        <v>2015-Q2</v>
      </c>
      <c r="B70" s="7">
        <f>'US Raw Data'!B73</f>
        <v>18279.784</v>
      </c>
      <c r="C70" s="7">
        <f>'US Raw Data'!C73</f>
        <v>3445.4009999999998</v>
      </c>
      <c r="D70" s="7">
        <f>'US Raw Data'!D73</f>
        <v>3990.7779999999998</v>
      </c>
      <c r="E70" s="7">
        <f>'US Raw Data'!E73</f>
        <v>425.87700000000001</v>
      </c>
      <c r="F70" s="7">
        <f t="shared" si="16"/>
        <v>3564.9009999999998</v>
      </c>
      <c r="G70" s="7">
        <f>'US Raw Data'!F73*(B70*4/100)</f>
        <v>72607.989367878399</v>
      </c>
      <c r="H70" s="7">
        <f t="shared" si="19"/>
        <v>73153.603197104385</v>
      </c>
      <c r="I70" s="7">
        <f t="shared" si="20"/>
        <v>-545.61382922598568</v>
      </c>
      <c r="J70" s="7">
        <f t="shared" si="21"/>
        <v>56521.199550401601</v>
      </c>
      <c r="K70" s="7">
        <f t="shared" si="22"/>
        <v>72607.989367878385</v>
      </c>
      <c r="M70">
        <f t="shared" si="17"/>
        <v>19.501877046249561</v>
      </c>
      <c r="N70">
        <f t="shared" si="18"/>
        <v>18.848149409205273</v>
      </c>
      <c r="O70" s="10">
        <f t="shared" si="23"/>
        <v>99.300939999999997</v>
      </c>
      <c r="P70">
        <f t="shared" si="24"/>
        <v>99.301263895000602</v>
      </c>
      <c r="Q70">
        <f t="shared" si="25"/>
        <v>2.3461639117523796</v>
      </c>
      <c r="R70">
        <f t="shared" si="26"/>
        <v>-2.9847936344651869</v>
      </c>
      <c r="S70" s="10">
        <f t="shared" si="27"/>
        <v>99.300939999999983</v>
      </c>
      <c r="T70">
        <f t="shared" ref="T70:T112" si="28">(1/4)*(M70-N70+R70)+(1+(Q70/400))*U69</f>
        <v>100.32186576705247</v>
      </c>
      <c r="U70">
        <f t="shared" ref="U70:U112" si="29">T70*(B69/B70)</f>
        <v>99.135029802171601</v>
      </c>
    </row>
    <row r="71" spans="1:21" x14ac:dyDescent="0.35">
      <c r="A71" t="str">
        <f>'US Raw Data'!A74</f>
        <v>2015-Q3</v>
      </c>
      <c r="B71" s="7">
        <f>'US Raw Data'!B74</f>
        <v>18401.626</v>
      </c>
      <c r="C71" s="7">
        <f>'US Raw Data'!C74</f>
        <v>3446.663</v>
      </c>
      <c r="D71" s="7">
        <f>'US Raw Data'!D74</f>
        <v>4011.91</v>
      </c>
      <c r="E71" s="7">
        <f>'US Raw Data'!E74</f>
        <v>427.88099999999997</v>
      </c>
      <c r="F71" s="7">
        <f t="shared" si="16"/>
        <v>3584.029</v>
      </c>
      <c r="G71" s="7">
        <f>'US Raw Data'!F74*(B71*4/100)</f>
        <v>72602.474482187987</v>
      </c>
      <c r="H71" s="7">
        <f t="shared" si="19"/>
        <v>73173.236367878402</v>
      </c>
      <c r="I71" s="7">
        <f t="shared" si="20"/>
        <v>-570.76188569041551</v>
      </c>
      <c r="J71" s="7">
        <f t="shared" si="21"/>
        <v>57086.446550401604</v>
      </c>
      <c r="K71" s="7">
        <f t="shared" si="22"/>
        <v>72602.474482187972</v>
      </c>
      <c r="M71">
        <f t="shared" si="17"/>
        <v>19.476697330985861</v>
      </c>
      <c r="N71">
        <f t="shared" si="18"/>
        <v>18.730208950013438</v>
      </c>
      <c r="O71" s="10">
        <f t="shared" si="23"/>
        <v>98.63594999999998</v>
      </c>
      <c r="P71">
        <f t="shared" si="24"/>
        <v>98.643442389110618</v>
      </c>
      <c r="Q71">
        <f t="shared" si="25"/>
        <v>2.3572116717463794</v>
      </c>
      <c r="R71">
        <f t="shared" si="26"/>
        <v>-3.1016926748234939</v>
      </c>
      <c r="S71" s="10">
        <f t="shared" si="27"/>
        <v>98.635949999999994</v>
      </c>
      <c r="T71">
        <f t="shared" si="28"/>
        <v>99.130434352030349</v>
      </c>
      <c r="U71">
        <f t="shared" si="29"/>
        <v>98.474065703829368</v>
      </c>
    </row>
    <row r="72" spans="1:21" x14ac:dyDescent="0.35">
      <c r="A72" t="str">
        <f>'US Raw Data'!A75</f>
        <v>2015-Q4</v>
      </c>
      <c r="B72" s="7">
        <f>'US Raw Data'!B75</f>
        <v>18435.136999999999</v>
      </c>
      <c r="C72" s="7">
        <f>'US Raw Data'!C75</f>
        <v>3509.95</v>
      </c>
      <c r="D72" s="7">
        <f>'US Raw Data'!D75</f>
        <v>4050.4029999999998</v>
      </c>
      <c r="E72" s="7">
        <f>'US Raw Data'!E75</f>
        <v>434.68200000000002</v>
      </c>
      <c r="F72" s="7">
        <f t="shared" si="16"/>
        <v>3615.7209999999995</v>
      </c>
      <c r="G72" s="7">
        <f>'US Raw Data'!F75*(B72*4/100)</f>
        <v>75688.714285721595</v>
      </c>
      <c r="H72" s="7">
        <f t="shared" si="19"/>
        <v>73142.927482187981</v>
      </c>
      <c r="I72" s="7">
        <f t="shared" si="20"/>
        <v>2545.7868035336141</v>
      </c>
      <c r="J72" s="7">
        <f t="shared" si="21"/>
        <v>57626.899550401606</v>
      </c>
      <c r="K72" s="7">
        <f t="shared" si="22"/>
        <v>75688.71428572158</v>
      </c>
      <c r="M72">
        <f t="shared" si="17"/>
        <v>19.613203850885405</v>
      </c>
      <c r="N72">
        <f t="shared" si="18"/>
        <v>19.039457097606601</v>
      </c>
      <c r="O72" s="10">
        <f t="shared" si="23"/>
        <v>102.64192</v>
      </c>
      <c r="P72">
        <f t="shared" si="24"/>
        <v>98.456651667665923</v>
      </c>
      <c r="Q72">
        <f t="shared" si="25"/>
        <v>2.394860522869056</v>
      </c>
      <c r="R72">
        <f t="shared" si="26"/>
        <v>13.809427093129898</v>
      </c>
      <c r="S72" s="10">
        <f t="shared" si="27"/>
        <v>102.64191999999998</v>
      </c>
      <c r="T72">
        <f t="shared" si="28"/>
        <v>102.65943829663281</v>
      </c>
      <c r="U72">
        <f t="shared" si="29"/>
        <v>102.47282615283598</v>
      </c>
    </row>
    <row r="73" spans="1:21" x14ac:dyDescent="0.35">
      <c r="A73" t="str">
        <f>'US Raw Data'!A76</f>
        <v>2016-Q1</v>
      </c>
      <c r="B73" s="7">
        <f>'US Raw Data'!B76</f>
        <v>18525.933000000001</v>
      </c>
      <c r="C73" s="7">
        <f>'US Raw Data'!C76</f>
        <v>3445.5309999999999</v>
      </c>
      <c r="D73" s="7">
        <f>'US Raw Data'!D76</f>
        <v>4084.2919999999999</v>
      </c>
      <c r="E73" s="7">
        <f>'US Raw Data'!E76</f>
        <v>446.22500000000002</v>
      </c>
      <c r="F73" s="7">
        <f t="shared" si="16"/>
        <v>3638.067</v>
      </c>
      <c r="G73" s="7">
        <f>'US Raw Data'!F76*(B73*4/100)</f>
        <v>77059.759510972799</v>
      </c>
      <c r="H73" s="7">
        <f t="shared" si="19"/>
        <v>76327.475285721594</v>
      </c>
      <c r="I73" s="7">
        <f t="shared" si="20"/>
        <v>732.2842252512055</v>
      </c>
      <c r="J73" s="7">
        <f t="shared" si="21"/>
        <v>58265.660550401604</v>
      </c>
      <c r="K73" s="7">
        <f t="shared" si="22"/>
        <v>77059.759510972784</v>
      </c>
      <c r="M73">
        <f t="shared" si="17"/>
        <v>19.637699218711415</v>
      </c>
      <c r="N73">
        <f t="shared" si="18"/>
        <v>18.598420927032389</v>
      </c>
      <c r="O73" s="10">
        <f t="shared" si="23"/>
        <v>103.98903999999999</v>
      </c>
      <c r="P73">
        <f t="shared" si="24"/>
        <v>102.1388697207876</v>
      </c>
      <c r="Q73">
        <f t="shared" si="25"/>
        <v>2.3582115469184486</v>
      </c>
      <c r="R73">
        <f t="shared" si="26"/>
        <v>3.9527522055229576</v>
      </c>
      <c r="S73" s="10">
        <f t="shared" si="27"/>
        <v>103.98904</v>
      </c>
      <c r="T73">
        <f t="shared" si="28"/>
        <v>104.32496528183394</v>
      </c>
      <c r="U73">
        <f t="shared" si="29"/>
        <v>103.813666361141</v>
      </c>
    </row>
    <row r="74" spans="1:21" x14ac:dyDescent="0.35">
      <c r="A74" t="str">
        <f>'US Raw Data'!A77</f>
        <v>2016-Q2</v>
      </c>
      <c r="B74" s="7">
        <f>'US Raw Data'!B77</f>
        <v>18711.702000000001</v>
      </c>
      <c r="C74" s="7">
        <f>'US Raw Data'!C77</f>
        <v>3447.085</v>
      </c>
      <c r="D74" s="7">
        <f>'US Raw Data'!D77</f>
        <v>4101.6469999999999</v>
      </c>
      <c r="E74" s="7">
        <f>'US Raw Data'!E77</f>
        <v>453.291</v>
      </c>
      <c r="F74" s="7">
        <f t="shared" si="16"/>
        <v>3648.3559999999998</v>
      </c>
      <c r="G74" s="7">
        <f>'US Raw Data'!F77*(B74*4/100)</f>
        <v>77526.361149804012</v>
      </c>
      <c r="H74" s="7">
        <f t="shared" si="19"/>
        <v>77714.321510972804</v>
      </c>
      <c r="I74" s="7">
        <f t="shared" si="20"/>
        <v>-187.96036116879259</v>
      </c>
      <c r="J74" s="7">
        <f t="shared" si="21"/>
        <v>58920.222550401602</v>
      </c>
      <c r="K74" s="7">
        <f t="shared" si="22"/>
        <v>77526.361149803997</v>
      </c>
      <c r="M74">
        <f t="shared" si="17"/>
        <v>19.497723937672799</v>
      </c>
      <c r="N74">
        <f t="shared" si="18"/>
        <v>18.42208154020409</v>
      </c>
      <c r="O74" s="10">
        <f t="shared" si="23"/>
        <v>103.58005000000001</v>
      </c>
      <c r="P74">
        <f t="shared" si="24"/>
        <v>102.95664113154002</v>
      </c>
      <c r="Q74">
        <f t="shared" si="25"/>
        <v>2.3529323365482573</v>
      </c>
      <c r="R74">
        <f t="shared" si="26"/>
        <v>-1.0045070254367698</v>
      </c>
      <c r="S74" s="10">
        <f t="shared" si="27"/>
        <v>103.58005</v>
      </c>
      <c r="T74">
        <f t="shared" si="28"/>
        <v>104.4421165355409</v>
      </c>
      <c r="U74">
        <f t="shared" si="29"/>
        <v>103.40521954206106</v>
      </c>
    </row>
    <row r="75" spans="1:21" x14ac:dyDescent="0.35">
      <c r="A75" t="str">
        <f>'US Raw Data'!A78</f>
        <v>2016-Q3</v>
      </c>
      <c r="B75" s="7">
        <f>'US Raw Data'!B78</f>
        <v>18892.638999999999</v>
      </c>
      <c r="C75" s="7">
        <f>'US Raw Data'!C78</f>
        <v>3468.7310000000002</v>
      </c>
      <c r="D75" s="7">
        <f>'US Raw Data'!D78</f>
        <v>4150.5</v>
      </c>
      <c r="E75" s="7">
        <f>'US Raw Data'!E78</f>
        <v>457.51400000000001</v>
      </c>
      <c r="F75" s="7">
        <f t="shared" si="16"/>
        <v>3692.9859999999999</v>
      </c>
      <c r="G75" s="7">
        <f>'US Raw Data'!F78*(B75*4/100)</f>
        <v>78293.778770738005</v>
      </c>
      <c r="H75" s="7">
        <f t="shared" si="19"/>
        <v>78208.130149804012</v>
      </c>
      <c r="I75" s="7">
        <f t="shared" si="20"/>
        <v>85.648620933992788</v>
      </c>
      <c r="J75" s="7">
        <f t="shared" si="21"/>
        <v>59601.991550401603</v>
      </c>
      <c r="K75" s="7">
        <f t="shared" si="22"/>
        <v>78293.77877073799</v>
      </c>
      <c r="M75">
        <f t="shared" si="17"/>
        <v>19.547221539563637</v>
      </c>
      <c r="N75">
        <f t="shared" si="18"/>
        <v>18.360224847359866</v>
      </c>
      <c r="O75" s="10">
        <f t="shared" si="23"/>
        <v>103.60355000000001</v>
      </c>
      <c r="P75">
        <f t="shared" si="24"/>
        <v>102.58805181981725</v>
      </c>
      <c r="Q75">
        <f t="shared" si="25"/>
        <v>2.3605596507538733</v>
      </c>
      <c r="R75">
        <f t="shared" si="26"/>
        <v>0.45334387077418242</v>
      </c>
      <c r="S75" s="10">
        <f t="shared" si="27"/>
        <v>103.60355</v>
      </c>
      <c r="T75">
        <f t="shared" si="28"/>
        <v>104.42554015512637</v>
      </c>
      <c r="U75">
        <f t="shared" si="29"/>
        <v>103.4254446174385</v>
      </c>
    </row>
    <row r="76" spans="1:21" x14ac:dyDescent="0.35">
      <c r="A76" t="str">
        <f>'US Raw Data'!A79</f>
        <v>2016-Q4</v>
      </c>
      <c r="B76" s="7">
        <f>'US Raw Data'!B79</f>
        <v>19089.379000000001</v>
      </c>
      <c r="C76" s="7">
        <f>'US Raw Data'!C79</f>
        <v>3481.3429999999998</v>
      </c>
      <c r="D76" s="7">
        <f>'US Raw Data'!D79</f>
        <v>4175.46</v>
      </c>
      <c r="E76" s="7">
        <f>'US Raw Data'!E79</f>
        <v>460.18400000000003</v>
      </c>
      <c r="F76" s="7">
        <f t="shared" si="16"/>
        <v>3715.2759999999998</v>
      </c>
      <c r="G76" s="7">
        <f>'US Raw Data'!F79*(B76*4/100)</f>
        <v>79907.308197075603</v>
      </c>
      <c r="H76" s="7">
        <f t="shared" si="19"/>
        <v>78987.895770738003</v>
      </c>
      <c r="I76" s="7">
        <f t="shared" si="20"/>
        <v>919.41242633759975</v>
      </c>
      <c r="J76" s="7">
        <f t="shared" si="21"/>
        <v>60296.108550401601</v>
      </c>
      <c r="K76" s="7">
        <f t="shared" si="22"/>
        <v>79907.308197075588</v>
      </c>
      <c r="M76">
        <f t="shared" si="17"/>
        <v>19.462529399201511</v>
      </c>
      <c r="N76">
        <f t="shared" si="18"/>
        <v>18.237067848042621</v>
      </c>
      <c r="O76" s="10">
        <f t="shared" si="23"/>
        <v>104.64891</v>
      </c>
      <c r="P76">
        <f t="shared" si="24"/>
        <v>102.53578543694114</v>
      </c>
      <c r="Q76">
        <f t="shared" si="25"/>
        <v>2.351062918281277</v>
      </c>
      <c r="R76">
        <f t="shared" si="26"/>
        <v>4.8163558717001731</v>
      </c>
      <c r="S76" s="10">
        <f t="shared" si="27"/>
        <v>104.64891</v>
      </c>
      <c r="T76">
        <f t="shared" si="28"/>
        <v>105.5437982922703</v>
      </c>
      <c r="U76">
        <f t="shared" si="29"/>
        <v>104.45603703633728</v>
      </c>
    </row>
    <row r="77" spans="1:21" x14ac:dyDescent="0.35">
      <c r="A77" t="str">
        <f>'US Raw Data'!A80</f>
        <v>2017-Q1</v>
      </c>
      <c r="B77" s="7">
        <f>'US Raw Data'!B80</f>
        <v>19280.083999999999</v>
      </c>
      <c r="C77" s="7">
        <f>'US Raw Data'!C80</f>
        <v>3482.1840000000002</v>
      </c>
      <c r="D77" s="7">
        <f>'US Raw Data'!D80</f>
        <v>4192.2619999999997</v>
      </c>
      <c r="E77" s="7">
        <f>'US Raw Data'!E80</f>
        <v>460.66899999999998</v>
      </c>
      <c r="F77" s="7">
        <f t="shared" si="16"/>
        <v>3731.5929999999998</v>
      </c>
      <c r="G77" s="7">
        <f>'US Raw Data'!F80*(B77*4/100)</f>
        <v>79385.6764616976</v>
      </c>
      <c r="H77" s="7">
        <f t="shared" si="19"/>
        <v>80617.386197075597</v>
      </c>
      <c r="I77" s="7">
        <f t="shared" si="20"/>
        <v>-1231.7097353779973</v>
      </c>
      <c r="J77" s="7">
        <f t="shared" si="21"/>
        <v>61006.186550401602</v>
      </c>
      <c r="K77" s="7">
        <f t="shared" si="22"/>
        <v>79385.676461697585</v>
      </c>
      <c r="M77">
        <f t="shared" si="17"/>
        <v>19.354651151934817</v>
      </c>
      <c r="N77">
        <f t="shared" si="18"/>
        <v>18.061041642764629</v>
      </c>
      <c r="O77" s="10">
        <f t="shared" si="23"/>
        <v>102.93741000000001</v>
      </c>
      <c r="P77">
        <f t="shared" si="24"/>
        <v>103.61379675145037</v>
      </c>
      <c r="Q77">
        <f t="shared" si="25"/>
        <v>2.3060168607549678</v>
      </c>
      <c r="R77">
        <f t="shared" si="26"/>
        <v>-6.3885081381284303</v>
      </c>
      <c r="S77" s="10">
        <f t="shared" si="27"/>
        <v>102.93741000000001</v>
      </c>
      <c r="T77">
        <f t="shared" si="28"/>
        <v>103.78450583563131</v>
      </c>
      <c r="U77">
        <f t="shared" si="29"/>
        <v>102.75794266373933</v>
      </c>
    </row>
    <row r="78" spans="1:21" x14ac:dyDescent="0.35">
      <c r="A78" t="str">
        <f>'US Raw Data'!A81</f>
        <v>2017-Q2</v>
      </c>
      <c r="B78" s="7">
        <f>'US Raw Data'!B81</f>
        <v>19438.643</v>
      </c>
      <c r="C78" s="7">
        <f>'US Raw Data'!C81</f>
        <v>3467.7489999999998</v>
      </c>
      <c r="D78" s="7">
        <f>'US Raw Data'!D81</f>
        <v>4195.549</v>
      </c>
      <c r="E78" s="7">
        <f>'US Raw Data'!E81</f>
        <v>471.214</v>
      </c>
      <c r="F78" s="7">
        <f t="shared" si="16"/>
        <v>3724.335</v>
      </c>
      <c r="G78" s="7">
        <f>'US Raw Data'!F81*(B78*4/100)</f>
        <v>79378.219646132406</v>
      </c>
      <c r="H78" s="7">
        <f t="shared" si="19"/>
        <v>80113.476461697603</v>
      </c>
      <c r="I78" s="7">
        <f t="shared" si="20"/>
        <v>-735.25681556519703</v>
      </c>
      <c r="J78" s="7">
        <f t="shared" si="21"/>
        <v>61733.986550401605</v>
      </c>
      <c r="K78" s="7">
        <f t="shared" si="22"/>
        <v>79378.219646132391</v>
      </c>
      <c r="M78">
        <f t="shared" si="17"/>
        <v>19.159439267442693</v>
      </c>
      <c r="N78">
        <f t="shared" si="18"/>
        <v>17.839460295659524</v>
      </c>
      <c r="O78" s="10">
        <f t="shared" si="23"/>
        <v>102.08817000000001</v>
      </c>
      <c r="P78">
        <f t="shared" si="24"/>
        <v>102.09776019562888</v>
      </c>
      <c r="Q78">
        <f t="shared" si="25"/>
        <v>2.3743023729342596</v>
      </c>
      <c r="R78">
        <f t="shared" si="26"/>
        <v>-3.7824492973362238</v>
      </c>
      <c r="S78" s="10">
        <f t="shared" si="27"/>
        <v>102.08817000000001</v>
      </c>
      <c r="T78">
        <f t="shared" si="28"/>
        <v>102.75227115011197</v>
      </c>
      <c r="U78">
        <f t="shared" si="29"/>
        <v>101.91413150418654</v>
      </c>
    </row>
    <row r="79" spans="1:21" x14ac:dyDescent="0.35">
      <c r="A79" t="str">
        <f>'US Raw Data'!A82</f>
        <v>2017-Q3</v>
      </c>
      <c r="B79" s="7">
        <f>'US Raw Data'!B82</f>
        <v>19692.595000000001</v>
      </c>
      <c r="C79" s="7">
        <f>'US Raw Data'!C82</f>
        <v>3512.1790000000001</v>
      </c>
      <c r="D79" s="7">
        <f>'US Raw Data'!D82</f>
        <v>4253.9849999999997</v>
      </c>
      <c r="E79" s="7">
        <f>'US Raw Data'!E82</f>
        <v>481.45699999999999</v>
      </c>
      <c r="F79" s="7">
        <f t="shared" si="16"/>
        <v>3772.5279999999998</v>
      </c>
      <c r="G79" s="7">
        <f>'US Raw Data'!F82*(B79*4/100)</f>
        <v>80979.597708593996</v>
      </c>
      <c r="H79" s="7">
        <f t="shared" si="19"/>
        <v>80120.025646132402</v>
      </c>
      <c r="I79" s="7">
        <f t="shared" si="20"/>
        <v>859.5720624615933</v>
      </c>
      <c r="J79" s="7">
        <f t="shared" si="21"/>
        <v>62475.792550401602</v>
      </c>
      <c r="K79" s="7">
        <f t="shared" si="22"/>
        <v>80979.597708593981</v>
      </c>
      <c r="M79">
        <f t="shared" si="17"/>
        <v>19.157089251061119</v>
      </c>
      <c r="N79">
        <f t="shared" si="18"/>
        <v>17.835023774164856</v>
      </c>
      <c r="O79" s="10">
        <f t="shared" si="23"/>
        <v>102.80462999999999</v>
      </c>
      <c r="P79">
        <f t="shared" si="24"/>
        <v>100.77166016735275</v>
      </c>
      <c r="Q79">
        <f t="shared" si="25"/>
        <v>2.4261415897022243</v>
      </c>
      <c r="R79">
        <f t="shared" si="26"/>
        <v>4.3649506957391511</v>
      </c>
      <c r="S79" s="10">
        <f t="shared" si="27"/>
        <v>102.80463</v>
      </c>
      <c r="T79">
        <f t="shared" si="28"/>
        <v>103.95403082989714</v>
      </c>
      <c r="U79">
        <f t="shared" si="29"/>
        <v>102.6134592070453</v>
      </c>
    </row>
    <row r="80" spans="1:21" x14ac:dyDescent="0.35">
      <c r="A80" t="str">
        <f>'US Raw Data'!A83</f>
        <v>2017-Q4</v>
      </c>
      <c r="B80" s="7">
        <f>'US Raw Data'!B83</f>
        <v>20037.088</v>
      </c>
      <c r="C80" s="7">
        <f>'US Raw Data'!C83</f>
        <v>3552.8780000000002</v>
      </c>
      <c r="D80" s="7">
        <f>'US Raw Data'!D83</f>
        <v>4320.3829999999998</v>
      </c>
      <c r="E80" s="7">
        <f>'US Raw Data'!E83</f>
        <v>493.44099999999997</v>
      </c>
      <c r="F80" s="7">
        <f t="shared" si="16"/>
        <v>3826.942</v>
      </c>
      <c r="G80" s="7">
        <f>'US Raw Data'!F83*(B80*4/100)</f>
        <v>81970.989643161593</v>
      </c>
      <c r="H80" s="7">
        <f t="shared" si="19"/>
        <v>81747.102708594</v>
      </c>
      <c r="I80" s="7">
        <f t="shared" si="20"/>
        <v>223.88693456759211</v>
      </c>
      <c r="J80" s="7">
        <f t="shared" si="21"/>
        <v>63243.297550401599</v>
      </c>
      <c r="K80" s="7">
        <f t="shared" si="22"/>
        <v>81970.989643161578</v>
      </c>
      <c r="M80">
        <f t="shared" si="17"/>
        <v>19.099292272410043</v>
      </c>
      <c r="N80">
        <f t="shared" si="18"/>
        <v>17.731508690284734</v>
      </c>
      <c r="O80" s="10">
        <f t="shared" si="23"/>
        <v>102.27408</v>
      </c>
      <c r="P80">
        <f t="shared" si="24"/>
        <v>101.03713387468528</v>
      </c>
      <c r="Q80">
        <f t="shared" si="25"/>
        <v>2.4373596014919858</v>
      </c>
      <c r="R80">
        <f t="shared" si="26"/>
        <v>1.117362635566566</v>
      </c>
      <c r="S80" s="10">
        <f t="shared" si="27"/>
        <v>102.27407999999998</v>
      </c>
      <c r="T80">
        <f t="shared" si="28"/>
        <v>103.86001051156975</v>
      </c>
      <c r="U80">
        <f t="shared" si="29"/>
        <v>102.07436947425126</v>
      </c>
    </row>
    <row r="81" spans="1:21" x14ac:dyDescent="0.35">
      <c r="A81" t="str">
        <f>'US Raw Data'!A84</f>
        <v>2018-Q1</v>
      </c>
      <c r="B81" s="7">
        <f>'US Raw Data'!B84</f>
        <v>20328.553</v>
      </c>
      <c r="C81" s="7">
        <f>'US Raw Data'!C84</f>
        <v>3514.2249999999999</v>
      </c>
      <c r="D81" s="7">
        <f>'US Raw Data'!D84</f>
        <v>4398.5010000000002</v>
      </c>
      <c r="E81" s="7">
        <f>'US Raw Data'!E84</f>
        <v>507.61900000000003</v>
      </c>
      <c r="F81" s="7">
        <f t="shared" si="16"/>
        <v>3890.8820000000001</v>
      </c>
      <c r="G81" s="7">
        <f>'US Raw Data'!F84*(B81*4/100)</f>
        <v>84358.575440173998</v>
      </c>
      <c r="H81" s="7">
        <f t="shared" si="19"/>
        <v>82855.265643161591</v>
      </c>
      <c r="I81" s="7">
        <f t="shared" si="20"/>
        <v>1503.3097970124072</v>
      </c>
      <c r="J81" s="7">
        <f t="shared" si="21"/>
        <v>64127.573550401597</v>
      </c>
      <c r="K81" s="7">
        <f t="shared" si="22"/>
        <v>84358.575440173983</v>
      </c>
      <c r="M81">
        <f t="shared" si="17"/>
        <v>19.139985025003995</v>
      </c>
      <c r="N81">
        <f t="shared" si="18"/>
        <v>17.287137948283874</v>
      </c>
      <c r="O81" s="10">
        <f t="shared" si="23"/>
        <v>103.74395000000001</v>
      </c>
      <c r="P81">
        <f t="shared" si="24"/>
        <v>100.80770338543229</v>
      </c>
      <c r="Q81">
        <f t="shared" si="25"/>
        <v>2.4770665925092827</v>
      </c>
      <c r="R81">
        <f t="shared" si="26"/>
        <v>7.3950654383143117</v>
      </c>
      <c r="S81" s="10">
        <f t="shared" si="27"/>
        <v>103.74395</v>
      </c>
      <c r="T81">
        <f t="shared" si="28"/>
        <v>105.01846012945016</v>
      </c>
      <c r="U81">
        <f t="shared" si="29"/>
        <v>103.51273537463705</v>
      </c>
    </row>
    <row r="82" spans="1:21" x14ac:dyDescent="0.35">
      <c r="A82" t="str">
        <f>'US Raw Data'!A85</f>
        <v>2018-Q2</v>
      </c>
      <c r="B82" s="7">
        <f>'US Raw Data'!B85</f>
        <v>20580.912</v>
      </c>
      <c r="C82" s="7">
        <f>'US Raw Data'!C85</f>
        <v>3552.7220000000002</v>
      </c>
      <c r="D82" s="7">
        <f>'US Raw Data'!D85</f>
        <v>4453.7830000000004</v>
      </c>
      <c r="E82" s="7">
        <f>'US Raw Data'!E85</f>
        <v>531.77800000000002</v>
      </c>
      <c r="F82" s="7">
        <f t="shared" si="16"/>
        <v>3922.0050000000001</v>
      </c>
      <c r="G82" s="7">
        <f>'US Raw Data'!F85*(B82*4/100)</f>
        <v>84780.276212332799</v>
      </c>
      <c r="H82" s="7">
        <f t="shared" si="19"/>
        <v>85259.636440173999</v>
      </c>
      <c r="I82" s="7">
        <f t="shared" si="20"/>
        <v>-479.36022784119996</v>
      </c>
      <c r="J82" s="7">
        <f t="shared" si="21"/>
        <v>65028.634550401599</v>
      </c>
      <c r="K82" s="7">
        <f t="shared" si="22"/>
        <v>84780.276212332785</v>
      </c>
      <c r="M82">
        <f t="shared" si="17"/>
        <v>19.05651702898297</v>
      </c>
      <c r="N82">
        <f t="shared" si="18"/>
        <v>17.262218506157552</v>
      </c>
      <c r="O82" s="10">
        <f t="shared" si="23"/>
        <v>102.98411</v>
      </c>
      <c r="P82">
        <f t="shared" si="24"/>
        <v>102.47186256878948</v>
      </c>
      <c r="Q82">
        <f t="shared" si="25"/>
        <v>2.521512470902878</v>
      </c>
      <c r="R82">
        <f t="shared" si="26"/>
        <v>-2.3291495918217811</v>
      </c>
      <c r="S82" s="10">
        <f t="shared" si="27"/>
        <v>102.98411000000002</v>
      </c>
      <c r="T82">
        <f t="shared" si="28"/>
        <v>104.031544240249</v>
      </c>
      <c r="U82">
        <f t="shared" si="29"/>
        <v>102.75593038635735</v>
      </c>
    </row>
    <row r="83" spans="1:21" x14ac:dyDescent="0.35">
      <c r="A83" t="str">
        <f>'US Raw Data'!A86</f>
        <v>2018-Q3</v>
      </c>
      <c r="B83" s="7">
        <f>'US Raw Data'!B86</f>
        <v>20798.73</v>
      </c>
      <c r="C83" s="7">
        <f>'US Raw Data'!C86</f>
        <v>3632.415</v>
      </c>
      <c r="D83" s="7">
        <f>'US Raw Data'!D86</f>
        <v>4512.2250000000004</v>
      </c>
      <c r="E83" s="7">
        <f>'US Raw Data'!E86</f>
        <v>551.89099999999996</v>
      </c>
      <c r="F83" s="7">
        <f t="shared" si="16"/>
        <v>3960.3340000000003</v>
      </c>
      <c r="G83" s="7">
        <f>'US Raw Data'!F86*(B83*4/100)</f>
        <v>86064.229595879995</v>
      </c>
      <c r="H83" s="7">
        <f t="shared" si="19"/>
        <v>85660.086212332797</v>
      </c>
      <c r="I83" s="7">
        <f t="shared" si="20"/>
        <v>404.14338354719803</v>
      </c>
      <c r="J83" s="7">
        <f t="shared" si="21"/>
        <v>65908.444550401604</v>
      </c>
      <c r="K83" s="7">
        <f t="shared" si="22"/>
        <v>86064.22959587998</v>
      </c>
      <c r="M83">
        <f t="shared" si="17"/>
        <v>19.04122992125</v>
      </c>
      <c r="N83">
        <f t="shared" si="18"/>
        <v>17.464600002019356</v>
      </c>
      <c r="O83" s="10">
        <f t="shared" si="23"/>
        <v>103.44889999999998</v>
      </c>
      <c r="P83">
        <f t="shared" si="24"/>
        <v>101.90559256783084</v>
      </c>
      <c r="Q83">
        <f t="shared" si="25"/>
        <v>2.6038650717192051</v>
      </c>
      <c r="R83">
        <f t="shared" si="26"/>
        <v>1.9431156784438186</v>
      </c>
      <c r="S83" s="10">
        <f t="shared" si="27"/>
        <v>103.44889999999999</v>
      </c>
      <c r="T83">
        <f t="shared" si="28"/>
        <v>104.30477323088857</v>
      </c>
      <c r="U83">
        <f t="shared" si="29"/>
        <v>103.21242494348806</v>
      </c>
    </row>
    <row r="84" spans="1:21" x14ac:dyDescent="0.35">
      <c r="A84" t="str">
        <f>'US Raw Data'!A87</f>
        <v>2018-Q4</v>
      </c>
      <c r="B84" s="7">
        <f>'US Raw Data'!B87</f>
        <v>20917.866999999998</v>
      </c>
      <c r="C84" s="7">
        <f>'US Raw Data'!C87</f>
        <v>3633.0160000000001</v>
      </c>
      <c r="D84" s="7">
        <f>'US Raw Data'!D87</f>
        <v>4593.4070000000002</v>
      </c>
      <c r="E84" s="7">
        <f>'US Raw Data'!E87</f>
        <v>571.22900000000004</v>
      </c>
      <c r="F84" s="7">
        <f t="shared" si="16"/>
        <v>4022.1779999999999</v>
      </c>
      <c r="G84" s="7">
        <f>'US Raw Data'!F87*(B84*4/100)</f>
        <v>87896.383472338784</v>
      </c>
      <c r="H84" s="7">
        <f t="shared" si="19"/>
        <v>87024.620595879998</v>
      </c>
      <c r="I84" s="7">
        <f t="shared" si="20"/>
        <v>871.7628764587862</v>
      </c>
      <c r="J84" s="7">
        <f t="shared" si="21"/>
        <v>66868.835550401607</v>
      </c>
      <c r="K84" s="7">
        <f t="shared" si="22"/>
        <v>87896.38347233877</v>
      </c>
      <c r="M84">
        <f t="shared" si="17"/>
        <v>19.228432803401994</v>
      </c>
      <c r="N84">
        <f t="shared" si="18"/>
        <v>17.368004108640715</v>
      </c>
      <c r="O84" s="10">
        <f t="shared" si="23"/>
        <v>105.04940999999999</v>
      </c>
      <c r="P84">
        <f t="shared" si="24"/>
        <v>102.85971030875183</v>
      </c>
      <c r="Q84">
        <f t="shared" si="25"/>
        <v>2.6548962451984606</v>
      </c>
      <c r="R84">
        <f t="shared" si="26"/>
        <v>4.1675514834222165</v>
      </c>
      <c r="S84" s="10">
        <f t="shared" si="27"/>
        <v>105.04940999999998</v>
      </c>
      <c r="T84">
        <f t="shared" si="28"/>
        <v>105.40446568663468</v>
      </c>
      <c r="U84">
        <f t="shared" si="29"/>
        <v>104.80413813753474</v>
      </c>
    </row>
    <row r="85" spans="1:21" x14ac:dyDescent="0.35">
      <c r="A85" t="str">
        <f>'US Raw Data'!A88</f>
        <v>2019-Q1</v>
      </c>
      <c r="B85" s="7">
        <f>'US Raw Data'!B88</f>
        <v>21111.599999999999</v>
      </c>
      <c r="C85" s="7">
        <f>'US Raw Data'!C88</f>
        <v>3652.348</v>
      </c>
      <c r="D85" s="7">
        <f>'US Raw Data'!D88</f>
        <v>4687.9970000000003</v>
      </c>
      <c r="E85" s="7">
        <f>'US Raw Data'!E88</f>
        <v>579.71400000000006</v>
      </c>
      <c r="F85" s="7">
        <f t="shared" si="16"/>
        <v>4108.2830000000004</v>
      </c>
      <c r="G85" s="7">
        <f>'US Raw Data'!F88*(B85*4/100)</f>
        <v>88111.517318879996</v>
      </c>
      <c r="H85" s="7">
        <f t="shared" si="19"/>
        <v>88932.032472338789</v>
      </c>
      <c r="I85" s="7">
        <f t="shared" si="20"/>
        <v>-820.51515345879307</v>
      </c>
      <c r="J85" s="7">
        <f t="shared" si="21"/>
        <v>67904.484550401612</v>
      </c>
      <c r="K85" s="7">
        <f t="shared" si="22"/>
        <v>88111.517318879982</v>
      </c>
      <c r="M85">
        <f t="shared" si="17"/>
        <v>19.459837245874308</v>
      </c>
      <c r="N85">
        <f t="shared" si="18"/>
        <v>17.300195153375395</v>
      </c>
      <c r="O85" s="10">
        <f t="shared" si="23"/>
        <v>104.34017</v>
      </c>
      <c r="P85">
        <f t="shared" si="24"/>
        <v>104.08541213401494</v>
      </c>
      <c r="Q85">
        <f t="shared" si="25"/>
        <v>2.6381699774140879</v>
      </c>
      <c r="R85">
        <f t="shared" si="26"/>
        <v>-3.8865607223459762</v>
      </c>
      <c r="S85" s="10">
        <f t="shared" si="27"/>
        <v>104.34017</v>
      </c>
      <c r="T85">
        <f t="shared" si="28"/>
        <v>105.06363630693096</v>
      </c>
      <c r="U85">
        <f t="shared" si="29"/>
        <v>104.09950789162133</v>
      </c>
    </row>
    <row r="86" spans="1:21" x14ac:dyDescent="0.35">
      <c r="A86" t="str">
        <f>'US Raw Data'!A89</f>
        <v>2019-Q2</v>
      </c>
      <c r="B86" s="7">
        <f>'US Raw Data'!B89</f>
        <v>21397.937999999998</v>
      </c>
      <c r="C86" s="7">
        <f>'US Raw Data'!C89</f>
        <v>3679.518</v>
      </c>
      <c r="D86" s="7">
        <f>'US Raw Data'!D89</f>
        <v>4734.95</v>
      </c>
      <c r="E86" s="7">
        <f>'US Raw Data'!E89</f>
        <v>586.40899999999999</v>
      </c>
      <c r="F86" s="7">
        <f t="shared" si="16"/>
        <v>4148.5410000000002</v>
      </c>
      <c r="G86" s="7">
        <f>'US Raw Data'!F89*(B86*4/100)</f>
        <v>88093.12815632399</v>
      </c>
      <c r="H86" s="7">
        <f t="shared" si="19"/>
        <v>89166.949318879997</v>
      </c>
      <c r="I86" s="7">
        <f t="shared" si="20"/>
        <v>-1073.821162556007</v>
      </c>
      <c r="J86" s="7">
        <f t="shared" si="21"/>
        <v>68959.916550401613</v>
      </c>
      <c r="K86" s="7">
        <f t="shared" si="22"/>
        <v>88093.128156323975</v>
      </c>
      <c r="M86">
        <f t="shared" si="17"/>
        <v>19.387573699858372</v>
      </c>
      <c r="N86">
        <f t="shared" si="18"/>
        <v>17.195666236625232</v>
      </c>
      <c r="O86" s="10">
        <f t="shared" si="23"/>
        <v>102.92245</v>
      </c>
      <c r="P86">
        <f t="shared" si="24"/>
        <v>102.9439347367022</v>
      </c>
      <c r="Q86">
        <f t="shared" si="25"/>
        <v>2.6621219011710191</v>
      </c>
      <c r="R86">
        <f t="shared" si="26"/>
        <v>-5.0183394425949226</v>
      </c>
      <c r="S86" s="10">
        <f t="shared" si="27"/>
        <v>102.92245000000001</v>
      </c>
      <c r="T86">
        <f t="shared" si="28"/>
        <v>104.08571384642943</v>
      </c>
      <c r="U86">
        <f t="shared" si="29"/>
        <v>102.6928836059007</v>
      </c>
    </row>
    <row r="87" spans="1:21" x14ac:dyDescent="0.35">
      <c r="A87" t="str">
        <f>'US Raw Data'!A90</f>
        <v>2019-Q3</v>
      </c>
      <c r="B87" s="7">
        <f>'US Raw Data'!B90</f>
        <v>21717.170999999998</v>
      </c>
      <c r="C87" s="7">
        <f>'US Raw Data'!C90</f>
        <v>3708.5940000000001</v>
      </c>
      <c r="D87" s="7">
        <f>'US Raw Data'!D90</f>
        <v>4773.268</v>
      </c>
      <c r="E87" s="7">
        <f>'US Raw Data'!E90</f>
        <v>578.25599999999997</v>
      </c>
      <c r="F87" s="7">
        <f t="shared" si="16"/>
        <v>4195.0119999999997</v>
      </c>
      <c r="G87" s="7">
        <f>'US Raw Data'!F90*(B87*4/100)</f>
        <v>90877.604271652788</v>
      </c>
      <c r="H87" s="7">
        <f t="shared" si="19"/>
        <v>89157.802156323989</v>
      </c>
      <c r="I87" s="7">
        <f t="shared" si="20"/>
        <v>1719.8021153287991</v>
      </c>
      <c r="J87" s="7">
        <f t="shared" si="21"/>
        <v>70024.590550401612</v>
      </c>
      <c r="K87" s="7">
        <f t="shared" si="22"/>
        <v>90877.604271652774</v>
      </c>
      <c r="M87">
        <f t="shared" si="17"/>
        <v>19.316567521616879</v>
      </c>
      <c r="N87">
        <f t="shared" si="18"/>
        <v>17.076782238349555</v>
      </c>
      <c r="O87" s="10">
        <f t="shared" si="23"/>
        <v>104.61492</v>
      </c>
      <c r="P87">
        <f t="shared" si="24"/>
        <v>101.40953459859482</v>
      </c>
      <c r="Q87">
        <f t="shared" si="25"/>
        <v>2.6256576970401904</v>
      </c>
      <c r="R87">
        <f t="shared" si="26"/>
        <v>7.9190890716327615</v>
      </c>
      <c r="S87" s="10">
        <f t="shared" si="27"/>
        <v>104.61492000000001</v>
      </c>
      <c r="T87">
        <f t="shared" si="28"/>
        <v>105.90669309530345</v>
      </c>
      <c r="U87">
        <f t="shared" si="29"/>
        <v>104.34991061397137</v>
      </c>
    </row>
    <row r="88" spans="1:21" x14ac:dyDescent="0.35">
      <c r="A88" t="str">
        <f>'US Raw Data'!A91</f>
        <v>2019-Q4</v>
      </c>
      <c r="B88" s="7">
        <f>'US Raw Data'!B91</f>
        <v>21933.217000000001</v>
      </c>
      <c r="C88" s="7">
        <f>'US Raw Data'!C91</f>
        <v>3776.86</v>
      </c>
      <c r="D88" s="7">
        <f>'US Raw Data'!D91</f>
        <v>4796.2740000000003</v>
      </c>
      <c r="E88" s="7">
        <f>'US Raw Data'!E91</f>
        <v>564.24099999999999</v>
      </c>
      <c r="F88" s="7">
        <f t="shared" si="16"/>
        <v>4232.0330000000004</v>
      </c>
      <c r="G88" s="7">
        <f>'US Raw Data'!F91*(B88*4/100)</f>
        <v>92805.521014752405</v>
      </c>
      <c r="H88" s="7">
        <f t="shared" si="19"/>
        <v>91897.018271652792</v>
      </c>
      <c r="I88" s="7">
        <f t="shared" si="20"/>
        <v>908.50274309961242</v>
      </c>
      <c r="J88" s="7">
        <f t="shared" si="21"/>
        <v>71044.004550401616</v>
      </c>
      <c r="K88" s="7">
        <f t="shared" si="22"/>
        <v>92805.52101475239</v>
      </c>
      <c r="M88">
        <f t="shared" si="17"/>
        <v>19.295085622870555</v>
      </c>
      <c r="N88">
        <f t="shared" si="18"/>
        <v>17.219817776845048</v>
      </c>
      <c r="O88" s="10">
        <f t="shared" si="23"/>
        <v>105.78193</v>
      </c>
      <c r="P88">
        <f t="shared" si="24"/>
        <v>103.58444485327071</v>
      </c>
      <c r="Q88">
        <f t="shared" si="25"/>
        <v>2.4835205748310081</v>
      </c>
      <c r="R88">
        <f t="shared" si="26"/>
        <v>4.1421317406361888</v>
      </c>
      <c r="S88" s="10">
        <f t="shared" si="27"/>
        <v>105.78193</v>
      </c>
      <c r="T88">
        <f t="shared" si="28"/>
        <v>106.55214838561575</v>
      </c>
      <c r="U88">
        <f t="shared" si="29"/>
        <v>105.50259120254867</v>
      </c>
    </row>
    <row r="89" spans="1:21" x14ac:dyDescent="0.35">
      <c r="A89" t="str">
        <f>'US Raw Data'!A92</f>
        <v>2020-Q1</v>
      </c>
      <c r="B89" s="7">
        <f>'US Raw Data'!B92</f>
        <v>21751.238000000001</v>
      </c>
      <c r="C89" s="7">
        <f>'US Raw Data'!C92</f>
        <v>3791.2179999999998</v>
      </c>
      <c r="D89" s="7">
        <f>'US Raw Data'!D92</f>
        <v>4866.6229999999996</v>
      </c>
      <c r="E89" s="7">
        <f>'US Raw Data'!E92</f>
        <v>544.12199999999996</v>
      </c>
      <c r="F89" s="7">
        <f t="shared" si="16"/>
        <v>4322.5009999999993</v>
      </c>
      <c r="G89" s="7">
        <f>'US Raw Data'!F92*(B89*4/100)</f>
        <v>92895.2481538664</v>
      </c>
      <c r="H89" s="7">
        <f t="shared" si="19"/>
        <v>93880.926014752404</v>
      </c>
      <c r="I89" s="7">
        <f t="shared" si="20"/>
        <v>-985.67786088600405</v>
      </c>
      <c r="J89" s="7">
        <f t="shared" si="21"/>
        <v>72119.409550401615</v>
      </c>
      <c r="K89" s="7">
        <f t="shared" si="22"/>
        <v>92895.248153866385</v>
      </c>
      <c r="M89">
        <f t="shared" si="17"/>
        <v>19.872436686132527</v>
      </c>
      <c r="N89">
        <f t="shared" si="18"/>
        <v>17.429895254697684</v>
      </c>
      <c r="O89" s="10">
        <f t="shared" si="23"/>
        <v>106.77006999999999</v>
      </c>
      <c r="P89">
        <f t="shared" si="24"/>
        <v>106.66694122738255</v>
      </c>
      <c r="Q89">
        <f t="shared" si="25"/>
        <v>2.3452139228376558</v>
      </c>
      <c r="R89">
        <f t="shared" si="26"/>
        <v>-4.5315942976947063</v>
      </c>
      <c r="S89" s="10">
        <f t="shared" si="27"/>
        <v>106.77006999999999</v>
      </c>
      <c r="T89">
        <f t="shared" si="28"/>
        <v>105.59889335044286</v>
      </c>
      <c r="U89">
        <f t="shared" si="29"/>
        <v>106.48237322469278</v>
      </c>
    </row>
    <row r="90" spans="1:21" x14ac:dyDescent="0.35">
      <c r="A90" t="str">
        <f>'US Raw Data'!A93</f>
        <v>2020-Q2</v>
      </c>
      <c r="B90" s="7">
        <f>'US Raw Data'!B93</f>
        <v>19958.291000000001</v>
      </c>
      <c r="C90" s="7">
        <f>'US Raw Data'!C93</f>
        <v>3534.511</v>
      </c>
      <c r="D90" s="7">
        <f>'US Raw Data'!D93</f>
        <v>8891.3729999999996</v>
      </c>
      <c r="E90" s="7">
        <f>'US Raw Data'!E93</f>
        <v>514.73699999999997</v>
      </c>
      <c r="F90" s="7">
        <f t="shared" si="16"/>
        <v>8376.6360000000004</v>
      </c>
      <c r="G90" s="7">
        <f>'US Raw Data'!F93*(B90*4/100)</f>
        <v>105908.9665742068</v>
      </c>
      <c r="H90" s="7">
        <f t="shared" si="19"/>
        <v>98252.110153866393</v>
      </c>
      <c r="I90" s="7">
        <f t="shared" si="20"/>
        <v>7656.8564203404094</v>
      </c>
      <c r="J90" s="7">
        <f t="shared" si="21"/>
        <v>77476.271550401609</v>
      </c>
      <c r="K90" s="7">
        <f t="shared" si="22"/>
        <v>105908.9665742068</v>
      </c>
      <c r="M90">
        <f t="shared" si="17"/>
        <v>41.970707812607806</v>
      </c>
      <c r="N90">
        <f t="shared" si="18"/>
        <v>17.709487250185898</v>
      </c>
      <c r="O90" s="10">
        <f t="shared" si="23"/>
        <v>132.66287</v>
      </c>
      <c r="P90">
        <f t="shared" si="24"/>
        <v>116.36172675539503</v>
      </c>
      <c r="Q90">
        <f t="shared" si="25"/>
        <v>2.2164190751605246</v>
      </c>
      <c r="R90">
        <f t="shared" si="26"/>
        <v>38.36428890800525</v>
      </c>
      <c r="S90" s="10">
        <f t="shared" si="27"/>
        <v>132.66287</v>
      </c>
      <c r="T90">
        <f t="shared" si="28"/>
        <v>122.7287745002585</v>
      </c>
      <c r="U90">
        <f t="shared" si="29"/>
        <v>133.75407661925831</v>
      </c>
    </row>
    <row r="91" spans="1:21" x14ac:dyDescent="0.35">
      <c r="A91" t="str">
        <f>'US Raw Data'!A94</f>
        <v>2020-Q3</v>
      </c>
      <c r="B91" s="7">
        <f>'US Raw Data'!B94</f>
        <v>21704.437000000002</v>
      </c>
      <c r="C91" s="7">
        <f>'US Raw Data'!C94</f>
        <v>3797.5749999999998</v>
      </c>
      <c r="D91" s="7">
        <f>'US Raw Data'!D94</f>
        <v>7174.1109999999999</v>
      </c>
      <c r="E91" s="7">
        <f>'US Raw Data'!E94</f>
        <v>508.01100000000002</v>
      </c>
      <c r="F91" s="7">
        <f t="shared" si="16"/>
        <v>6666.0999999999995</v>
      </c>
      <c r="G91" s="7">
        <f>'US Raw Data'!F94*(B91*4/100)</f>
        <v>107781.5601553616</v>
      </c>
      <c r="H91" s="7">
        <f t="shared" si="19"/>
        <v>109285.5025742068</v>
      </c>
      <c r="I91" s="7">
        <f t="shared" si="20"/>
        <v>-1503.9424188451958</v>
      </c>
      <c r="J91" s="7">
        <f t="shared" si="21"/>
        <v>80852.807550401601</v>
      </c>
      <c r="K91" s="7">
        <f t="shared" si="22"/>
        <v>107781.5601553616</v>
      </c>
      <c r="M91">
        <f t="shared" si="17"/>
        <v>30.713074934862394</v>
      </c>
      <c r="N91">
        <f t="shared" si="18"/>
        <v>17.496768057148866</v>
      </c>
      <c r="O91" s="10">
        <f t="shared" si="23"/>
        <v>124.14691999999998</v>
      </c>
      <c r="P91">
        <f t="shared" si="24"/>
        <v>121.98999514961709</v>
      </c>
      <c r="Q91">
        <f t="shared" si="25"/>
        <v>1.9186704069822231</v>
      </c>
      <c r="R91">
        <f t="shared" si="26"/>
        <v>-6.9291934125966765</v>
      </c>
      <c r="S91" s="10">
        <f t="shared" si="27"/>
        <v>124.14691999999999</v>
      </c>
      <c r="T91">
        <f t="shared" si="28"/>
        <v>135.96742995709403</v>
      </c>
      <c r="U91">
        <f t="shared" si="29"/>
        <v>125.02869959749704</v>
      </c>
    </row>
    <row r="92" spans="1:21" x14ac:dyDescent="0.35">
      <c r="A92" t="str">
        <f>'US Raw Data'!A95</f>
        <v>2020-Q4</v>
      </c>
      <c r="B92" s="7">
        <f>'US Raw Data'!B95</f>
        <v>22087.16</v>
      </c>
      <c r="C92" s="7">
        <f>'US Raw Data'!C95</f>
        <v>3943.357</v>
      </c>
      <c r="D92" s="7">
        <f>'US Raw Data'!D95</f>
        <v>5928.3429999999998</v>
      </c>
      <c r="E92" s="7">
        <f>'US Raw Data'!E95</f>
        <v>516.71100000000001</v>
      </c>
      <c r="F92" s="7">
        <f t="shared" si="16"/>
        <v>5411.6319999999996</v>
      </c>
      <c r="G92" s="7">
        <f>'US Raw Data'!F95*(B92*4/100)</f>
        <v>110991.194890496</v>
      </c>
      <c r="H92" s="7">
        <f t="shared" si="19"/>
        <v>109766.5461553616</v>
      </c>
      <c r="I92" s="7">
        <f t="shared" si="20"/>
        <v>1224.6487351343967</v>
      </c>
      <c r="J92" s="7">
        <f t="shared" si="21"/>
        <v>82837.793550401606</v>
      </c>
      <c r="K92" s="7">
        <f t="shared" si="22"/>
        <v>110991.194890496</v>
      </c>
      <c r="M92">
        <f t="shared" si="17"/>
        <v>24.501257744318416</v>
      </c>
      <c r="N92">
        <f t="shared" si="18"/>
        <v>17.853617214707551</v>
      </c>
      <c r="O92" s="10">
        <f t="shared" si="23"/>
        <v>125.62864</v>
      </c>
      <c r="P92">
        <f t="shared" si="24"/>
        <v>121.99572076645616</v>
      </c>
      <c r="Q92">
        <f t="shared" si="25"/>
        <v>1.9176230117849014</v>
      </c>
      <c r="R92">
        <f t="shared" si="26"/>
        <v>5.5446183897540324</v>
      </c>
      <c r="S92" s="10">
        <f t="shared" si="27"/>
        <v>125.62863999999999</v>
      </c>
      <c r="T92">
        <f t="shared" si="28"/>
        <v>128.67615910604252</v>
      </c>
      <c r="U92">
        <f t="shared" si="29"/>
        <v>126.446477895713</v>
      </c>
    </row>
    <row r="93" spans="1:21" x14ac:dyDescent="0.35">
      <c r="A93" t="str">
        <f>'US Raw Data'!A96</f>
        <v>2021-Q1</v>
      </c>
      <c r="B93" s="7">
        <f>'US Raw Data'!B96</f>
        <v>22680.692999999999</v>
      </c>
      <c r="C93" s="7">
        <f>'US Raw Data'!C96</f>
        <v>4135.3419999999996</v>
      </c>
      <c r="D93" s="7">
        <f>'US Raw Data'!D96</f>
        <v>8346.2909999999993</v>
      </c>
      <c r="E93" s="7">
        <f>'US Raw Data'!E96</f>
        <v>533.51800000000003</v>
      </c>
      <c r="F93" s="7">
        <f t="shared" si="16"/>
        <v>7812.7729999999992</v>
      </c>
      <c r="G93" s="7">
        <f>'US Raw Data'!F96*(B93*4/100)</f>
        <v>112530.2764640544</v>
      </c>
      <c r="H93" s="7">
        <f t="shared" si="19"/>
        <v>115202.14389049599</v>
      </c>
      <c r="I93" s="7">
        <f t="shared" si="20"/>
        <v>-2671.8674264415895</v>
      </c>
      <c r="J93" s="7">
        <f t="shared" si="21"/>
        <v>87048.742550401599</v>
      </c>
      <c r="K93" s="7">
        <f t="shared" si="22"/>
        <v>112530.2764640544</v>
      </c>
      <c r="M93">
        <f t="shared" si="17"/>
        <v>34.446800192569071</v>
      </c>
      <c r="N93">
        <f t="shared" si="18"/>
        <v>18.232873219526404</v>
      </c>
      <c r="O93" s="10">
        <f t="shared" si="23"/>
        <v>124.03752</v>
      </c>
      <c r="P93">
        <f t="shared" si="24"/>
        <v>122.34105334710894</v>
      </c>
      <c r="Q93">
        <f t="shared" si="25"/>
        <v>1.9227399093283724</v>
      </c>
      <c r="R93">
        <f t="shared" si="26"/>
        <v>-11.780360619675905</v>
      </c>
      <c r="S93" s="10">
        <f t="shared" si="27"/>
        <v>124.03752000000001</v>
      </c>
      <c r="T93">
        <f t="shared" si="28"/>
        <v>128.16267870766492</v>
      </c>
      <c r="U93">
        <f t="shared" si="29"/>
        <v>124.80877857853764</v>
      </c>
    </row>
    <row r="94" spans="1:21" x14ac:dyDescent="0.35">
      <c r="A94" t="str">
        <f>'US Raw Data'!A97</f>
        <v>2021-Q2</v>
      </c>
      <c r="B94" s="7">
        <f>'US Raw Data'!B97</f>
        <v>23425.91</v>
      </c>
      <c r="C94" s="7">
        <f>'US Raw Data'!C97</f>
        <v>4368.8339999999998</v>
      </c>
      <c r="D94" s="7">
        <f>'US Raw Data'!D97</f>
        <v>7754.3249999999998</v>
      </c>
      <c r="E94" s="7">
        <f>'US Raw Data'!E97</f>
        <v>560.63400000000001</v>
      </c>
      <c r="F94" s="7">
        <f t="shared" si="16"/>
        <v>7193.6909999999998</v>
      </c>
      <c r="G94" s="7">
        <f>'US Raw Data'!F97*(B94*4/100)</f>
        <v>114117.74634384799</v>
      </c>
      <c r="H94" s="7">
        <f t="shared" si="19"/>
        <v>115915.7674640544</v>
      </c>
      <c r="I94" s="7">
        <f t="shared" si="20"/>
        <v>-1798.0211202064093</v>
      </c>
      <c r="J94" s="7">
        <f t="shared" si="21"/>
        <v>90434.233550401594</v>
      </c>
      <c r="K94" s="7">
        <f t="shared" si="22"/>
        <v>114117.74634384799</v>
      </c>
      <c r="M94">
        <f t="shared" si="17"/>
        <v>30.70826704277443</v>
      </c>
      <c r="N94">
        <f t="shared" si="18"/>
        <v>18.649580742007458</v>
      </c>
      <c r="O94" s="10">
        <f t="shared" si="23"/>
        <v>121.78582</v>
      </c>
      <c r="P94">
        <f t="shared" si="24"/>
        <v>120.09168103187282</v>
      </c>
      <c r="Q94">
        <f t="shared" si="25"/>
        <v>1.9928290149685488</v>
      </c>
      <c r="R94">
        <f t="shared" si="26"/>
        <v>-7.6753522924249653</v>
      </c>
      <c r="S94" s="10">
        <f t="shared" si="27"/>
        <v>121.78581999999999</v>
      </c>
      <c r="T94">
        <f t="shared" si="28"/>
        <v>126.52641846880839</v>
      </c>
      <c r="U94">
        <f t="shared" si="29"/>
        <v>122.50140351775333</v>
      </c>
    </row>
    <row r="95" spans="1:21" x14ac:dyDescent="0.35">
      <c r="A95" t="str">
        <f>'US Raw Data'!A98</f>
        <v>2021-Q3</v>
      </c>
      <c r="B95" s="7">
        <f>'US Raw Data'!B98</f>
        <v>23982.379000000001</v>
      </c>
      <c r="C95" s="7">
        <f>'US Raw Data'!C98</f>
        <v>4523.1400000000003</v>
      </c>
      <c r="D95" s="7">
        <f>'US Raw Data'!D98</f>
        <v>6795.61</v>
      </c>
      <c r="E95" s="7">
        <f>'US Raw Data'!E98</f>
        <v>587.91999999999996</v>
      </c>
      <c r="F95" s="7">
        <f t="shared" si="16"/>
        <v>6207.69</v>
      </c>
      <c r="G95" s="7">
        <f>'US Raw Data'!F98*(B95*4/100)</f>
        <v>113715.6732602376</v>
      </c>
      <c r="H95" s="7">
        <f t="shared" si="19"/>
        <v>116390.21634384799</v>
      </c>
      <c r="I95" s="7">
        <f t="shared" si="20"/>
        <v>-2674.5430836103915</v>
      </c>
      <c r="J95" s="7">
        <f t="shared" si="21"/>
        <v>92706.703550401595</v>
      </c>
      <c r="K95" s="7">
        <f t="shared" si="22"/>
        <v>113715.6732602376</v>
      </c>
      <c r="M95">
        <f t="shared" si="17"/>
        <v>25.884379527151996</v>
      </c>
      <c r="N95">
        <f t="shared" si="18"/>
        <v>18.860264029686132</v>
      </c>
      <c r="O95" s="10">
        <f t="shared" si="23"/>
        <v>118.54086</v>
      </c>
      <c r="P95">
        <f t="shared" si="24"/>
        <v>118.95999386033387</v>
      </c>
      <c r="Q95">
        <f t="shared" si="25"/>
        <v>2.060748722564286</v>
      </c>
      <c r="R95">
        <f t="shared" si="26"/>
        <v>-11.152117492640707</v>
      </c>
      <c r="S95" s="10">
        <f t="shared" si="27"/>
        <v>118.54086000000001</v>
      </c>
      <c r="T95">
        <f t="shared" si="28"/>
        <v>122.10051454598849</v>
      </c>
      <c r="U95">
        <f t="shared" si="29"/>
        <v>119.26738647187658</v>
      </c>
    </row>
    <row r="96" spans="1:21" x14ac:dyDescent="0.35">
      <c r="A96" t="str">
        <f>'US Raw Data'!A99</f>
        <v>2021-Q4</v>
      </c>
      <c r="B96" s="7">
        <f>'US Raw Data'!B99</f>
        <v>24813.599999999999</v>
      </c>
      <c r="C96" s="7">
        <f>'US Raw Data'!C99</f>
        <v>4689.0410000000002</v>
      </c>
      <c r="D96" s="7">
        <f>'US Raw Data'!D99</f>
        <v>6240.0060000000003</v>
      </c>
      <c r="E96" s="7">
        <f>'US Raw Data'!E99</f>
        <v>612.28200000000004</v>
      </c>
      <c r="F96" s="7">
        <f t="shared" si="16"/>
        <v>5627.7240000000002</v>
      </c>
      <c r="G96" s="7">
        <f>'US Raw Data'!F99*(B96*4/100)</f>
        <v>118468.8607872</v>
      </c>
      <c r="H96" s="7">
        <f t="shared" si="19"/>
        <v>115266.6382602376</v>
      </c>
      <c r="I96" s="7">
        <f t="shared" si="20"/>
        <v>3202.2225269624032</v>
      </c>
      <c r="J96" s="7">
        <f t="shared" si="21"/>
        <v>94257.668550401591</v>
      </c>
      <c r="K96" s="7">
        <f t="shared" si="22"/>
        <v>118468.8607872</v>
      </c>
      <c r="M96">
        <f t="shared" si="17"/>
        <v>22.679998065576942</v>
      </c>
      <c r="N96">
        <f t="shared" si="18"/>
        <v>18.89706048296096</v>
      </c>
      <c r="O96" s="10">
        <f t="shared" si="23"/>
        <v>119.3588</v>
      </c>
      <c r="P96">
        <f t="shared" si="24"/>
        <v>114.56990648297466</v>
      </c>
      <c r="Q96">
        <f t="shared" si="25"/>
        <v>2.1537294990068663</v>
      </c>
      <c r="R96">
        <f t="shared" si="26"/>
        <v>12.905110612576987</v>
      </c>
      <c r="S96" s="10">
        <f t="shared" si="27"/>
        <v>119.35879999999999</v>
      </c>
      <c r="T96">
        <f t="shared" si="28"/>
        <v>124.08157274195963</v>
      </c>
      <c r="U96">
        <f t="shared" si="29"/>
        <v>119.92501307402978</v>
      </c>
    </row>
    <row r="97" spans="1:21" x14ac:dyDescent="0.35">
      <c r="A97" t="str">
        <f>'US Raw Data'!A100</f>
        <v>2022-Q1</v>
      </c>
      <c r="B97" s="7">
        <f>'US Raw Data'!B100</f>
        <v>25250.347000000002</v>
      </c>
      <c r="C97" s="7">
        <f>'US Raw Data'!C100</f>
        <v>5075.1120000000001</v>
      </c>
      <c r="D97" s="7">
        <f>'US Raw Data'!D100</f>
        <v>6002.8149999999996</v>
      </c>
      <c r="E97" s="7">
        <f>'US Raw Data'!E100</f>
        <v>636.96799999999996</v>
      </c>
      <c r="F97" s="7">
        <f t="shared" si="16"/>
        <v>5365.8469999999998</v>
      </c>
      <c r="G97" s="7">
        <f>'US Raw Data'!F100*(B97*4/100)</f>
        <v>121603.84302687721</v>
      </c>
      <c r="H97" s="7">
        <f t="shared" si="19"/>
        <v>119396.56378719999</v>
      </c>
      <c r="I97" s="7">
        <f t="shared" si="20"/>
        <v>2207.2792396772129</v>
      </c>
      <c r="J97" s="7">
        <f t="shared" si="21"/>
        <v>95185.371550401585</v>
      </c>
      <c r="K97" s="7">
        <f t="shared" si="22"/>
        <v>121603.84302687721</v>
      </c>
      <c r="M97">
        <f t="shared" si="17"/>
        <v>21.250587170148588</v>
      </c>
      <c r="N97">
        <f t="shared" si="18"/>
        <v>20.09917725091065</v>
      </c>
      <c r="O97" s="10">
        <f t="shared" si="23"/>
        <v>120.39819</v>
      </c>
      <c r="P97">
        <f t="shared" si="24"/>
        <v>117.29428984401679</v>
      </c>
      <c r="Q97">
        <f t="shared" si="25"/>
        <v>2.150668102208412</v>
      </c>
      <c r="R97">
        <f t="shared" si="26"/>
        <v>8.7415798273077705</v>
      </c>
      <c r="S97" s="10">
        <f t="shared" si="27"/>
        <v>120.39819000000001</v>
      </c>
      <c r="T97">
        <f t="shared" si="28"/>
        <v>123.04305776135432</v>
      </c>
      <c r="U97">
        <f t="shared" si="29"/>
        <v>120.91482220292423</v>
      </c>
    </row>
    <row r="98" spans="1:21" x14ac:dyDescent="0.35">
      <c r="A98" t="str">
        <f>'US Raw Data'!A101</f>
        <v>2022-Q2</v>
      </c>
      <c r="B98" s="7">
        <f>'US Raw Data'!B101</f>
        <v>25861.292000000001</v>
      </c>
      <c r="C98" s="7">
        <f>'US Raw Data'!C101</f>
        <v>5134.7879999999996</v>
      </c>
      <c r="D98" s="7">
        <f>'US Raw Data'!D101</f>
        <v>6079.6750000000002</v>
      </c>
      <c r="E98" s="7">
        <f>'US Raw Data'!E101</f>
        <v>684.75800000000004</v>
      </c>
      <c r="F98" s="7">
        <f t="shared" si="16"/>
        <v>5394.9170000000004</v>
      </c>
      <c r="G98" s="7">
        <f>'US Raw Data'!F101*(B98*4/100)</f>
        <v>122274.32989097762</v>
      </c>
      <c r="H98" s="7">
        <f t="shared" si="19"/>
        <v>122548.73002687721</v>
      </c>
      <c r="I98" s="7">
        <f t="shared" si="20"/>
        <v>-274.40013589958835</v>
      </c>
      <c r="J98" s="7">
        <f t="shared" si="21"/>
        <v>96130.258550401588</v>
      </c>
      <c r="K98" s="7">
        <f t="shared" si="22"/>
        <v>122274.32989097762</v>
      </c>
      <c r="M98">
        <f t="shared" si="17"/>
        <v>20.860972452575069</v>
      </c>
      <c r="N98">
        <f t="shared" si="18"/>
        <v>19.855110100454375</v>
      </c>
      <c r="O98" s="10">
        <f t="shared" si="23"/>
        <v>118.20207000000002</v>
      </c>
      <c r="P98">
        <f t="shared" si="24"/>
        <v>117.55391322567837</v>
      </c>
      <c r="Q98">
        <f t="shared" si="25"/>
        <v>2.2524222358619146</v>
      </c>
      <c r="R98">
        <f t="shared" si="26"/>
        <v>-1.06104573545509</v>
      </c>
      <c r="S98" s="10">
        <f t="shared" si="27"/>
        <v>118.20207000000002</v>
      </c>
      <c r="T98">
        <f t="shared" si="28"/>
        <v>121.58190444252853</v>
      </c>
      <c r="U98">
        <f t="shared" si="29"/>
        <v>118.70966369718447</v>
      </c>
    </row>
    <row r="99" spans="1:21" x14ac:dyDescent="0.35">
      <c r="A99" t="str">
        <f>'US Raw Data'!A102</f>
        <v>2022-Q3</v>
      </c>
      <c r="B99" s="7">
        <f>'US Raw Data'!B102</f>
        <v>26336.304</v>
      </c>
      <c r="C99" s="7">
        <f>'US Raw Data'!C102</f>
        <v>5149.4179999999997</v>
      </c>
      <c r="D99" s="7">
        <f>'US Raw Data'!D102</f>
        <v>6178.7370000000001</v>
      </c>
      <c r="E99" s="7">
        <f>'US Raw Data'!E102</f>
        <v>752.08100000000002</v>
      </c>
      <c r="F99" s="7">
        <f t="shared" si="16"/>
        <v>5426.6559999999999</v>
      </c>
      <c r="G99" s="7">
        <f>'US Raw Data'!F102*(B99*4/100)</f>
        <v>123715.65187077121</v>
      </c>
      <c r="H99" s="7">
        <f t="shared" si="19"/>
        <v>123303.64889097762</v>
      </c>
      <c r="I99" s="7">
        <f t="shared" si="20"/>
        <v>412.00297979358584</v>
      </c>
      <c r="J99" s="7">
        <f t="shared" si="21"/>
        <v>97159.577550401591</v>
      </c>
      <c r="K99" s="7">
        <f t="shared" si="22"/>
        <v>123715.65187077121</v>
      </c>
      <c r="M99">
        <f t="shared" si="17"/>
        <v>20.605229951780629</v>
      </c>
      <c r="N99">
        <f t="shared" si="18"/>
        <v>19.552546173525336</v>
      </c>
      <c r="O99" s="10">
        <f t="shared" si="23"/>
        <v>117.43832000000002</v>
      </c>
      <c r="P99">
        <f t="shared" si="24"/>
        <v>116.07013069390605</v>
      </c>
      <c r="Q99">
        <f t="shared" si="25"/>
        <v>2.4603070838190528</v>
      </c>
      <c r="R99">
        <f t="shared" si="26"/>
        <v>1.5643917984603528</v>
      </c>
      <c r="S99" s="10">
        <f t="shared" si="27"/>
        <v>117.43832</v>
      </c>
      <c r="T99">
        <f t="shared" si="28"/>
        <v>120.09408815764327</v>
      </c>
      <c r="U99">
        <f t="shared" si="29"/>
        <v>117.92802366340223</v>
      </c>
    </row>
    <row r="100" spans="1:21" x14ac:dyDescent="0.35">
      <c r="A100" t="str">
        <f>'US Raw Data'!A103</f>
        <v>2022-Q4</v>
      </c>
      <c r="B100" s="7">
        <f>'US Raw Data'!B103</f>
        <v>26770.513999999999</v>
      </c>
      <c r="C100" s="7">
        <f>'US Raw Data'!C103</f>
        <v>5102.7640000000001</v>
      </c>
      <c r="D100" s="7">
        <f>'US Raw Data'!D103</f>
        <v>6318.34</v>
      </c>
      <c r="E100" s="7">
        <f>'US Raw Data'!E103</f>
        <v>823.10599999999999</v>
      </c>
      <c r="F100" s="7">
        <f t="shared" si="16"/>
        <v>5495.2340000000004</v>
      </c>
      <c r="G100" s="7">
        <f>'US Raw Data'!F103*(B100*4/100)</f>
        <v>125678.76108499679</v>
      </c>
      <c r="H100" s="7">
        <f t="shared" si="19"/>
        <v>124931.22787077121</v>
      </c>
      <c r="I100" s="7">
        <f t="shared" si="20"/>
        <v>747.53321422557929</v>
      </c>
      <c r="J100" s="7">
        <f t="shared" ref="J100:J112" si="30">F100-C100+E100+J99</f>
        <v>98375.153550401592</v>
      </c>
      <c r="K100" s="7">
        <f t="shared" ref="K100:K112" si="31">F100-C100+E100+I100+K99</f>
        <v>125678.76108499679</v>
      </c>
      <c r="M100">
        <f t="shared" si="17"/>
        <v>20.527188981130511</v>
      </c>
      <c r="N100">
        <f t="shared" si="18"/>
        <v>19.061135695788284</v>
      </c>
      <c r="O100" s="10">
        <f t="shared" si="23"/>
        <v>117.36678000000001</v>
      </c>
      <c r="P100">
        <f t="shared" si="24"/>
        <v>115.53350439103562</v>
      </c>
      <c r="Q100">
        <f t="shared" si="25"/>
        <v>2.6612833139651109</v>
      </c>
      <c r="R100">
        <f t="shared" si="26"/>
        <v>2.7923752761175198</v>
      </c>
      <c r="S100" s="10">
        <f t="shared" si="27"/>
        <v>117.36677999999999</v>
      </c>
      <c r="T100">
        <f t="shared" si="28"/>
        <v>119.77723050782789</v>
      </c>
      <c r="U100">
        <f t="shared" si="29"/>
        <v>117.83447844640673</v>
      </c>
    </row>
    <row r="101" spans="1:21" x14ac:dyDescent="0.35">
      <c r="A101" t="str">
        <f>'US Raw Data'!A104</f>
        <v>2023-Q1</v>
      </c>
      <c r="B101" s="7">
        <f>'US Raw Data'!B104</f>
        <v>27216.445</v>
      </c>
      <c r="C101" s="7">
        <f>'US Raw Data'!C104</f>
        <v>4751.9949999999999</v>
      </c>
      <c r="D101" s="7">
        <f>'US Raw Data'!D104</f>
        <v>6433.6</v>
      </c>
      <c r="E101" s="7">
        <f>'US Raw Data'!E104</f>
        <v>861.26700000000005</v>
      </c>
      <c r="F101" s="7">
        <f t="shared" si="16"/>
        <v>5572.3330000000005</v>
      </c>
      <c r="G101" s="7">
        <f>'US Raw Data'!F104*(B101*4/100)</f>
        <v>125833.75288289199</v>
      </c>
      <c r="H101" s="7">
        <f t="shared" si="19"/>
        <v>127360.36608499679</v>
      </c>
      <c r="I101" s="7">
        <f t="shared" si="20"/>
        <v>-1526.6132021047961</v>
      </c>
      <c r="J101" s="7">
        <f t="shared" si="30"/>
        <v>100056.75855040159</v>
      </c>
      <c r="K101" s="7">
        <f t="shared" si="31"/>
        <v>125833.75288289199</v>
      </c>
      <c r="M101">
        <f t="shared" si="17"/>
        <v>20.474139807752262</v>
      </c>
      <c r="N101">
        <f t="shared" si="18"/>
        <v>17.460013605744614</v>
      </c>
      <c r="O101" s="10">
        <f t="shared" si="23"/>
        <v>115.58613999999999</v>
      </c>
      <c r="P101">
        <f t="shared" si="24"/>
        <v>115.44377037944963</v>
      </c>
      <c r="Q101">
        <f t="shared" si="25"/>
        <v>2.7411696059528259</v>
      </c>
      <c r="R101">
        <f t="shared" si="26"/>
        <v>-5.6091572654135984</v>
      </c>
      <c r="S101" s="10">
        <f t="shared" si="27"/>
        <v>115.58614</v>
      </c>
      <c r="T101">
        <f t="shared" si="28"/>
        <v>117.99323140768173</v>
      </c>
      <c r="U101">
        <f t="shared" si="29"/>
        <v>116.05995762137867</v>
      </c>
    </row>
    <row r="102" spans="1:21" x14ac:dyDescent="0.35">
      <c r="A102" t="str">
        <f>'US Raw Data'!A105</f>
        <v>2023-Q2</v>
      </c>
      <c r="B102" s="7">
        <f>'US Raw Data'!B105</f>
        <v>27530.055</v>
      </c>
      <c r="C102" s="7">
        <f>'US Raw Data'!C105</f>
        <v>4769.4170000000004</v>
      </c>
      <c r="D102" s="7">
        <f>'US Raw Data'!D105</f>
        <v>6491.6970000000001</v>
      </c>
      <c r="E102" s="7">
        <f>'US Raw Data'!E105</f>
        <v>894.10599999999999</v>
      </c>
      <c r="F102" s="7">
        <f t="shared" si="16"/>
        <v>5597.5910000000003</v>
      </c>
      <c r="G102" s="7">
        <f>'US Raw Data'!F105*(B102*4/100)</f>
        <v>129329.09563580999</v>
      </c>
      <c r="H102" s="7">
        <f t="shared" si="19"/>
        <v>127556.03288289199</v>
      </c>
      <c r="I102" s="7">
        <f t="shared" si="20"/>
        <v>1773.0627529180056</v>
      </c>
      <c r="J102" s="7">
        <f t="shared" si="30"/>
        <v>101779.03855040159</v>
      </c>
      <c r="K102" s="7">
        <f t="shared" si="31"/>
        <v>129329.09563580999</v>
      </c>
      <c r="M102">
        <f t="shared" si="17"/>
        <v>20.332654620559243</v>
      </c>
      <c r="N102">
        <f t="shared" si="18"/>
        <v>17.324400550598245</v>
      </c>
      <c r="O102" s="10">
        <f t="shared" si="23"/>
        <v>117.44354999999999</v>
      </c>
      <c r="P102">
        <f t="shared" si="24"/>
        <v>114.2694346986339</v>
      </c>
      <c r="Q102">
        <f t="shared" si="25"/>
        <v>2.8421817819646709</v>
      </c>
      <c r="R102">
        <f t="shared" si="26"/>
        <v>6.4404620801447932</v>
      </c>
      <c r="S102" s="10">
        <f t="shared" si="27"/>
        <v>117.44354999999999</v>
      </c>
      <c r="T102">
        <f t="shared" si="28"/>
        <v>119.24679540182279</v>
      </c>
      <c r="U102">
        <f t="shared" si="29"/>
        <v>117.88838956115282</v>
      </c>
    </row>
    <row r="103" spans="1:21" x14ac:dyDescent="0.35">
      <c r="A103" t="str">
        <f>'US Raw Data'!A106</f>
        <v>2023-Q3</v>
      </c>
      <c r="B103" s="7">
        <f>'US Raw Data'!B106</f>
        <v>28074.846000000001</v>
      </c>
      <c r="C103" s="7">
        <f>'US Raw Data'!C106</f>
        <v>4835.5469999999996</v>
      </c>
      <c r="D103" s="7">
        <f>'US Raw Data'!D106</f>
        <v>6558.6350000000002</v>
      </c>
      <c r="E103" s="7">
        <f>'US Raw Data'!E106</f>
        <v>966.899</v>
      </c>
      <c r="F103" s="7">
        <f t="shared" si="16"/>
        <v>5591.7359999999999</v>
      </c>
      <c r="G103" s="7">
        <f>'US Raw Data'!F106*(B103*4/100)</f>
        <v>132669.33557394482</v>
      </c>
      <c r="H103" s="7">
        <f t="shared" si="19"/>
        <v>131052.18363581</v>
      </c>
      <c r="I103" s="7">
        <f t="shared" si="20"/>
        <v>1617.1519381348189</v>
      </c>
      <c r="J103" s="7">
        <f t="shared" si="30"/>
        <v>103502.12655040159</v>
      </c>
      <c r="K103" s="7">
        <f t="shared" si="31"/>
        <v>132669.33557394482</v>
      </c>
      <c r="M103">
        <f t="shared" si="17"/>
        <v>19.91724549441874</v>
      </c>
      <c r="N103">
        <f t="shared" si="18"/>
        <v>17.22377034588186</v>
      </c>
      <c r="O103" s="10">
        <f t="shared" si="23"/>
        <v>118.13897000000001</v>
      </c>
      <c r="P103">
        <f t="shared" si="24"/>
        <v>115.16456371284279</v>
      </c>
      <c r="Q103">
        <f t="shared" si="25"/>
        <v>2.9905072644218662</v>
      </c>
      <c r="R103">
        <f t="shared" si="26"/>
        <v>5.7601453562196525</v>
      </c>
      <c r="S103" s="10">
        <f t="shared" si="27"/>
        <v>118.13897000000001</v>
      </c>
      <c r="T103">
        <f t="shared" si="28"/>
        <v>120.88315990077602</v>
      </c>
      <c r="U103">
        <f t="shared" si="29"/>
        <v>118.53742815337823</v>
      </c>
    </row>
    <row r="104" spans="1:21" x14ac:dyDescent="0.35">
      <c r="A104" t="str">
        <f>'US Raw Data'!A107</f>
        <v>2023-Q4</v>
      </c>
      <c r="B104" s="7">
        <f>'US Raw Data'!B107</f>
        <v>28424.722000000002</v>
      </c>
      <c r="C104" s="7">
        <f>'US Raw Data'!C107</f>
        <v>4926.5460000000003</v>
      </c>
      <c r="D104" s="7">
        <f>'US Raw Data'!D107</f>
        <v>6668.1279999999997</v>
      </c>
      <c r="E104" s="7">
        <f>'US Raw Data'!E107</f>
        <v>1031.4780000000001</v>
      </c>
      <c r="F104" s="7">
        <f t="shared" si="16"/>
        <v>5636.65</v>
      </c>
      <c r="G104" s="7">
        <f>'US Raw Data'!F107*(B104*4/100)</f>
        <v>136005.97311182722</v>
      </c>
      <c r="H104" s="7">
        <f t="shared" si="19"/>
        <v>134410.91757394481</v>
      </c>
      <c r="I104" s="7">
        <f t="shared" si="20"/>
        <v>1595.0555378824065</v>
      </c>
      <c r="J104" s="7">
        <f t="shared" si="30"/>
        <v>105243.70855040158</v>
      </c>
      <c r="K104" s="7">
        <f t="shared" si="31"/>
        <v>136005.97311182722</v>
      </c>
      <c r="M104">
        <f t="shared" si="17"/>
        <v>19.830097194969927</v>
      </c>
      <c r="N104">
        <f t="shared" si="18"/>
        <v>17.331905655928669</v>
      </c>
      <c r="O104" s="10">
        <f t="shared" si="23"/>
        <v>119.61944000000001</v>
      </c>
      <c r="P104">
        <f t="shared" si="24"/>
        <v>116.6848136403452</v>
      </c>
      <c r="Q104">
        <f t="shared" si="25"/>
        <v>3.1099213560923991</v>
      </c>
      <c r="R104">
        <f t="shared" si="26"/>
        <v>5.6115079608602905</v>
      </c>
      <c r="S104" s="10">
        <f t="shared" si="27"/>
        <v>119.61944</v>
      </c>
      <c r="T104">
        <f t="shared" si="28"/>
        <v>121.48645822662975</v>
      </c>
      <c r="U104">
        <f t="shared" si="29"/>
        <v>119.99109809404868</v>
      </c>
    </row>
    <row r="105" spans="1:21" x14ac:dyDescent="0.35">
      <c r="A105" t="str">
        <f>'US Raw Data'!A108</f>
        <v>2024-Q1</v>
      </c>
      <c r="B105" s="7">
        <f>'US Raw Data'!B108</f>
        <v>28708.161</v>
      </c>
      <c r="C105" s="7">
        <f>'US Raw Data'!C108</f>
        <v>5045.84</v>
      </c>
      <c r="D105" s="7">
        <f>'US Raw Data'!D108</f>
        <v>6846.1229999999996</v>
      </c>
      <c r="E105" s="7">
        <f>'US Raw Data'!E108</f>
        <v>1071.174</v>
      </c>
      <c r="F105" s="7">
        <f t="shared" si="16"/>
        <v>5774.9489999999996</v>
      </c>
      <c r="G105" s="7">
        <f>'US Raw Data'!F108*(B105*4/100)</f>
        <v>138346.13216663641</v>
      </c>
      <c r="H105" s="7">
        <f t="shared" si="19"/>
        <v>137806.25611182721</v>
      </c>
      <c r="I105" s="7">
        <f t="shared" si="20"/>
        <v>539.87605480919592</v>
      </c>
      <c r="J105" s="7">
        <f t="shared" si="30"/>
        <v>107043.99155040158</v>
      </c>
      <c r="K105" s="7">
        <f t="shared" si="31"/>
        <v>138346.13216663641</v>
      </c>
      <c r="M105">
        <f t="shared" si="17"/>
        <v>20.116053410735709</v>
      </c>
      <c r="N105">
        <f t="shared" si="18"/>
        <v>17.576326118555627</v>
      </c>
      <c r="O105" s="10">
        <f t="shared" si="23"/>
        <v>120.47631</v>
      </c>
      <c r="P105">
        <f t="shared" si="24"/>
        <v>118.43842340844057</v>
      </c>
      <c r="Q105">
        <f t="shared" si="25"/>
        <v>3.1503734004954507</v>
      </c>
      <c r="R105">
        <f t="shared" si="26"/>
        <v>1.8805664870320182</v>
      </c>
      <c r="S105" s="10">
        <f t="shared" si="27"/>
        <v>120.47631000000001</v>
      </c>
      <c r="T105">
        <f t="shared" si="28"/>
        <v>122.04121344818103</v>
      </c>
      <c r="U105">
        <f t="shared" si="29"/>
        <v>120.83628640675407</v>
      </c>
    </row>
    <row r="106" spans="1:21" x14ac:dyDescent="0.35">
      <c r="A106" t="str">
        <f>'US Raw Data'!A109</f>
        <v>2024-Q2</v>
      </c>
      <c r="B106" s="7">
        <f>'US Raw Data'!B109</f>
        <v>29147.044000000002</v>
      </c>
      <c r="C106" s="7">
        <f>'US Raw Data'!C109</f>
        <v>5146.4979999999996</v>
      </c>
      <c r="D106" s="7">
        <f>'US Raw Data'!D109</f>
        <v>6954.0209999999997</v>
      </c>
      <c r="E106" s="7">
        <f>'US Raw Data'!E109</f>
        <v>1103.5650000000001</v>
      </c>
      <c r="F106" s="7">
        <f t="shared" si="16"/>
        <v>5850.4560000000001</v>
      </c>
      <c r="G106" s="7">
        <f>'US Raw Data'!F109*(B106*4/100)</f>
        <v>139326.5311887264</v>
      </c>
      <c r="H106" s="7">
        <f t="shared" si="19"/>
        <v>140153.6551666364</v>
      </c>
      <c r="I106" s="7">
        <f t="shared" si="20"/>
        <v>-827.12397790999967</v>
      </c>
      <c r="J106" s="7">
        <f t="shared" si="30"/>
        <v>108851.51455040158</v>
      </c>
      <c r="K106" s="7">
        <f t="shared" si="31"/>
        <v>139326.5311887264</v>
      </c>
      <c r="M106">
        <f t="shared" si="17"/>
        <v>20.072210410084807</v>
      </c>
      <c r="N106">
        <f t="shared" si="18"/>
        <v>17.657015236262033</v>
      </c>
      <c r="O106" s="10">
        <f t="shared" si="23"/>
        <v>119.50313999999999</v>
      </c>
      <c r="P106">
        <f t="shared" si="24"/>
        <v>118.66223223754388</v>
      </c>
      <c r="Q106">
        <f t="shared" si="25"/>
        <v>3.1907361130147618</v>
      </c>
      <c r="R106">
        <f t="shared" si="26"/>
        <v>-2.8377628205110597</v>
      </c>
      <c r="S106" s="10">
        <f t="shared" si="27"/>
        <v>119.50313999999999</v>
      </c>
      <c r="T106">
        <f t="shared" si="28"/>
        <v>121.69453625208357</v>
      </c>
      <c r="U106">
        <f t="shared" si="29"/>
        <v>119.86211498995065</v>
      </c>
    </row>
    <row r="107" spans="1:21" x14ac:dyDescent="0.35">
      <c r="A107" t="str">
        <f>'US Raw Data'!A110</f>
        <v>2024-Q3</v>
      </c>
      <c r="B107" s="7">
        <f>'US Raw Data'!B110</f>
        <v>29511.664000000001</v>
      </c>
      <c r="C107" s="7">
        <f>'US Raw Data'!C110</f>
        <v>5210.1149999999998</v>
      </c>
      <c r="D107" s="7">
        <f>'US Raw Data'!D110</f>
        <v>7165.6629999999996</v>
      </c>
      <c r="E107" s="7">
        <f>'US Raw Data'!E110</f>
        <v>1146.182</v>
      </c>
      <c r="F107" s="7">
        <f t="shared" si="16"/>
        <v>6019.4809999999998</v>
      </c>
      <c r="G107" s="7">
        <f>'US Raw Data'!F110*(B107*4/100)</f>
        <v>141858.69691768321</v>
      </c>
      <c r="H107" s="7">
        <f t="shared" si="19"/>
        <v>141282.07918872641</v>
      </c>
      <c r="I107" s="7">
        <f t="shared" si="20"/>
        <v>576.61772895680042</v>
      </c>
      <c r="J107" s="7">
        <f t="shared" si="30"/>
        <v>110807.06255040158</v>
      </c>
      <c r="K107" s="7">
        <f t="shared" si="31"/>
        <v>141858.69691768321</v>
      </c>
      <c r="M107">
        <f t="shared" si="17"/>
        <v>20.396955590169362</v>
      </c>
      <c r="N107">
        <f t="shared" si="18"/>
        <v>17.654426398999391</v>
      </c>
      <c r="O107" s="10">
        <f t="shared" si="23"/>
        <v>120.17171999999999</v>
      </c>
      <c r="P107">
        <f t="shared" si="24"/>
        <v>118.02666497281074</v>
      </c>
      <c r="Q107">
        <f t="shared" si="25"/>
        <v>3.2906352873952649</v>
      </c>
      <c r="R107">
        <f t="shared" si="26"/>
        <v>1.9538638314559302</v>
      </c>
      <c r="S107" s="10">
        <f t="shared" si="27"/>
        <v>120.17171999999999</v>
      </c>
      <c r="T107">
        <f t="shared" si="28"/>
        <v>122.02226950862654</v>
      </c>
      <c r="U107">
        <f t="shared" si="29"/>
        <v>120.51467034687695</v>
      </c>
    </row>
    <row r="108" spans="1:21" x14ac:dyDescent="0.35">
      <c r="A108" t="str">
        <f>'US Raw Data'!A111</f>
        <v>2024-Q4</v>
      </c>
      <c r="B108" s="7">
        <f>'US Raw Data'!B111</f>
        <v>29825.182000000001</v>
      </c>
      <c r="C108" s="7">
        <f>'US Raw Data'!C111</f>
        <v>5313.1930000000002</v>
      </c>
      <c r="D108" s="7">
        <f>'US Raw Data'!D111</f>
        <v>7247.6620000000003</v>
      </c>
      <c r="E108" s="7">
        <f>'US Raw Data'!E111</f>
        <v>1155.616</v>
      </c>
      <c r="F108" s="7">
        <f t="shared" si="16"/>
        <v>6092.0460000000003</v>
      </c>
      <c r="G108" s="7">
        <f>'US Raw Data'!F111*(B108*4/100)</f>
        <v>144874.42574648239</v>
      </c>
      <c r="H108" s="7">
        <f t="shared" si="19"/>
        <v>143793.16591768322</v>
      </c>
      <c r="I108" s="7">
        <f t="shared" si="20"/>
        <v>1081.2598287991714</v>
      </c>
      <c r="J108" s="7">
        <f t="shared" si="30"/>
        <v>112741.53155040157</v>
      </c>
      <c r="K108" s="7">
        <f t="shared" si="31"/>
        <v>144874.42574648239</v>
      </c>
      <c r="M108">
        <f t="shared" si="17"/>
        <v>20.425846856525467</v>
      </c>
      <c r="N108">
        <f t="shared" si="18"/>
        <v>17.814452900907696</v>
      </c>
      <c r="O108" s="10">
        <f t="shared" si="23"/>
        <v>121.43632999999998</v>
      </c>
      <c r="P108">
        <f t="shared" si="24"/>
        <v>118.90849225805495</v>
      </c>
      <c r="Q108">
        <f t="shared" si="25"/>
        <v>3.2584988445807395</v>
      </c>
      <c r="R108">
        <f t="shared" si="26"/>
        <v>3.6253251658252124</v>
      </c>
      <c r="S108" s="10">
        <f t="shared" si="27"/>
        <v>121.43632999999998</v>
      </c>
      <c r="T108">
        <f t="shared" si="28"/>
        <v>123.05559241243854</v>
      </c>
      <c r="U108">
        <f t="shared" si="29"/>
        <v>121.76204982074663</v>
      </c>
    </row>
    <row r="109" spans="1:21" x14ac:dyDescent="0.35">
      <c r="A109" t="str">
        <f>'US Raw Data'!A112</f>
        <v>2025-Q1</v>
      </c>
      <c r="B109" s="7">
        <f>'US Raw Data'!B112</f>
        <v>30042.113000000001</v>
      </c>
      <c r="C109" s="7">
        <f>'US Raw Data'!C112</f>
        <v>5392.7169999999996</v>
      </c>
      <c r="D109" s="7">
        <f>'US Raw Data'!D112</f>
        <v>7313.5969999999998</v>
      </c>
      <c r="E109" s="7">
        <f>'US Raw Data'!E112</f>
        <v>1144.212</v>
      </c>
      <c r="F109" s="7">
        <f t="shared" si="16"/>
        <v>6169.3850000000002</v>
      </c>
      <c r="G109" s="7">
        <f>'US Raw Data'!F112*(B109*4/100)</f>
        <v>144857.240716078</v>
      </c>
      <c r="H109" s="7">
        <f t="shared" si="19"/>
        <v>146795.30574648239</v>
      </c>
      <c r="I109" s="7">
        <f t="shared" si="20"/>
        <v>-1938.0650304043957</v>
      </c>
      <c r="J109" s="7">
        <f t="shared" si="30"/>
        <v>114662.41155040158</v>
      </c>
      <c r="K109" s="7">
        <f t="shared" si="31"/>
        <v>144857.240716078</v>
      </c>
      <c r="M109">
        <f t="shared" si="17"/>
        <v>20.535789210299555</v>
      </c>
      <c r="N109">
        <f t="shared" si="18"/>
        <v>17.950524984710626</v>
      </c>
      <c r="O109" s="10">
        <f t="shared" si="23"/>
        <v>120.54514999999999</v>
      </c>
      <c r="P109">
        <f t="shared" si="24"/>
        <v>120.55945078370684</v>
      </c>
      <c r="Q109">
        <f t="shared" si="25"/>
        <v>3.1591828415658982</v>
      </c>
      <c r="R109">
        <f t="shared" si="26"/>
        <v>-6.4511608434612961</v>
      </c>
      <c r="S109" s="10">
        <f t="shared" si="27"/>
        <v>120.54514999999999</v>
      </c>
      <c r="T109">
        <f t="shared" si="28"/>
        <v>121.75724711264753</v>
      </c>
      <c r="U109">
        <f t="shared" si="29"/>
        <v>120.87805058697725</v>
      </c>
    </row>
    <row r="110" spans="1:21" x14ac:dyDescent="0.35">
      <c r="A110" t="str">
        <f>'US Raw Data'!A113</f>
        <v>2025-Q2</v>
      </c>
      <c r="B110" s="7">
        <f>'US Raw Data'!B113</f>
        <v>30485.728999999999</v>
      </c>
      <c r="C110" s="7">
        <f>'US Raw Data'!C113</f>
        <v>5603.74</v>
      </c>
      <c r="D110" s="7">
        <f>'US Raw Data'!D113</f>
        <v>7496.3389999999999</v>
      </c>
      <c r="E110" s="7">
        <f>'US Raw Data'!E113</f>
        <v>1160.9000000000001</v>
      </c>
      <c r="F110" s="7">
        <f t="shared" si="16"/>
        <v>6335.4390000000003</v>
      </c>
      <c r="G110" s="7">
        <f>'US Raw Data'!F113*(B110*4/100)</f>
        <v>144845.8808486636</v>
      </c>
      <c r="H110" s="7">
        <f t="shared" si="19"/>
        <v>146749.83971607799</v>
      </c>
      <c r="I110" s="7">
        <f t="shared" si="20"/>
        <v>-1903.9588674143888</v>
      </c>
      <c r="J110" s="7">
        <f t="shared" si="30"/>
        <v>116555.01055040158</v>
      </c>
      <c r="K110" s="7">
        <f t="shared" si="31"/>
        <v>144845.8808486636</v>
      </c>
      <c r="M110">
        <f t="shared" si="17"/>
        <v>20.781654917945378</v>
      </c>
      <c r="N110">
        <f t="shared" si="18"/>
        <v>18.381518775555605</v>
      </c>
      <c r="O110" s="10">
        <f t="shared" si="23"/>
        <v>118.78171</v>
      </c>
      <c r="P110">
        <f t="shared" si="24"/>
        <v>118.79102572557639</v>
      </c>
      <c r="Q110">
        <f t="shared" si="25"/>
        <v>3.2056388600563741</v>
      </c>
      <c r="R110">
        <f t="shared" si="26"/>
        <v>-6.2454103276139099</v>
      </c>
      <c r="S110" s="10">
        <f t="shared" si="27"/>
        <v>118.78171000000003</v>
      </c>
      <c r="T110">
        <f t="shared" si="28"/>
        <v>120.88546048139492</v>
      </c>
      <c r="U110">
        <f t="shared" si="29"/>
        <v>119.12638414646739</v>
      </c>
    </row>
    <row r="111" spans="1:21" x14ac:dyDescent="0.35">
      <c r="A111" t="str">
        <f>'US Raw Data'!A114</f>
        <v>2025-Q3</v>
      </c>
      <c r="B111" s="7">
        <f>'US Raw Data'!B114</f>
        <v>31098.026999999998</v>
      </c>
      <c r="C111" s="7">
        <f>'US Raw Data'!C114</f>
        <v>5793.5959999999995</v>
      </c>
      <c r="D111" s="7">
        <f>'US Raw Data'!D114</f>
        <v>7580.2290000000003</v>
      </c>
      <c r="E111" s="7">
        <f>'US Raw Data'!E114</f>
        <v>1199.1890000000001</v>
      </c>
      <c r="F111" s="7">
        <f t="shared" si="16"/>
        <v>6381.04</v>
      </c>
      <c r="G111" s="7">
        <f>'US Raw Data'!F114*(B111*4/100)</f>
        <v>150550.21341104998</v>
      </c>
      <c r="H111" s="7">
        <f t="shared" si="19"/>
        <v>146632.5138486636</v>
      </c>
      <c r="I111" s="7">
        <f t="shared" si="20"/>
        <v>3917.6995623863768</v>
      </c>
      <c r="J111" s="7">
        <f t="shared" si="30"/>
        <v>118341.64355040158</v>
      </c>
      <c r="K111" s="7">
        <f t="shared" si="31"/>
        <v>150550.21341104998</v>
      </c>
      <c r="M111">
        <f t="shared" si="17"/>
        <v>20.519115248050948</v>
      </c>
      <c r="N111">
        <f t="shared" si="18"/>
        <v>18.630107948648963</v>
      </c>
      <c r="O111" s="10">
        <f t="shared" si="23"/>
        <v>121.02874999999999</v>
      </c>
      <c r="P111">
        <f t="shared" si="24"/>
        <v>116.44298274024234</v>
      </c>
      <c r="Q111">
        <f t="shared" si="25"/>
        <v>3.3116274842580422</v>
      </c>
      <c r="R111">
        <f t="shared" si="26"/>
        <v>12.597903919712904</v>
      </c>
      <c r="S111" s="10">
        <f t="shared" si="27"/>
        <v>121.02875</v>
      </c>
      <c r="T111">
        <f t="shared" si="28"/>
        <v>123.73436747084543</v>
      </c>
      <c r="U111">
        <f t="shared" si="29"/>
        <v>121.29812591334522</v>
      </c>
    </row>
    <row r="112" spans="1:21" x14ac:dyDescent="0.35">
      <c r="A112" t="str">
        <f>'US Raw Data'!A115</f>
        <v>2025-Q4</v>
      </c>
      <c r="B112" s="7">
        <f>'US Raw Data'!B115</f>
        <v>31422.526000000002</v>
      </c>
      <c r="C112" s="7">
        <f>'US Raw Data'!C115</f>
        <v>5898.4790000000003</v>
      </c>
      <c r="D112" s="7">
        <f>'US Raw Data'!D115</f>
        <v>7583.6629999999996</v>
      </c>
      <c r="E112" s="7">
        <f>'US Raw Data'!E115</f>
        <v>1227.4949999999999</v>
      </c>
      <c r="F112" s="7">
        <f t="shared" si="16"/>
        <v>6356.1679999999997</v>
      </c>
      <c r="G112" s="7">
        <f>'US Raw Data'!F115*(B112*4/100)</f>
        <v>154056.03520587599</v>
      </c>
      <c r="H112" s="7">
        <f t="shared" si="19"/>
        <v>152235.39741104998</v>
      </c>
      <c r="I112" s="7">
        <f t="shared" si="20"/>
        <v>1820.6377948260051</v>
      </c>
      <c r="J112" s="7">
        <f t="shared" si="30"/>
        <v>120026.82755040158</v>
      </c>
      <c r="K112" s="7">
        <f t="shared" si="31"/>
        <v>154056.03520587599</v>
      </c>
      <c r="M112">
        <f t="shared" si="17"/>
        <v>20.228061868737093</v>
      </c>
      <c r="N112">
        <f t="shared" si="18"/>
        <v>18.771498510336183</v>
      </c>
      <c r="O112" s="10">
        <f t="shared" si="23"/>
        <v>122.56814999999999</v>
      </c>
      <c r="P112">
        <f t="shared" si="24"/>
        <v>119.77889159121864</v>
      </c>
      <c r="Q112">
        <f t="shared" si="25"/>
        <v>3.2613570507497007</v>
      </c>
      <c r="R112">
        <f t="shared" si="26"/>
        <v>5.7940529505043772</v>
      </c>
      <c r="S112" s="10">
        <f t="shared" si="27"/>
        <v>122.56814999999997</v>
      </c>
      <c r="T112">
        <f t="shared" si="28"/>
        <v>124.09977123604708</v>
      </c>
      <c r="U112">
        <f t="shared" si="29"/>
        <v>122.81819853032869</v>
      </c>
    </row>
    <row r="113" spans="2:7" x14ac:dyDescent="0.35">
      <c r="B113" s="7"/>
      <c r="C113" s="7"/>
      <c r="D113" s="7"/>
      <c r="E113" s="7"/>
      <c r="F113" s="7"/>
      <c r="G113" s="7"/>
    </row>
    <row r="114" spans="2:7" x14ac:dyDescent="0.35">
      <c r="B114" s="7"/>
      <c r="C114" s="7"/>
      <c r="D114" s="7"/>
      <c r="E114" s="7"/>
      <c r="F114" s="7"/>
      <c r="G114" s="7"/>
    </row>
    <row r="115" spans="2:7" x14ac:dyDescent="0.35">
      <c r="B115" s="7"/>
      <c r="C115" s="7"/>
      <c r="D115" s="7"/>
      <c r="E115" s="7"/>
      <c r="F115" s="7"/>
      <c r="G115" s="7"/>
    </row>
    <row r="116" spans="2:7" x14ac:dyDescent="0.35">
      <c r="B116" s="7"/>
      <c r="C116" s="7"/>
      <c r="D116" s="7"/>
      <c r="E116" s="7"/>
      <c r="F116" s="7"/>
      <c r="G116" s="7"/>
    </row>
    <row r="117" spans="2:7" x14ac:dyDescent="0.35">
      <c r="B117" s="7"/>
      <c r="C117" s="7"/>
      <c r="D117" s="7"/>
      <c r="E117" s="7"/>
      <c r="F117" s="7"/>
      <c r="G117" s="7"/>
    </row>
    <row r="118" spans="2:7" x14ac:dyDescent="0.35">
      <c r="B118" s="7"/>
      <c r="C118" s="7"/>
      <c r="D118" s="7"/>
      <c r="E118" s="7"/>
      <c r="F118" s="7"/>
      <c r="G118" s="7"/>
    </row>
    <row r="119" spans="2:7" x14ac:dyDescent="0.35">
      <c r="B119" s="7"/>
      <c r="C119" s="7"/>
      <c r="D119" s="7"/>
      <c r="E119" s="7"/>
      <c r="F119" s="7"/>
      <c r="G119" s="7"/>
    </row>
    <row r="120" spans="2:7" x14ac:dyDescent="0.35">
      <c r="B120" s="7"/>
      <c r="C120" s="7"/>
      <c r="D120" s="7"/>
      <c r="E120" s="7"/>
      <c r="F120" s="7"/>
      <c r="G120" s="7"/>
    </row>
    <row r="121" spans="2:7" x14ac:dyDescent="0.35">
      <c r="B121" s="7"/>
      <c r="C121" s="7"/>
      <c r="D121" s="7"/>
      <c r="E121" s="7"/>
      <c r="F121" s="7"/>
      <c r="G121" s="7"/>
    </row>
    <row r="122" spans="2:7" x14ac:dyDescent="0.35">
      <c r="B122" s="7"/>
      <c r="C122" s="7"/>
      <c r="D122" s="7"/>
      <c r="E122" s="7"/>
      <c r="F122" s="7"/>
      <c r="G122" s="7"/>
    </row>
    <row r="123" spans="2:7" x14ac:dyDescent="0.35">
      <c r="B123" s="7"/>
      <c r="C123" s="7"/>
      <c r="D123" s="7"/>
      <c r="E123" s="7"/>
      <c r="F123" s="7"/>
      <c r="G123" s="7"/>
    </row>
    <row r="124" spans="2:7" x14ac:dyDescent="0.35">
      <c r="B124" s="7"/>
      <c r="C124" s="7"/>
      <c r="D124" s="7"/>
      <c r="E124" s="7"/>
      <c r="F124" s="7"/>
      <c r="G124" s="7"/>
    </row>
    <row r="125" spans="2:7" x14ac:dyDescent="0.35">
      <c r="B125" s="7"/>
      <c r="C125" s="7"/>
      <c r="D125" s="7"/>
      <c r="E125" s="7"/>
      <c r="F125" s="7"/>
      <c r="G125" s="7"/>
    </row>
    <row r="126" spans="2:7" x14ac:dyDescent="0.35">
      <c r="B126" s="7"/>
      <c r="C126" s="7"/>
      <c r="D126" s="7"/>
      <c r="E126" s="7"/>
      <c r="F126" s="7"/>
      <c r="G126" s="7"/>
    </row>
    <row r="127" spans="2:7" x14ac:dyDescent="0.35">
      <c r="B127" s="7"/>
      <c r="C127" s="7"/>
      <c r="D127" s="7"/>
      <c r="E127" s="7"/>
      <c r="F127" s="7"/>
      <c r="G127" s="7"/>
    </row>
    <row r="128" spans="2:7" x14ac:dyDescent="0.35">
      <c r="B128" s="7"/>
      <c r="C128" s="7"/>
      <c r="D128" s="7"/>
      <c r="E128" s="7"/>
      <c r="F128" s="7"/>
      <c r="G128" s="7"/>
    </row>
    <row r="129" spans="2:7" x14ac:dyDescent="0.35">
      <c r="B129" s="7"/>
      <c r="C129" s="7"/>
      <c r="D129" s="7"/>
      <c r="E129" s="7"/>
      <c r="F129" s="7"/>
      <c r="G129" s="7"/>
    </row>
    <row r="130" spans="2:7" x14ac:dyDescent="0.35">
      <c r="B130" s="7"/>
      <c r="C130" s="7"/>
      <c r="D130" s="7"/>
      <c r="E130" s="7"/>
      <c r="F130" s="7"/>
      <c r="G130" s="7"/>
    </row>
    <row r="131" spans="2:7" x14ac:dyDescent="0.35">
      <c r="B131" s="7"/>
      <c r="C131" s="7"/>
      <c r="D131" s="7"/>
      <c r="E131" s="7"/>
      <c r="F131" s="7"/>
      <c r="G131" s="7"/>
    </row>
    <row r="132" spans="2:7" x14ac:dyDescent="0.35">
      <c r="B132" s="7"/>
      <c r="C132" s="7"/>
      <c r="D132" s="7"/>
      <c r="E132" s="7"/>
      <c r="F132" s="7"/>
      <c r="G132" s="7"/>
    </row>
    <row r="133" spans="2:7" x14ac:dyDescent="0.35">
      <c r="B133" s="7"/>
      <c r="C133" s="7"/>
      <c r="D133" s="7"/>
      <c r="E133" s="7"/>
      <c r="F133" s="7"/>
      <c r="G133" s="7"/>
    </row>
    <row r="134" spans="2:7" x14ac:dyDescent="0.35">
      <c r="B134" s="7"/>
      <c r="C134" s="7"/>
      <c r="D134" s="7"/>
      <c r="E134" s="7"/>
      <c r="F134" s="7"/>
      <c r="G134" s="7"/>
    </row>
    <row r="135" spans="2:7" x14ac:dyDescent="0.35">
      <c r="B135" s="7"/>
      <c r="C135" s="7"/>
      <c r="D135" s="7"/>
      <c r="E135" s="7"/>
      <c r="F135" s="7"/>
      <c r="G135" s="7"/>
    </row>
    <row r="136" spans="2:7" x14ac:dyDescent="0.35">
      <c r="B136" s="7"/>
      <c r="C136" s="7"/>
      <c r="D136" s="7"/>
      <c r="E136" s="7"/>
      <c r="F136" s="7"/>
      <c r="G136" s="7"/>
    </row>
    <row r="137" spans="2:7" x14ac:dyDescent="0.35">
      <c r="B137" s="7"/>
      <c r="C137" s="7"/>
      <c r="D137" s="7"/>
      <c r="E137" s="7"/>
      <c r="F137" s="7"/>
      <c r="G137" s="7"/>
    </row>
    <row r="138" spans="2:7" x14ac:dyDescent="0.35">
      <c r="B138" s="7"/>
      <c r="C138" s="7"/>
      <c r="D138" s="7"/>
      <c r="E138" s="7"/>
      <c r="F138" s="7"/>
      <c r="G138" s="7"/>
    </row>
    <row r="139" spans="2:7" x14ac:dyDescent="0.35">
      <c r="B139" s="7"/>
      <c r="C139" s="7"/>
      <c r="D139" s="7"/>
      <c r="E139" s="7"/>
      <c r="F139" s="7"/>
      <c r="G139" s="7"/>
    </row>
    <row r="140" spans="2:7" x14ac:dyDescent="0.35">
      <c r="B140" s="7"/>
      <c r="C140" s="7"/>
      <c r="D140" s="7"/>
      <c r="E140" s="7"/>
      <c r="F140" s="7"/>
      <c r="G140" s="7"/>
    </row>
    <row r="141" spans="2:7" x14ac:dyDescent="0.35">
      <c r="B141" s="7"/>
      <c r="C141" s="7"/>
      <c r="D141" s="7"/>
      <c r="E141" s="7"/>
      <c r="F141" s="7"/>
      <c r="G141" s="7"/>
    </row>
    <row r="142" spans="2:7" x14ac:dyDescent="0.35">
      <c r="B142" s="7"/>
      <c r="C142" s="7"/>
      <c r="D142" s="7"/>
      <c r="E142" s="7"/>
      <c r="F142" s="7"/>
      <c r="G142" s="7"/>
    </row>
    <row r="143" spans="2:7" x14ac:dyDescent="0.35">
      <c r="B143" s="7"/>
      <c r="C143" s="7"/>
      <c r="D143" s="7"/>
      <c r="E143" s="7"/>
      <c r="F143" s="7"/>
      <c r="G143" s="7"/>
    </row>
    <row r="144" spans="2:7" x14ac:dyDescent="0.35">
      <c r="B144" s="7"/>
      <c r="C144" s="7"/>
      <c r="D144" s="7"/>
      <c r="E144" s="7"/>
      <c r="F144" s="7"/>
      <c r="G144" s="7"/>
    </row>
    <row r="145" spans="2:7" x14ac:dyDescent="0.35">
      <c r="B145" s="7"/>
      <c r="C145" s="7"/>
      <c r="D145" s="7"/>
      <c r="E145" s="7"/>
      <c r="F145" s="7"/>
      <c r="G145" s="7"/>
    </row>
    <row r="146" spans="2:7" x14ac:dyDescent="0.35">
      <c r="B146" s="7"/>
      <c r="C146" s="7"/>
      <c r="D146" s="7"/>
      <c r="E146" s="7"/>
      <c r="F146" s="7"/>
      <c r="G146" s="7"/>
    </row>
    <row r="147" spans="2:7" x14ac:dyDescent="0.35">
      <c r="B147" s="7"/>
      <c r="C147" s="7"/>
      <c r="D147" s="7"/>
      <c r="E147" s="7"/>
      <c r="F147" s="7"/>
      <c r="G147" s="7"/>
    </row>
    <row r="148" spans="2:7" x14ac:dyDescent="0.35">
      <c r="B148" s="7"/>
      <c r="C148" s="7"/>
      <c r="D148" s="7"/>
      <c r="E148" s="7"/>
      <c r="F148" s="7"/>
      <c r="G148" s="7"/>
    </row>
    <row r="149" spans="2:7" x14ac:dyDescent="0.35">
      <c r="B149" s="7"/>
      <c r="C149" s="7"/>
      <c r="D149" s="7"/>
      <c r="E149" s="7"/>
      <c r="F149" s="7"/>
      <c r="G149" s="7"/>
    </row>
    <row r="150" spans="2:7" x14ac:dyDescent="0.35">
      <c r="B150" s="7"/>
      <c r="C150" s="7"/>
      <c r="D150" s="7"/>
      <c r="E150" s="7"/>
      <c r="F150" s="7"/>
      <c r="G150" s="7"/>
    </row>
    <row r="151" spans="2:7" x14ac:dyDescent="0.35">
      <c r="B151" s="7"/>
      <c r="C151" s="7"/>
      <c r="D151" s="7"/>
      <c r="E151" s="7"/>
      <c r="F151" s="7"/>
      <c r="G151" s="7"/>
    </row>
    <row r="152" spans="2:7" x14ac:dyDescent="0.35">
      <c r="B152" s="7"/>
      <c r="C152" s="7"/>
      <c r="D152" s="7"/>
      <c r="E152" s="7"/>
      <c r="F152" s="7"/>
      <c r="G152" s="7"/>
    </row>
    <row r="153" spans="2:7" x14ac:dyDescent="0.35">
      <c r="B153" s="7"/>
      <c r="C153" s="7"/>
      <c r="D153" s="7"/>
      <c r="E153" s="7"/>
      <c r="F153" s="7"/>
      <c r="G153" s="7"/>
    </row>
    <row r="154" spans="2:7" x14ac:dyDescent="0.35">
      <c r="B154" s="7"/>
      <c r="C154" s="7"/>
      <c r="D154" s="7"/>
      <c r="E154" s="7"/>
      <c r="F154" s="7"/>
      <c r="G154" s="7"/>
    </row>
    <row r="155" spans="2:7" x14ac:dyDescent="0.35">
      <c r="B155" s="7"/>
      <c r="C155" s="7"/>
      <c r="D155" s="7"/>
      <c r="E155" s="7"/>
      <c r="F155" s="7"/>
      <c r="G155" s="7"/>
    </row>
    <row r="156" spans="2:7" x14ac:dyDescent="0.35">
      <c r="B156" s="7"/>
      <c r="C156" s="7"/>
      <c r="D156" s="7"/>
      <c r="E156" s="7"/>
      <c r="F156" s="7"/>
      <c r="G156" s="7"/>
    </row>
    <row r="157" spans="2:7" x14ac:dyDescent="0.35">
      <c r="B157" s="7"/>
      <c r="C157" s="7"/>
      <c r="D157" s="7"/>
      <c r="E157" s="7"/>
      <c r="F157" s="7"/>
      <c r="G157" s="7"/>
    </row>
    <row r="158" spans="2:7" x14ac:dyDescent="0.35">
      <c r="B158" s="7"/>
      <c r="C158" s="7"/>
      <c r="D158" s="7"/>
      <c r="E158" s="7"/>
      <c r="F158" s="7"/>
      <c r="G158" s="7"/>
    </row>
    <row r="159" spans="2:7" x14ac:dyDescent="0.35">
      <c r="B159" s="7"/>
      <c r="C159" s="7"/>
      <c r="D159" s="7"/>
      <c r="E159" s="7"/>
      <c r="F159" s="7"/>
      <c r="G159" s="7"/>
    </row>
    <row r="160" spans="2:7" x14ac:dyDescent="0.35">
      <c r="B160" s="7"/>
      <c r="C160" s="7"/>
      <c r="D160" s="7"/>
      <c r="E160" s="7"/>
      <c r="F160" s="7"/>
      <c r="G160" s="7"/>
    </row>
    <row r="161" spans="2:7" x14ac:dyDescent="0.35">
      <c r="B161" s="7"/>
      <c r="C161" s="7"/>
      <c r="D161" s="7"/>
      <c r="E161" s="7"/>
      <c r="F161" s="7"/>
      <c r="G161" s="7"/>
    </row>
    <row r="162" spans="2:7" x14ac:dyDescent="0.35">
      <c r="B162" s="7"/>
      <c r="C162" s="7"/>
      <c r="D162" s="7"/>
      <c r="E162" s="7"/>
      <c r="F162" s="7"/>
      <c r="G162" s="7"/>
    </row>
    <row r="163" spans="2:7" x14ac:dyDescent="0.35">
      <c r="B163" s="7"/>
      <c r="C163" s="7"/>
      <c r="D163" s="7"/>
      <c r="E163" s="7"/>
      <c r="F163" s="7"/>
      <c r="G163" s="7"/>
    </row>
    <row r="164" spans="2:7" x14ac:dyDescent="0.35">
      <c r="B164" s="7"/>
      <c r="C164" s="7"/>
      <c r="D164" s="7"/>
      <c r="E164" s="7"/>
      <c r="F164" s="7"/>
      <c r="G164" s="7"/>
    </row>
    <row r="165" spans="2:7" x14ac:dyDescent="0.35">
      <c r="B165" s="7"/>
      <c r="C165" s="7"/>
      <c r="D165" s="7"/>
      <c r="E165" s="7"/>
      <c r="F165" s="7"/>
      <c r="G165" s="7"/>
    </row>
    <row r="166" spans="2:7" x14ac:dyDescent="0.35">
      <c r="B166" s="7"/>
      <c r="C166" s="7"/>
      <c r="D166" s="7"/>
      <c r="E166" s="7"/>
      <c r="F166" s="7"/>
      <c r="G166" s="7"/>
    </row>
    <row r="167" spans="2:7" x14ac:dyDescent="0.35">
      <c r="B167" s="7"/>
      <c r="C167" s="7"/>
      <c r="D167" s="7"/>
      <c r="E167" s="7"/>
      <c r="F167" s="7"/>
      <c r="G167" s="7"/>
    </row>
    <row r="168" spans="2:7" x14ac:dyDescent="0.35">
      <c r="B168" s="7"/>
      <c r="C168" s="7"/>
      <c r="D168" s="7"/>
      <c r="E168" s="7"/>
      <c r="F168" s="7"/>
      <c r="G168" s="7"/>
    </row>
    <row r="169" spans="2:7" x14ac:dyDescent="0.35">
      <c r="B169" s="7"/>
      <c r="C169" s="7"/>
      <c r="D169" s="7"/>
      <c r="E169" s="7"/>
      <c r="F169" s="7"/>
      <c r="G169" s="7"/>
    </row>
    <row r="170" spans="2:7" x14ac:dyDescent="0.35">
      <c r="B170" s="7"/>
      <c r="C170" s="7"/>
      <c r="D170" s="7"/>
      <c r="E170" s="7"/>
      <c r="F170" s="7"/>
      <c r="G170" s="7"/>
    </row>
    <row r="171" spans="2:7" x14ac:dyDescent="0.35">
      <c r="B171" s="7"/>
      <c r="C171" s="7"/>
      <c r="D171" s="7"/>
      <c r="E171" s="7"/>
      <c r="F171" s="7"/>
      <c r="G171" s="7"/>
    </row>
    <row r="172" spans="2:7" x14ac:dyDescent="0.35">
      <c r="B172" s="7"/>
      <c r="C172" s="7"/>
      <c r="D172" s="7"/>
      <c r="E172" s="7"/>
      <c r="F172" s="7"/>
      <c r="G172" s="7"/>
    </row>
    <row r="173" spans="2:7" x14ac:dyDescent="0.35">
      <c r="B173" s="7"/>
      <c r="C173" s="7"/>
      <c r="D173" s="7"/>
      <c r="E173" s="7"/>
      <c r="F173" s="7"/>
      <c r="G173" s="7"/>
    </row>
    <row r="174" spans="2:7" x14ac:dyDescent="0.35">
      <c r="B174" s="7"/>
      <c r="C174" s="7"/>
      <c r="D174" s="7"/>
      <c r="E174" s="7"/>
      <c r="F174" s="7"/>
      <c r="G174" s="7"/>
    </row>
    <row r="175" spans="2:7" x14ac:dyDescent="0.35">
      <c r="B175" s="7"/>
      <c r="C175" s="7"/>
      <c r="D175" s="7"/>
      <c r="E175" s="7"/>
      <c r="F175" s="7"/>
      <c r="G175" s="7"/>
    </row>
    <row r="176" spans="2:7" x14ac:dyDescent="0.35">
      <c r="B176" s="7"/>
      <c r="C176" s="7"/>
      <c r="D176" s="7"/>
      <c r="E176" s="7"/>
      <c r="F176" s="7"/>
      <c r="G176" s="7"/>
    </row>
    <row r="177" spans="2:7" x14ac:dyDescent="0.35">
      <c r="B177" s="7"/>
      <c r="C177" s="7"/>
      <c r="D177" s="7"/>
      <c r="E177" s="7"/>
      <c r="F177" s="7"/>
      <c r="G177" s="7"/>
    </row>
    <row r="178" spans="2:7" x14ac:dyDescent="0.35">
      <c r="B178" s="7"/>
      <c r="C178" s="7"/>
      <c r="D178" s="7"/>
      <c r="E178" s="7"/>
      <c r="F178" s="7"/>
      <c r="G178" s="7"/>
    </row>
    <row r="179" spans="2:7" x14ac:dyDescent="0.35">
      <c r="B179" s="7"/>
      <c r="C179" s="7"/>
      <c r="D179" s="7"/>
      <c r="E179" s="7"/>
      <c r="F179" s="7"/>
      <c r="G179" s="7"/>
    </row>
    <row r="180" spans="2:7" x14ac:dyDescent="0.35">
      <c r="B180" s="7"/>
      <c r="C180" s="7"/>
      <c r="D180" s="7"/>
      <c r="E180" s="7"/>
      <c r="F180" s="7"/>
      <c r="G180" s="7"/>
    </row>
    <row r="181" spans="2:7" x14ac:dyDescent="0.35">
      <c r="B181" s="7"/>
      <c r="C181" s="7"/>
      <c r="D181" s="7"/>
      <c r="E181" s="7"/>
      <c r="F181" s="7"/>
      <c r="G181" s="7"/>
    </row>
    <row r="182" spans="2:7" x14ac:dyDescent="0.35">
      <c r="B182" s="7"/>
      <c r="C182" s="7"/>
      <c r="D182" s="7"/>
      <c r="E182" s="7"/>
      <c r="F182" s="7"/>
      <c r="G182" s="7"/>
    </row>
    <row r="183" spans="2:7" x14ac:dyDescent="0.35">
      <c r="B183" s="7"/>
      <c r="C183" s="7"/>
      <c r="D183" s="7"/>
      <c r="E183" s="7"/>
      <c r="F183" s="7"/>
      <c r="G183" s="7"/>
    </row>
    <row r="184" spans="2:7" x14ac:dyDescent="0.35">
      <c r="B184" s="7"/>
      <c r="C184" s="7"/>
      <c r="D184" s="7"/>
      <c r="E184" s="7"/>
      <c r="F184" s="7"/>
      <c r="G184" s="7"/>
    </row>
    <row r="185" spans="2:7" x14ac:dyDescent="0.35">
      <c r="B185" s="7"/>
      <c r="C185" s="7"/>
      <c r="D185" s="7"/>
      <c r="E185" s="7"/>
      <c r="F185" s="7"/>
      <c r="G185" s="7"/>
    </row>
    <row r="186" spans="2:7" x14ac:dyDescent="0.35">
      <c r="B186" s="7"/>
      <c r="C186" s="7"/>
      <c r="D186" s="7"/>
      <c r="E186" s="7"/>
      <c r="F186" s="7"/>
      <c r="G186" s="7"/>
    </row>
    <row r="187" spans="2:7" x14ac:dyDescent="0.35">
      <c r="B187" s="7"/>
      <c r="C187" s="7"/>
      <c r="D187" s="7"/>
      <c r="E187" s="7"/>
      <c r="F187" s="7"/>
      <c r="G187" s="7"/>
    </row>
    <row r="188" spans="2:7" x14ac:dyDescent="0.35">
      <c r="B188" s="7"/>
      <c r="C188" s="7"/>
      <c r="D188" s="7"/>
      <c r="E188" s="7"/>
      <c r="F188" s="7"/>
      <c r="G188" s="7"/>
    </row>
    <row r="189" spans="2:7" x14ac:dyDescent="0.35">
      <c r="B189" s="7"/>
      <c r="C189" s="7"/>
      <c r="D189" s="7"/>
      <c r="E189" s="7"/>
      <c r="F189" s="7"/>
      <c r="G189" s="7"/>
    </row>
    <row r="190" spans="2:7" x14ac:dyDescent="0.35">
      <c r="B190" s="7"/>
      <c r="C190" s="7"/>
      <c r="D190" s="7"/>
      <c r="E190" s="7"/>
      <c r="F190" s="7"/>
      <c r="G190" s="7"/>
    </row>
  </sheetData>
  <mergeCells count="1">
    <mergeCell ref="T1:U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61D1-7DFC-4573-AF75-70A0B99E8B5A}">
  <dimension ref="A1:AG190"/>
  <sheetViews>
    <sheetView tabSelected="1" topLeftCell="N1" workbookViewId="0">
      <selection activeCell="W3" sqref="W3"/>
    </sheetView>
  </sheetViews>
  <sheetFormatPr defaultRowHeight="14.5" x14ac:dyDescent="0.35"/>
  <cols>
    <col min="7" max="7" width="10.453125" customWidth="1"/>
    <col min="8" max="8" width="9.90625" customWidth="1"/>
    <col min="10" max="10" width="10" customWidth="1"/>
    <col min="11" max="11" width="9.90625" customWidth="1"/>
    <col min="15" max="15" width="10.54296875" bestFit="1" customWidth="1"/>
    <col min="20" max="20" width="15.08984375" bestFit="1" customWidth="1"/>
    <col min="21" max="21" width="17.90625" style="13" customWidth="1"/>
    <col min="22" max="22" width="10.36328125" style="13" bestFit="1" customWidth="1"/>
  </cols>
  <sheetData>
    <row r="1" spans="1:33" x14ac:dyDescent="0.35">
      <c r="A1" t="s">
        <v>300</v>
      </c>
      <c r="B1" t="s">
        <v>301</v>
      </c>
      <c r="C1" t="s">
        <v>302</v>
      </c>
      <c r="D1" t="s">
        <v>308</v>
      </c>
      <c r="E1" t="s">
        <v>309</v>
      </c>
      <c r="F1" t="s">
        <v>307</v>
      </c>
      <c r="G1" t="s">
        <v>316</v>
      </c>
      <c r="H1" t="s">
        <v>304</v>
      </c>
      <c r="I1" t="s">
        <v>311</v>
      </c>
      <c r="J1" t="s">
        <v>310</v>
      </c>
      <c r="K1" t="s">
        <v>312</v>
      </c>
      <c r="M1" t="s">
        <v>313</v>
      </c>
      <c r="N1" t="s">
        <v>314</v>
      </c>
      <c r="O1" t="s">
        <v>303</v>
      </c>
      <c r="P1" t="s">
        <v>334</v>
      </c>
      <c r="Q1" t="s">
        <v>315</v>
      </c>
      <c r="R1" t="s">
        <v>319</v>
      </c>
      <c r="S1" s="14" t="s">
        <v>320</v>
      </c>
      <c r="T1" s="14"/>
      <c r="U1" s="14" t="s">
        <v>321</v>
      </c>
      <c r="V1" s="14"/>
      <c r="AG1" t="s">
        <v>305</v>
      </c>
    </row>
    <row r="2" spans="1:33" x14ac:dyDescent="0.35">
      <c r="A2" t="str">
        <f>'US Raw Data'!A5</f>
        <v>1998-Q2</v>
      </c>
      <c r="B2" s="7">
        <f>'US Raw Data'!B5</f>
        <v>8969.6990000000005</v>
      </c>
      <c r="C2" s="7">
        <f>'US Raw Data'!C5</f>
        <v>1771.548</v>
      </c>
      <c r="D2" s="7">
        <f>'US Raw Data'!D5</f>
        <v>1781.9110000000001</v>
      </c>
      <c r="E2" s="7">
        <f>'US Raw Data'!E5</f>
        <v>367.64800000000002</v>
      </c>
      <c r="F2" s="7">
        <f>D2-E2</f>
        <v>1414.2629999999999</v>
      </c>
      <c r="G2" s="7">
        <f>'US Raw Data'!F5*(B2*4/100)</f>
        <v>22191.738550401598</v>
      </c>
      <c r="J2" s="7"/>
      <c r="K2" s="7"/>
      <c r="O2" s="10">
        <f>100*G2/(4*B2)</f>
        <v>61.851959999999998</v>
      </c>
      <c r="P2" t="s">
        <v>318</v>
      </c>
      <c r="Q2" t="s">
        <v>318</v>
      </c>
      <c r="R2" t="s">
        <v>318</v>
      </c>
      <c r="S2" t="s">
        <v>322</v>
      </c>
      <c r="T2" t="s">
        <v>323</v>
      </c>
      <c r="U2" s="13" t="s">
        <v>322</v>
      </c>
      <c r="V2" s="13" t="s">
        <v>323</v>
      </c>
      <c r="AG2" t="s">
        <v>306</v>
      </c>
    </row>
    <row r="3" spans="1:33" x14ac:dyDescent="0.35">
      <c r="A3" t="str">
        <f>'US Raw Data'!A6</f>
        <v>1998-Q3</v>
      </c>
      <c r="B3" s="7">
        <f>'US Raw Data'!B6</f>
        <v>9121.0969999999998</v>
      </c>
      <c r="C3" s="7">
        <f>'US Raw Data'!C6</f>
        <v>1808.4469999999999</v>
      </c>
      <c r="D3" s="7">
        <f>'US Raw Data'!D6</f>
        <v>1788.538</v>
      </c>
      <c r="E3" s="7">
        <f>'US Raw Data'!E6</f>
        <v>366.20400000000001</v>
      </c>
      <c r="F3" s="7">
        <f t="shared" ref="F3:F66" si="0">D3-E3</f>
        <v>1422.3340000000001</v>
      </c>
      <c r="G3" s="7">
        <f>'US Raw Data'!F6*(B3*4/100)</f>
        <v>22104.770618488401</v>
      </c>
      <c r="H3" s="7">
        <f>F3-C3+E3+G2</f>
        <v>22171.829550401599</v>
      </c>
      <c r="I3" s="7">
        <f>G3-H3</f>
        <v>-67.058931913197739</v>
      </c>
      <c r="J3" s="7">
        <f>F3-C3+E3+G2</f>
        <v>22171.829550401599</v>
      </c>
      <c r="K3" s="7">
        <f>F3-C3+E3+I3+G2</f>
        <v>22104.770618488401</v>
      </c>
      <c r="M3">
        <f>400*F3/(4*B2)</f>
        <v>15.857098437751366</v>
      </c>
      <c r="N3">
        <f>400*C3/(4*B2)</f>
        <v>20.161735639066592</v>
      </c>
      <c r="O3" s="10">
        <f>100*G3/(4*B3)</f>
        <v>60.586930000000009</v>
      </c>
      <c r="P3">
        <f>100*G3/(4*B2)</f>
        <v>61.609566325716173</v>
      </c>
      <c r="Q3">
        <f>400*E3/(4*B2)*(1/(O2/100))</f>
        <v>6.6007266473202542</v>
      </c>
      <c r="R3">
        <f>400*I3/(4*B2)</f>
        <v>-0.74761630142993352</v>
      </c>
      <c r="S3">
        <f>((1/4)*(M3-N3+R3)+(1+(Q3/400))*O2)</f>
        <v>61.60956632571618</v>
      </c>
      <c r="T3" s="10">
        <f>((1/4)*(M3-N3+R3)+(1+(Q3/400))*O2)*(B2/B3)</f>
        <v>60.586930000000017</v>
      </c>
      <c r="U3" s="18">
        <f>(1/4)*(M3-N3+R3)+(1+(Q3/400))*O2</f>
        <v>61.60956632571618</v>
      </c>
      <c r="V3" s="10">
        <f>U3*(B2/B3)</f>
        <v>60.586930000000017</v>
      </c>
    </row>
    <row r="4" spans="1:33" x14ac:dyDescent="0.35">
      <c r="A4" t="str">
        <f>'US Raw Data'!A7</f>
        <v>1998-Q4</v>
      </c>
      <c r="B4" s="7">
        <f>'US Raw Data'!B7</f>
        <v>9293.991</v>
      </c>
      <c r="C4" s="7">
        <f>'US Raw Data'!C7</f>
        <v>1835.085</v>
      </c>
      <c r="D4" s="7">
        <f>'US Raw Data'!D7</f>
        <v>1814.518</v>
      </c>
      <c r="E4" s="7">
        <f>'US Raw Data'!E7</f>
        <v>360.08800000000002</v>
      </c>
      <c r="F4" s="7">
        <f t="shared" si="0"/>
        <v>1454.43</v>
      </c>
      <c r="G4" s="7">
        <f>'US Raw Data'!F7*(B4*4/100)</f>
        <v>22456.869703094399</v>
      </c>
      <c r="H4" s="7">
        <f>F4-C4+E4+G3</f>
        <v>22084.203618488402</v>
      </c>
      <c r="I4" s="7">
        <f t="shared" ref="I4:I67" si="1">G4-H4</f>
        <v>372.66608460599673</v>
      </c>
      <c r="J4" s="7">
        <f t="shared" ref="J4:J67" si="2">F4-C4+E4+J3</f>
        <v>22151.2625504016</v>
      </c>
      <c r="K4" s="7">
        <f t="shared" ref="K4:K67" si="3">F4-C4+E4+I4+K3</f>
        <v>22456.869703094399</v>
      </c>
      <c r="M4">
        <f t="shared" ref="M4:M67" si="4">400*F4/(4*B3)</f>
        <v>15.945779328955718</v>
      </c>
      <c r="N4">
        <f t="shared" ref="N4:N67" si="5">400*C4/(4*B3)</f>
        <v>20.119126021793214</v>
      </c>
      <c r="O4" s="10">
        <f t="shared" ref="O4:O67" si="6">100*G4/(4*B4)</f>
        <v>60.406959999999998</v>
      </c>
      <c r="P4">
        <f t="shared" ref="P4:P67" si="7">100*G4/(4*B3)</f>
        <v>61.551997810938751</v>
      </c>
      <c r="Q4">
        <f t="shared" ref="Q4:Q67" si="8">400*E4/(4*B3)*(1/(O3/100))</f>
        <v>6.5160232823012949</v>
      </c>
      <c r="R4">
        <f t="shared" ref="R4:R67" si="9">400*I4/(4*B3)</f>
        <v>4.0857594717608716</v>
      </c>
      <c r="S4">
        <f t="shared" ref="S4:S67" si="10">((1/4)*(M4-N4+R4)+(1+(Q4/400))*O3)</f>
        <v>61.551997810938751</v>
      </c>
      <c r="T4" s="10">
        <f t="shared" ref="T4:T67" si="11">((1/4)*(M4-N4+R4)+(1+(Q4/400))*O3)*(B3/B4)</f>
        <v>60.406960000000005</v>
      </c>
      <c r="U4" s="18">
        <f>(1/4)*(M4-N4+R4)+(1+(Q4/400))*V3</f>
        <v>61.551997810938758</v>
      </c>
      <c r="V4" s="10">
        <f>U4*(B3/B4)</f>
        <v>60.406960000000012</v>
      </c>
    </row>
    <row r="5" spans="1:33" x14ac:dyDescent="0.35">
      <c r="A5" t="str">
        <f>'US Raw Data'!A8</f>
        <v>1999-Q1</v>
      </c>
      <c r="B5" s="7">
        <f>'US Raw Data'!B8</f>
        <v>9411.6820000000007</v>
      </c>
      <c r="C5" s="7">
        <f>'US Raw Data'!C8</f>
        <v>1860.002</v>
      </c>
      <c r="D5" s="7">
        <f>'US Raw Data'!D8</f>
        <v>1811.9880000000001</v>
      </c>
      <c r="E5" s="7">
        <f>'US Raw Data'!E8</f>
        <v>352.596</v>
      </c>
      <c r="F5" s="7">
        <f t="shared" si="0"/>
        <v>1459.3920000000001</v>
      </c>
      <c r="G5" s="7">
        <f>'US Raw Data'!F8*(B5*4/100)</f>
        <v>22606.461108683201</v>
      </c>
      <c r="H5" s="7">
        <f t="shared" ref="H5:H68" si="12">F5-C5+E5+G4</f>
        <v>22408.855703094399</v>
      </c>
      <c r="I5" s="7">
        <f t="shared" si="1"/>
        <v>197.60540558880166</v>
      </c>
      <c r="J5" s="7">
        <f t="shared" si="2"/>
        <v>22103.2485504016</v>
      </c>
      <c r="K5" s="7">
        <f t="shared" si="3"/>
        <v>22606.461108683201</v>
      </c>
      <c r="M5">
        <f t="shared" si="4"/>
        <v>15.702532959199123</v>
      </c>
      <c r="N5">
        <f t="shared" si="5"/>
        <v>20.012952454978706</v>
      </c>
      <c r="O5" s="10">
        <f t="shared" si="6"/>
        <v>60.048939999999995</v>
      </c>
      <c r="P5">
        <f t="shared" si="7"/>
        <v>60.809347428578313</v>
      </c>
      <c r="Q5">
        <f t="shared" si="8"/>
        <v>6.2804122687039454</v>
      </c>
      <c r="R5">
        <f t="shared" si="9"/>
        <v>2.126163083101777</v>
      </c>
      <c r="S5">
        <f t="shared" si="10"/>
        <v>60.809347428578313</v>
      </c>
      <c r="T5" s="10">
        <f t="shared" si="11"/>
        <v>60.048939999999995</v>
      </c>
      <c r="U5" s="18">
        <f t="shared" ref="U5:U68" si="13">(1/4)*(M5-N5+R5)+(1+(Q5/400))*V4</f>
        <v>60.809347428578327</v>
      </c>
      <c r="V5" s="10">
        <f>U5*(B4/B5)</f>
        <v>60.048940000000009</v>
      </c>
    </row>
    <row r="6" spans="1:33" x14ac:dyDescent="0.35">
      <c r="A6" t="str">
        <f>'US Raw Data'!A9</f>
        <v>1999-Q2</v>
      </c>
      <c r="B6" s="7">
        <f>'US Raw Data'!B9</f>
        <v>9526.2099999999991</v>
      </c>
      <c r="C6" s="7">
        <f>'US Raw Data'!C9</f>
        <v>1885.184</v>
      </c>
      <c r="D6" s="7">
        <f>'US Raw Data'!D9</f>
        <v>1816.961</v>
      </c>
      <c r="E6" s="7">
        <f>'US Raw Data'!E9</f>
        <v>352.14100000000002</v>
      </c>
      <c r="F6" s="7">
        <f t="shared" si="0"/>
        <v>1464.82</v>
      </c>
      <c r="G6" s="7">
        <f>'US Raw Data'!F9*(B6*4/100)</f>
        <v>22555.119775867999</v>
      </c>
      <c r="H6" s="7">
        <f t="shared" si="12"/>
        <v>22538.238108683199</v>
      </c>
      <c r="I6" s="7">
        <f t="shared" si="1"/>
        <v>16.88166718479988</v>
      </c>
      <c r="J6" s="7">
        <f t="shared" si="2"/>
        <v>22035.025550401599</v>
      </c>
      <c r="K6" s="7">
        <f t="shared" si="3"/>
        <v>22555.119775867999</v>
      </c>
      <c r="M6">
        <f t="shared" si="4"/>
        <v>15.563849267325436</v>
      </c>
      <c r="N6">
        <f t="shared" si="5"/>
        <v>20.030256015874738</v>
      </c>
      <c r="O6" s="10">
        <f t="shared" si="6"/>
        <v>59.192270000000001</v>
      </c>
      <c r="P6">
        <f t="shared" si="7"/>
        <v>59.912563386300121</v>
      </c>
      <c r="Q6">
        <f t="shared" si="8"/>
        <v>6.2308027480646526</v>
      </c>
      <c r="R6">
        <f t="shared" si="9"/>
        <v>0.179369290046135</v>
      </c>
      <c r="S6">
        <f t="shared" si="10"/>
        <v>59.912563386300135</v>
      </c>
      <c r="T6" s="10">
        <f t="shared" si="11"/>
        <v>59.192270000000015</v>
      </c>
      <c r="U6" s="18">
        <f t="shared" si="13"/>
        <v>59.91256338630015</v>
      </c>
      <c r="V6" s="10">
        <f t="shared" ref="V6:V69" si="14">U6*(B5/B6)</f>
        <v>59.192270000000029</v>
      </c>
    </row>
    <row r="7" spans="1:33" x14ac:dyDescent="0.35">
      <c r="A7" t="str">
        <f>'US Raw Data'!A10</f>
        <v>1999-Q3</v>
      </c>
      <c r="B7" s="7">
        <f>'US Raw Data'!B10</f>
        <v>9686.6260000000002</v>
      </c>
      <c r="C7" s="7">
        <f>'US Raw Data'!C10</f>
        <v>1914.8620000000001</v>
      </c>
      <c r="D7" s="7">
        <f>'US Raw Data'!D10</f>
        <v>1843.2049999999999</v>
      </c>
      <c r="E7" s="7">
        <f>'US Raw Data'!E10</f>
        <v>351.07299999999998</v>
      </c>
      <c r="F7" s="7">
        <f t="shared" si="0"/>
        <v>1492.1320000000001</v>
      </c>
      <c r="G7" s="7">
        <f>'US Raw Data'!F10*(B7*4/100)</f>
        <v>22625.0833454032</v>
      </c>
      <c r="H7" s="7">
        <f t="shared" si="12"/>
        <v>22483.462775868</v>
      </c>
      <c r="I7" s="7">
        <f t="shared" si="1"/>
        <v>141.62056953520005</v>
      </c>
      <c r="J7" s="7">
        <f t="shared" si="2"/>
        <v>21963.368550401599</v>
      </c>
      <c r="K7" s="7">
        <f t="shared" si="3"/>
        <v>22625.0833454032</v>
      </c>
      <c r="M7">
        <f t="shared" si="4"/>
        <v>15.663438030444429</v>
      </c>
      <c r="N7">
        <f t="shared" si="5"/>
        <v>20.10098454684497</v>
      </c>
      <c r="O7" s="10">
        <f t="shared" si="6"/>
        <v>58.392580000000002</v>
      </c>
      <c r="P7">
        <f t="shared" si="7"/>
        <v>59.375878091610417</v>
      </c>
      <c r="Q7">
        <f t="shared" si="8"/>
        <v>6.2260454121040363</v>
      </c>
      <c r="R7">
        <f t="shared" si="9"/>
        <v>1.486641272186946</v>
      </c>
      <c r="S7">
        <f t="shared" si="10"/>
        <v>59.37587809161041</v>
      </c>
      <c r="T7" s="10">
        <f t="shared" si="11"/>
        <v>58.392579999999995</v>
      </c>
      <c r="U7" s="18">
        <f t="shared" si="13"/>
        <v>59.375878091610439</v>
      </c>
      <c r="V7" s="10">
        <f t="shared" si="14"/>
        <v>58.392580000000024</v>
      </c>
    </row>
    <row r="8" spans="1:33" x14ac:dyDescent="0.35">
      <c r="A8" t="str">
        <f>'US Raw Data'!A11</f>
        <v>1999-Q4</v>
      </c>
      <c r="B8" s="7">
        <f>'US Raw Data'!B11</f>
        <v>9900.1689999999999</v>
      </c>
      <c r="C8" s="7">
        <f>'US Raw Data'!C11</f>
        <v>1963.7560000000001</v>
      </c>
      <c r="D8" s="7">
        <f>'US Raw Data'!D11</f>
        <v>1875.154</v>
      </c>
      <c r="E8" s="7">
        <f>'US Raw Data'!E11</f>
        <v>352.92500000000001</v>
      </c>
      <c r="F8" s="7">
        <f t="shared" si="0"/>
        <v>1522.229</v>
      </c>
      <c r="G8" s="7">
        <f>'US Raw Data'!F11*(B8*4/100)</f>
        <v>23104.364961113599</v>
      </c>
      <c r="H8" s="7">
        <f t="shared" si="12"/>
        <v>22536.481345403201</v>
      </c>
      <c r="I8" s="7">
        <f t="shared" si="1"/>
        <v>567.88361571039786</v>
      </c>
      <c r="J8" s="7">
        <f t="shared" si="2"/>
        <v>21874.7665504016</v>
      </c>
      <c r="K8" s="7">
        <f t="shared" si="3"/>
        <v>23104.364961113599</v>
      </c>
      <c r="M8">
        <f t="shared" si="4"/>
        <v>15.714749387454413</v>
      </c>
      <c r="N8">
        <f t="shared" si="5"/>
        <v>20.272858681650352</v>
      </c>
      <c r="O8" s="10">
        <f t="shared" si="6"/>
        <v>58.343359999999997</v>
      </c>
      <c r="P8">
        <f t="shared" si="7"/>
        <v>59.629547380877504</v>
      </c>
      <c r="Q8">
        <f t="shared" si="8"/>
        <v>6.2395350260082862</v>
      </c>
      <c r="R8">
        <f t="shared" si="9"/>
        <v>5.862553336016048</v>
      </c>
      <c r="S8">
        <f t="shared" si="10"/>
        <v>59.629547380877504</v>
      </c>
      <c r="T8" s="10">
        <f t="shared" si="11"/>
        <v>58.343359999999997</v>
      </c>
      <c r="U8" s="18">
        <f t="shared" si="13"/>
        <v>59.629547380877526</v>
      </c>
      <c r="V8" s="10">
        <f t="shared" si="14"/>
        <v>58.343360000000018</v>
      </c>
    </row>
    <row r="9" spans="1:33" x14ac:dyDescent="0.35">
      <c r="A9" t="str">
        <f>'US Raw Data'!A12</f>
        <v>2000-Q1</v>
      </c>
      <c r="B9" s="7">
        <f>'US Raw Data'!B12</f>
        <v>10002.179</v>
      </c>
      <c r="C9" s="7">
        <f>'US Raw Data'!C12</f>
        <v>2041.7639999999999</v>
      </c>
      <c r="D9" s="7">
        <f>'US Raw Data'!D12</f>
        <v>1866.308</v>
      </c>
      <c r="E9" s="7">
        <f>'US Raw Data'!E12</f>
        <v>354.822</v>
      </c>
      <c r="F9" s="7">
        <f t="shared" si="0"/>
        <v>1511.4859999999999</v>
      </c>
      <c r="G9" s="7">
        <f>'US Raw Data'!F12*(B9*4/100)</f>
        <v>23093.566991994398</v>
      </c>
      <c r="H9" s="7">
        <f t="shared" si="12"/>
        <v>22928.908961113601</v>
      </c>
      <c r="I9" s="7">
        <f t="shared" si="1"/>
        <v>164.65803088079701</v>
      </c>
      <c r="J9" s="7">
        <f t="shared" si="2"/>
        <v>21699.310550401602</v>
      </c>
      <c r="K9" s="7">
        <f t="shared" si="3"/>
        <v>23093.566991994398</v>
      </c>
      <c r="M9">
        <f t="shared" si="4"/>
        <v>15.267274730360661</v>
      </c>
      <c r="N9">
        <f t="shared" si="5"/>
        <v>20.623526729695222</v>
      </c>
      <c r="O9" s="10">
        <f t="shared" si="6"/>
        <v>57.721339999999998</v>
      </c>
      <c r="P9">
        <f t="shared" si="7"/>
        <v>58.316092866683384</v>
      </c>
      <c r="Q9">
        <f t="shared" si="8"/>
        <v>6.1429431295288541</v>
      </c>
      <c r="R9">
        <f t="shared" si="9"/>
        <v>1.6631840414117882</v>
      </c>
      <c r="S9">
        <f t="shared" si="10"/>
        <v>58.316092866683377</v>
      </c>
      <c r="T9" s="10">
        <f t="shared" si="11"/>
        <v>57.721339999999991</v>
      </c>
      <c r="U9" s="18">
        <f t="shared" si="13"/>
        <v>58.316092866683398</v>
      </c>
      <c r="V9" s="10">
        <f t="shared" si="14"/>
        <v>57.721340000000012</v>
      </c>
    </row>
    <row r="10" spans="1:33" x14ac:dyDescent="0.35">
      <c r="A10" t="str">
        <f>'US Raw Data'!A13</f>
        <v>2000-Q2</v>
      </c>
      <c r="B10" s="7">
        <f>'US Raw Data'!B13</f>
        <v>10247.719999999999</v>
      </c>
      <c r="C10" s="7">
        <f>'US Raw Data'!C13</f>
        <v>2056.279</v>
      </c>
      <c r="D10" s="7">
        <f>'US Raw Data'!D13</f>
        <v>1908.645</v>
      </c>
      <c r="E10" s="7">
        <f>'US Raw Data'!E13</f>
        <v>354.10899999999998</v>
      </c>
      <c r="F10" s="7">
        <f t="shared" si="0"/>
        <v>1554.5360000000001</v>
      </c>
      <c r="G10" s="7">
        <f>'US Raw Data'!F13*(B10*4/100)</f>
        <v>22743.752876208</v>
      </c>
      <c r="H10" s="7">
        <f t="shared" si="12"/>
        <v>22945.932991994399</v>
      </c>
      <c r="I10" s="7">
        <f t="shared" si="1"/>
        <v>-202.18011578639926</v>
      </c>
      <c r="J10" s="7">
        <f t="shared" si="2"/>
        <v>21551.676550401604</v>
      </c>
      <c r="K10" s="7">
        <f t="shared" si="3"/>
        <v>22743.752876208</v>
      </c>
      <c r="M10">
        <f t="shared" si="4"/>
        <v>15.54197340399527</v>
      </c>
      <c r="N10">
        <f t="shared" si="5"/>
        <v>20.558310344176004</v>
      </c>
      <c r="O10" s="10">
        <f t="shared" si="6"/>
        <v>55.484910000000006</v>
      </c>
      <c r="P10">
        <f t="shared" si="7"/>
        <v>56.846995230259331</v>
      </c>
      <c r="Q10">
        <f t="shared" si="8"/>
        <v>6.1334656551368649</v>
      </c>
      <c r="R10">
        <f t="shared" si="9"/>
        <v>-2.0213607033667289</v>
      </c>
      <c r="S10">
        <f t="shared" si="10"/>
        <v>56.846995230259324</v>
      </c>
      <c r="T10" s="10">
        <f t="shared" si="11"/>
        <v>55.484909999999999</v>
      </c>
      <c r="U10" s="18">
        <f t="shared" si="13"/>
        <v>56.846995230259338</v>
      </c>
      <c r="V10" s="10">
        <f t="shared" si="14"/>
        <v>55.484910000000013</v>
      </c>
    </row>
    <row r="11" spans="1:33" x14ac:dyDescent="0.35">
      <c r="A11" t="str">
        <f>'US Raw Data'!A14</f>
        <v>2000-Q3</v>
      </c>
      <c r="B11" s="7">
        <f>'US Raw Data'!B14</f>
        <v>10318.165000000001</v>
      </c>
      <c r="C11" s="7">
        <f>'US Raw Data'!C14</f>
        <v>2076.268</v>
      </c>
      <c r="D11" s="7">
        <f>'US Raw Data'!D14</f>
        <v>1918.617</v>
      </c>
      <c r="E11" s="7">
        <f>'US Raw Data'!E14</f>
        <v>352.87700000000001</v>
      </c>
      <c r="F11" s="7">
        <f t="shared" si="0"/>
        <v>1565.74</v>
      </c>
      <c r="G11" s="7">
        <f>'US Raw Data'!F14*(B11*4/100)</f>
        <v>22696.714841658002</v>
      </c>
      <c r="H11" s="7">
        <f t="shared" si="12"/>
        <v>22586.101876207998</v>
      </c>
      <c r="I11" s="7">
        <f t="shared" si="1"/>
        <v>110.61296545000368</v>
      </c>
      <c r="J11" s="7">
        <f t="shared" si="2"/>
        <v>21394.025550401602</v>
      </c>
      <c r="K11" s="7">
        <f t="shared" si="3"/>
        <v>22696.714841658002</v>
      </c>
      <c r="M11">
        <f t="shared" si="4"/>
        <v>15.278910821138751</v>
      </c>
      <c r="N11">
        <f t="shared" si="5"/>
        <v>20.260779958859143</v>
      </c>
      <c r="O11" s="10">
        <f t="shared" si="6"/>
        <v>54.992130000000003</v>
      </c>
      <c r="P11">
        <f t="shared" si="7"/>
        <v>55.370157561042859</v>
      </c>
      <c r="Q11">
        <f t="shared" si="8"/>
        <v>6.2061349667431696</v>
      </c>
      <c r="R11">
        <f t="shared" si="9"/>
        <v>1.0793909811158355</v>
      </c>
      <c r="S11">
        <f t="shared" si="10"/>
        <v>55.370157561042866</v>
      </c>
      <c r="T11" s="10">
        <f t="shared" si="11"/>
        <v>54.99213000000001</v>
      </c>
      <c r="U11" s="18">
        <f t="shared" si="13"/>
        <v>55.370157561042873</v>
      </c>
      <c r="V11" s="10">
        <f t="shared" si="14"/>
        <v>54.992130000000017</v>
      </c>
    </row>
    <row r="12" spans="1:33" x14ac:dyDescent="0.35">
      <c r="A12" t="str">
        <f>'US Raw Data'!A15</f>
        <v>2000-Q4</v>
      </c>
      <c r="B12" s="7">
        <f>'US Raw Data'!B15</f>
        <v>10435.744000000001</v>
      </c>
      <c r="C12" s="7">
        <f>'US Raw Data'!C15</f>
        <v>2096.7959999999998</v>
      </c>
      <c r="D12" s="7">
        <f>'US Raw Data'!D15</f>
        <v>1938.796</v>
      </c>
      <c r="E12" s="7">
        <f>'US Raw Data'!E15</f>
        <v>353.10500000000002</v>
      </c>
      <c r="F12" s="7">
        <f t="shared" si="0"/>
        <v>1585.691</v>
      </c>
      <c r="G12" s="7">
        <f>'US Raw Data'!F15*(B12*4/100)</f>
        <v>22648.862175104001</v>
      </c>
      <c r="H12" s="7">
        <f t="shared" si="12"/>
        <v>22538.714841658002</v>
      </c>
      <c r="I12" s="7">
        <f t="shared" si="1"/>
        <v>110.14733344599881</v>
      </c>
      <c r="J12" s="7">
        <f t="shared" si="2"/>
        <v>21236.025550401602</v>
      </c>
      <c r="K12" s="7">
        <f t="shared" si="3"/>
        <v>22648.862175104001</v>
      </c>
      <c r="M12">
        <f t="shared" si="4"/>
        <v>15.367955445566144</v>
      </c>
      <c r="N12">
        <f t="shared" si="5"/>
        <v>20.32140404810351</v>
      </c>
      <c r="O12" s="10">
        <f t="shared" si="6"/>
        <v>54.257899999999992</v>
      </c>
      <c r="P12">
        <f t="shared" si="7"/>
        <v>54.876187226856707</v>
      </c>
      <c r="Q12">
        <f t="shared" si="8"/>
        <v>6.2230151361271728</v>
      </c>
      <c r="R12">
        <f t="shared" si="9"/>
        <v>1.0675089363854795</v>
      </c>
      <c r="S12">
        <f t="shared" si="10"/>
        <v>54.876187226856707</v>
      </c>
      <c r="T12" s="10">
        <f t="shared" si="11"/>
        <v>54.257899999999999</v>
      </c>
      <c r="U12" s="18">
        <f t="shared" si="13"/>
        <v>54.876187226856722</v>
      </c>
      <c r="V12" s="10">
        <f t="shared" si="14"/>
        <v>54.257900000000014</v>
      </c>
    </row>
    <row r="13" spans="1:33" x14ac:dyDescent="0.35">
      <c r="A13" t="str">
        <f>'US Raw Data'!A16</f>
        <v>2001-Q1</v>
      </c>
      <c r="B13" s="7">
        <f>'US Raw Data'!B16</f>
        <v>10470.231</v>
      </c>
      <c r="C13" s="7">
        <f>'US Raw Data'!C16</f>
        <v>2111.058</v>
      </c>
      <c r="D13" s="7">
        <f>'US Raw Data'!D16</f>
        <v>1982.626</v>
      </c>
      <c r="E13" s="7">
        <f>'US Raw Data'!E16</f>
        <v>345.47899999999998</v>
      </c>
      <c r="F13" s="7">
        <f t="shared" si="0"/>
        <v>1637.1469999999999</v>
      </c>
      <c r="G13" s="7">
        <f>'US Raw Data'!F16*(B13*4/100)</f>
        <v>23094.9591257016</v>
      </c>
      <c r="H13" s="7">
        <f t="shared" si="12"/>
        <v>22520.430175104</v>
      </c>
      <c r="I13" s="7">
        <f t="shared" si="1"/>
        <v>574.52895059759976</v>
      </c>
      <c r="J13" s="7">
        <f t="shared" si="2"/>
        <v>21107.593550401602</v>
      </c>
      <c r="K13" s="7">
        <f t="shared" si="3"/>
        <v>23094.9591257016</v>
      </c>
      <c r="M13">
        <f t="shared" si="4"/>
        <v>15.687880039985647</v>
      </c>
      <c r="N13">
        <f t="shared" si="5"/>
        <v>20.229108724782822</v>
      </c>
      <c r="O13" s="10">
        <f t="shared" si="6"/>
        <v>55.14434</v>
      </c>
      <c r="P13">
        <f t="shared" si="7"/>
        <v>55.326575483505529</v>
      </c>
      <c r="Q13">
        <f t="shared" si="8"/>
        <v>6.1014809014071565</v>
      </c>
      <c r="R13">
        <f t="shared" si="9"/>
        <v>5.5053952128147232</v>
      </c>
      <c r="S13">
        <f t="shared" si="10"/>
        <v>55.326575483505536</v>
      </c>
      <c r="T13" s="10">
        <f t="shared" si="11"/>
        <v>55.144340000000007</v>
      </c>
      <c r="U13" s="18">
        <f t="shared" si="13"/>
        <v>55.326575483505557</v>
      </c>
      <c r="V13" s="10">
        <f t="shared" si="14"/>
        <v>55.144340000000028</v>
      </c>
    </row>
    <row r="14" spans="1:33" x14ac:dyDescent="0.35">
      <c r="A14" t="str">
        <f>'US Raw Data'!A17</f>
        <v>2001-Q2</v>
      </c>
      <c r="B14" s="7">
        <f>'US Raw Data'!B17</f>
        <v>10599</v>
      </c>
      <c r="C14" s="7">
        <f>'US Raw Data'!C17</f>
        <v>2098.3589999999999</v>
      </c>
      <c r="D14" s="7">
        <f>'US Raw Data'!D17</f>
        <v>2003.5809999999999</v>
      </c>
      <c r="E14" s="7">
        <f>'US Raw Data'!E17</f>
        <v>334.77600000000001</v>
      </c>
      <c r="F14" s="7">
        <f t="shared" si="0"/>
        <v>1668.8049999999998</v>
      </c>
      <c r="G14" s="7">
        <f>'US Raw Data'!F17*(B14*4/100)</f>
        <v>22907.258333999998</v>
      </c>
      <c r="H14" s="7">
        <f t="shared" si="12"/>
        <v>23000.181125701602</v>
      </c>
      <c r="I14" s="7">
        <f t="shared" si="1"/>
        <v>-92.922791701603273</v>
      </c>
      <c r="J14" s="7">
        <f t="shared" si="2"/>
        <v>21012.815550401603</v>
      </c>
      <c r="K14" s="7">
        <f t="shared" si="3"/>
        <v>22907.258333999998</v>
      </c>
      <c r="M14">
        <f t="shared" si="4"/>
        <v>15.938569072640325</v>
      </c>
      <c r="N14">
        <f t="shared" si="5"/>
        <v>20.041191068277289</v>
      </c>
      <c r="O14" s="10">
        <f t="shared" si="6"/>
        <v>54.031649999999999</v>
      </c>
      <c r="P14">
        <f t="shared" si="7"/>
        <v>54.696162706438855</v>
      </c>
      <c r="Q14">
        <f t="shared" si="8"/>
        <v>5.798252305672003</v>
      </c>
      <c r="R14">
        <f t="shared" si="9"/>
        <v>-0.88749514410525687</v>
      </c>
      <c r="S14">
        <f t="shared" si="10"/>
        <v>54.696162706438848</v>
      </c>
      <c r="T14" s="10">
        <f t="shared" si="11"/>
        <v>54.031649999999992</v>
      </c>
      <c r="U14" s="18">
        <f t="shared" si="13"/>
        <v>54.696162706438876</v>
      </c>
      <c r="V14" s="10">
        <f t="shared" si="14"/>
        <v>54.03165000000002</v>
      </c>
    </row>
    <row r="15" spans="1:33" x14ac:dyDescent="0.35">
      <c r="A15" t="str">
        <f>'US Raw Data'!A18</f>
        <v>2001-Q3</v>
      </c>
      <c r="B15" s="7">
        <f>'US Raw Data'!B18</f>
        <v>10598.02</v>
      </c>
      <c r="C15" s="7">
        <f>'US Raw Data'!C18</f>
        <v>1907.6790000000001</v>
      </c>
      <c r="D15" s="7">
        <f>'US Raw Data'!D18</f>
        <v>2037.703</v>
      </c>
      <c r="E15" s="7">
        <f>'US Raw Data'!E18</f>
        <v>326.82600000000002</v>
      </c>
      <c r="F15" s="7">
        <f t="shared" si="0"/>
        <v>1710.877</v>
      </c>
      <c r="G15" s="7">
        <f>'US Raw Data'!F18*(B15*4/100)</f>
        <v>23229.855147704002</v>
      </c>
      <c r="H15" s="7">
        <f t="shared" si="12"/>
        <v>23037.282334</v>
      </c>
      <c r="I15" s="7">
        <f t="shared" si="1"/>
        <v>192.57281370400233</v>
      </c>
      <c r="J15" s="7">
        <f t="shared" si="2"/>
        <v>21142.839550401604</v>
      </c>
      <c r="K15" s="7">
        <f t="shared" si="3"/>
        <v>23229.855147704002</v>
      </c>
      <c r="M15">
        <f t="shared" si="4"/>
        <v>16.14187187470516</v>
      </c>
      <c r="N15">
        <f t="shared" si="5"/>
        <v>17.998669685819419</v>
      </c>
      <c r="O15" s="10">
        <f t="shared" si="6"/>
        <v>54.797630000000005</v>
      </c>
      <c r="P15">
        <f t="shared" si="7"/>
        <v>54.792563326030766</v>
      </c>
      <c r="Q15">
        <f t="shared" si="8"/>
        <v>5.7069422317538532</v>
      </c>
      <c r="R15">
        <f t="shared" si="9"/>
        <v>1.8168960628738779</v>
      </c>
      <c r="S15">
        <f t="shared" si="10"/>
        <v>54.792563326030766</v>
      </c>
      <c r="T15" s="10">
        <f t="shared" si="11"/>
        <v>54.797630000000005</v>
      </c>
      <c r="U15" s="18">
        <f t="shared" si="13"/>
        <v>54.792563326030788</v>
      </c>
      <c r="V15" s="10">
        <f t="shared" si="14"/>
        <v>54.797630000000026</v>
      </c>
    </row>
    <row r="16" spans="1:33" x14ac:dyDescent="0.35">
      <c r="A16" t="str">
        <f>'US Raw Data'!A19</f>
        <v>2001-Q4</v>
      </c>
      <c r="B16" s="7">
        <f>'US Raw Data'!B19</f>
        <v>10660.465</v>
      </c>
      <c r="C16" s="7">
        <f>'US Raw Data'!C19</f>
        <v>2012.375</v>
      </c>
      <c r="D16" s="7">
        <f>'US Raw Data'!D19</f>
        <v>2045.404</v>
      </c>
      <c r="E16" s="7">
        <f>'US Raw Data'!E19</f>
        <v>317.82100000000003</v>
      </c>
      <c r="F16" s="7">
        <f t="shared" si="0"/>
        <v>1727.5830000000001</v>
      </c>
      <c r="G16" s="7">
        <f>'US Raw Data'!F19*(B16*4/100)</f>
        <v>23773.758014176005</v>
      </c>
      <c r="H16" s="7">
        <f t="shared" si="12"/>
        <v>23262.884147704</v>
      </c>
      <c r="I16" s="7">
        <f t="shared" si="1"/>
        <v>510.87386647200401</v>
      </c>
      <c r="J16" s="7">
        <f t="shared" si="2"/>
        <v>21175.868550401603</v>
      </c>
      <c r="K16" s="7">
        <f t="shared" si="3"/>
        <v>23773.758014176005</v>
      </c>
      <c r="M16">
        <f t="shared" si="4"/>
        <v>16.300997733538907</v>
      </c>
      <c r="N16">
        <f t="shared" si="5"/>
        <v>18.988216666886832</v>
      </c>
      <c r="O16" s="10">
        <f t="shared" si="6"/>
        <v>55.752160000000011</v>
      </c>
      <c r="P16">
        <f t="shared" si="7"/>
        <v>56.080659439631184</v>
      </c>
      <c r="Q16">
        <f t="shared" si="8"/>
        <v>5.4726299062852801</v>
      </c>
      <c r="R16">
        <f t="shared" si="9"/>
        <v>4.8204652045571157</v>
      </c>
      <c r="S16">
        <f t="shared" si="10"/>
        <v>56.080659439631198</v>
      </c>
      <c r="T16" s="10">
        <f t="shared" si="11"/>
        <v>55.752160000000018</v>
      </c>
      <c r="U16" s="18">
        <f t="shared" si="13"/>
        <v>56.080659439631219</v>
      </c>
      <c r="V16" s="10">
        <f t="shared" si="14"/>
        <v>55.752160000000039</v>
      </c>
    </row>
    <row r="17" spans="1:22" x14ac:dyDescent="0.35">
      <c r="A17" t="str">
        <f>'US Raw Data'!A20</f>
        <v>2002-Q1</v>
      </c>
      <c r="B17" s="7">
        <f>'US Raw Data'!B20</f>
        <v>10783.5</v>
      </c>
      <c r="C17" s="7">
        <f>'US Raw Data'!C20</f>
        <v>1865.6369999999999</v>
      </c>
      <c r="D17" s="7">
        <f>'US Raw Data'!D20</f>
        <v>2091.4690000000001</v>
      </c>
      <c r="E17" s="7">
        <f>'US Raw Data'!E20</f>
        <v>304.93099999999998</v>
      </c>
      <c r="F17" s="7">
        <f t="shared" si="0"/>
        <v>1786.538</v>
      </c>
      <c r="G17" s="7">
        <f>'US Raw Data'!F20*(B17*4/100)</f>
        <v>24024.12831</v>
      </c>
      <c r="H17" s="7">
        <f t="shared" si="12"/>
        <v>23999.590014176003</v>
      </c>
      <c r="I17" s="7">
        <f t="shared" si="1"/>
        <v>24.538295823997032</v>
      </c>
      <c r="J17" s="7">
        <f t="shared" si="2"/>
        <v>21401.700550401602</v>
      </c>
      <c r="K17" s="7">
        <f t="shared" si="3"/>
        <v>24024.12831</v>
      </c>
      <c r="M17">
        <f t="shared" si="4"/>
        <v>16.75853726830865</v>
      </c>
      <c r="N17">
        <f t="shared" si="5"/>
        <v>17.500521787745654</v>
      </c>
      <c r="O17" s="10">
        <f t="shared" si="6"/>
        <v>55.696500000000007</v>
      </c>
      <c r="P17">
        <f t="shared" si="7"/>
        <v>56.33930675162857</v>
      </c>
      <c r="Q17">
        <f t="shared" si="8"/>
        <v>5.1305477210321291</v>
      </c>
      <c r="R17">
        <f t="shared" si="9"/>
        <v>0.2301803516450458</v>
      </c>
      <c r="S17">
        <f t="shared" si="10"/>
        <v>56.33930675162857</v>
      </c>
      <c r="T17" s="10">
        <f t="shared" si="11"/>
        <v>55.696500000000007</v>
      </c>
      <c r="U17" s="18">
        <f t="shared" si="13"/>
        <v>56.339306751628598</v>
      </c>
      <c r="V17" s="10">
        <f t="shared" si="14"/>
        <v>55.696500000000036</v>
      </c>
    </row>
    <row r="18" spans="1:22" x14ac:dyDescent="0.35">
      <c r="A18" t="str">
        <f>'US Raw Data'!A21</f>
        <v>2002-Q2</v>
      </c>
      <c r="B18" s="7">
        <f>'US Raw Data'!B21</f>
        <v>10887.46</v>
      </c>
      <c r="C18" s="7">
        <f>'US Raw Data'!C21</f>
        <v>1868.0319999999999</v>
      </c>
      <c r="D18" s="7">
        <f>'US Raw Data'!D21</f>
        <v>2130.1860000000001</v>
      </c>
      <c r="E18" s="7">
        <f>'US Raw Data'!E21</f>
        <v>301.95800000000003</v>
      </c>
      <c r="F18" s="7">
        <f t="shared" si="0"/>
        <v>1828.2280000000001</v>
      </c>
      <c r="G18" s="7">
        <f>'US Raw Data'!F21*(B18*4/100)</f>
        <v>24505.873851607997</v>
      </c>
      <c r="H18" s="7">
        <f t="shared" si="12"/>
        <v>24286.282309999999</v>
      </c>
      <c r="I18" s="7">
        <f t="shared" si="1"/>
        <v>219.59154160799881</v>
      </c>
      <c r="J18" s="7">
        <f t="shared" si="2"/>
        <v>21663.8545504016</v>
      </c>
      <c r="K18" s="7">
        <f t="shared" si="3"/>
        <v>24505.873851607997</v>
      </c>
      <c r="M18">
        <f t="shared" si="4"/>
        <v>16.953938888116106</v>
      </c>
      <c r="N18">
        <f t="shared" si="5"/>
        <v>17.323058376222932</v>
      </c>
      <c r="O18" s="10">
        <f t="shared" si="6"/>
        <v>56.270869999999995</v>
      </c>
      <c r="P18">
        <f t="shared" si="7"/>
        <v>56.813358027560618</v>
      </c>
      <c r="Q18">
        <f t="shared" si="8"/>
        <v>5.0275788757640054</v>
      </c>
      <c r="R18">
        <f t="shared" si="9"/>
        <v>2.0363661298094202</v>
      </c>
      <c r="S18">
        <f t="shared" si="10"/>
        <v>56.813358027560632</v>
      </c>
      <c r="T18" s="10">
        <f t="shared" si="11"/>
        <v>56.270870000000009</v>
      </c>
      <c r="U18" s="18">
        <f t="shared" si="13"/>
        <v>56.81335802756066</v>
      </c>
      <c r="V18" s="10">
        <f t="shared" si="14"/>
        <v>56.270870000000038</v>
      </c>
    </row>
    <row r="19" spans="1:22" x14ac:dyDescent="0.35">
      <c r="A19" t="str">
        <f>'US Raw Data'!A22</f>
        <v>2002-Q3</v>
      </c>
      <c r="B19" s="7">
        <f>'US Raw Data'!B22</f>
        <v>10984.04</v>
      </c>
      <c r="C19" s="7">
        <f>'US Raw Data'!C22</f>
        <v>1869.778</v>
      </c>
      <c r="D19" s="7">
        <f>'US Raw Data'!D22</f>
        <v>2148.4470000000001</v>
      </c>
      <c r="E19" s="7">
        <f>'US Raw Data'!E22</f>
        <v>300.19</v>
      </c>
      <c r="F19" s="7">
        <f t="shared" si="0"/>
        <v>1848.2570000000001</v>
      </c>
      <c r="G19" s="7">
        <f>'US Raw Data'!F22*(B19*4/100)</f>
        <v>24912.94506016</v>
      </c>
      <c r="H19" s="7">
        <f t="shared" si="12"/>
        <v>24784.542851607999</v>
      </c>
      <c r="I19" s="7">
        <f t="shared" si="1"/>
        <v>128.40220855200096</v>
      </c>
      <c r="J19" s="7">
        <f t="shared" si="2"/>
        <v>21942.523550401602</v>
      </c>
      <c r="K19" s="7">
        <f t="shared" si="3"/>
        <v>24912.94506016</v>
      </c>
      <c r="M19">
        <f t="shared" si="4"/>
        <v>16.976016444606916</v>
      </c>
      <c r="N19">
        <f t="shared" si="5"/>
        <v>17.173684220194609</v>
      </c>
      <c r="O19" s="10">
        <f t="shared" si="6"/>
        <v>56.702599999999997</v>
      </c>
      <c r="P19">
        <f t="shared" si="7"/>
        <v>57.205594923333827</v>
      </c>
      <c r="Q19">
        <f t="shared" si="8"/>
        <v>4.8998864813841765</v>
      </c>
      <c r="R19">
        <f t="shared" si="9"/>
        <v>1.179358716835708</v>
      </c>
      <c r="S19">
        <f t="shared" si="10"/>
        <v>57.20559492333382</v>
      </c>
      <c r="T19" s="10">
        <f t="shared" si="11"/>
        <v>56.702599999999997</v>
      </c>
      <c r="U19" s="18">
        <f t="shared" si="13"/>
        <v>57.205594923333862</v>
      </c>
      <c r="V19" s="10">
        <f t="shared" si="14"/>
        <v>56.702600000000039</v>
      </c>
    </row>
    <row r="20" spans="1:22" x14ac:dyDescent="0.35">
      <c r="A20" t="str">
        <f>'US Raw Data'!A23</f>
        <v>2002-Q4</v>
      </c>
      <c r="B20" s="7">
        <f>'US Raw Data'!B23</f>
        <v>11061.433000000001</v>
      </c>
      <c r="C20" s="7">
        <f>'US Raw Data'!C23</f>
        <v>1880.098</v>
      </c>
      <c r="D20" s="7">
        <f>'US Raw Data'!D23</f>
        <v>2184.6970000000001</v>
      </c>
      <c r="E20" s="7">
        <f>'US Raw Data'!E23</f>
        <v>298.00599999999997</v>
      </c>
      <c r="F20" s="7">
        <f t="shared" si="0"/>
        <v>1886.6910000000003</v>
      </c>
      <c r="G20" s="7">
        <f>'US Raw Data'!F23*(B20*4/100)</f>
        <v>25622.827289249602</v>
      </c>
      <c r="H20" s="7">
        <f t="shared" si="12"/>
        <v>25217.544060160002</v>
      </c>
      <c r="I20" s="7">
        <f t="shared" si="1"/>
        <v>405.28322908960035</v>
      </c>
      <c r="J20" s="7">
        <f t="shared" si="2"/>
        <v>22247.122550401604</v>
      </c>
      <c r="K20" s="7">
        <f t="shared" si="3"/>
        <v>25622.827289249602</v>
      </c>
      <c r="M20">
        <f t="shared" si="4"/>
        <v>17.176658133073079</v>
      </c>
      <c r="N20">
        <f t="shared" si="5"/>
        <v>17.116634680864234</v>
      </c>
      <c r="O20" s="10">
        <f t="shared" si="6"/>
        <v>57.91028</v>
      </c>
      <c r="P20">
        <f t="shared" si="7"/>
        <v>58.318312955091208</v>
      </c>
      <c r="Q20">
        <f t="shared" si="8"/>
        <v>4.7847574709513063</v>
      </c>
      <c r="R20">
        <f t="shared" si="9"/>
        <v>3.6897464784323466</v>
      </c>
      <c r="S20">
        <f t="shared" si="10"/>
        <v>58.318312955091194</v>
      </c>
      <c r="T20" s="10">
        <f t="shared" si="11"/>
        <v>57.910279999999986</v>
      </c>
      <c r="U20" s="18">
        <f t="shared" si="13"/>
        <v>58.318312955091237</v>
      </c>
      <c r="V20" s="10">
        <f t="shared" si="14"/>
        <v>57.910280000000029</v>
      </c>
    </row>
    <row r="21" spans="1:22" x14ac:dyDescent="0.35">
      <c r="A21" t="str">
        <f>'US Raw Data'!A24</f>
        <v>2003-Q1</v>
      </c>
      <c r="B21" s="7">
        <f>'US Raw Data'!B24</f>
        <v>11174.129000000001</v>
      </c>
      <c r="C21" s="7">
        <f>'US Raw Data'!C24</f>
        <v>1889.816</v>
      </c>
      <c r="D21" s="7">
        <f>'US Raw Data'!D24</f>
        <v>2220.2620000000002</v>
      </c>
      <c r="E21" s="7">
        <f>'US Raw Data'!E24</f>
        <v>290.79399999999998</v>
      </c>
      <c r="F21" s="7">
        <f t="shared" si="0"/>
        <v>1929.4680000000003</v>
      </c>
      <c r="G21" s="7">
        <f>'US Raw Data'!F24*(B21*4/100)</f>
        <v>25843.105403949601</v>
      </c>
      <c r="H21" s="7">
        <f t="shared" si="12"/>
        <v>25953.273289249602</v>
      </c>
      <c r="I21" s="7">
        <f t="shared" si="1"/>
        <v>-110.16788530000122</v>
      </c>
      <c r="J21" s="7">
        <f t="shared" si="2"/>
        <v>22577.568550401604</v>
      </c>
      <c r="K21" s="7">
        <f t="shared" si="3"/>
        <v>25843.105403949601</v>
      </c>
      <c r="M21">
        <f t="shared" si="4"/>
        <v>17.443201075303715</v>
      </c>
      <c r="N21">
        <f t="shared" si="5"/>
        <v>17.084730341900546</v>
      </c>
      <c r="O21" s="10">
        <f t="shared" si="6"/>
        <v>57.819059999999993</v>
      </c>
      <c r="P21">
        <f t="shared" si="7"/>
        <v>58.408131667817358</v>
      </c>
      <c r="Q21">
        <f t="shared" si="8"/>
        <v>4.539608322177723</v>
      </c>
      <c r="R21">
        <f t="shared" si="9"/>
        <v>-0.99596395241015523</v>
      </c>
      <c r="S21">
        <f t="shared" si="10"/>
        <v>58.408131667817358</v>
      </c>
      <c r="T21" s="10">
        <f t="shared" si="11"/>
        <v>57.819059999999993</v>
      </c>
      <c r="U21" s="18">
        <f t="shared" si="13"/>
        <v>58.408131667817386</v>
      </c>
      <c r="V21" s="10">
        <f t="shared" si="14"/>
        <v>57.819060000000022</v>
      </c>
    </row>
    <row r="22" spans="1:22" x14ac:dyDescent="0.35">
      <c r="A22" t="str">
        <f>'US Raw Data'!A25</f>
        <v>2003-Q2</v>
      </c>
      <c r="B22" s="7">
        <f>'US Raw Data'!B25</f>
        <v>11312.766</v>
      </c>
      <c r="C22" s="7">
        <f>'US Raw Data'!C25</f>
        <v>1912.664</v>
      </c>
      <c r="D22" s="7">
        <f>'US Raw Data'!D25</f>
        <v>2299.9189999999999</v>
      </c>
      <c r="E22" s="7">
        <f>'US Raw Data'!E25</f>
        <v>290.322</v>
      </c>
      <c r="F22" s="7">
        <f t="shared" si="0"/>
        <v>2009.5969999999998</v>
      </c>
      <c r="G22" s="7">
        <f>'US Raw Data'!F25*(B22*4/100)</f>
        <v>26680.484370146398</v>
      </c>
      <c r="H22" s="7">
        <f t="shared" si="12"/>
        <v>26230.360403949602</v>
      </c>
      <c r="I22" s="7">
        <f t="shared" si="1"/>
        <v>450.12396619679566</v>
      </c>
      <c r="J22" s="7">
        <f t="shared" si="2"/>
        <v>22964.823550401605</v>
      </c>
      <c r="K22" s="7">
        <f t="shared" si="3"/>
        <v>26680.484370146398</v>
      </c>
      <c r="M22">
        <f t="shared" si="4"/>
        <v>17.984372652221928</v>
      </c>
      <c r="N22">
        <f t="shared" si="5"/>
        <v>17.116895643499372</v>
      </c>
      <c r="O22" s="10">
        <f t="shared" si="6"/>
        <v>58.961010000000002</v>
      </c>
      <c r="P22">
        <f t="shared" si="7"/>
        <v>59.692537042812006</v>
      </c>
      <c r="Q22">
        <f t="shared" si="8"/>
        <v>4.4936085731497295</v>
      </c>
      <c r="R22">
        <f t="shared" si="9"/>
        <v>4.0282689254508846</v>
      </c>
      <c r="S22">
        <f t="shared" si="10"/>
        <v>59.692537042811999</v>
      </c>
      <c r="T22" s="10">
        <f t="shared" si="11"/>
        <v>58.961009999999987</v>
      </c>
      <c r="U22" s="18">
        <f t="shared" si="13"/>
        <v>59.692537042812027</v>
      </c>
      <c r="V22" s="10">
        <f t="shared" si="14"/>
        <v>58.961010000000016</v>
      </c>
    </row>
    <row r="23" spans="1:22" x14ac:dyDescent="0.35">
      <c r="A23" t="str">
        <f>'US Raw Data'!A26</f>
        <v>2003-Q3</v>
      </c>
      <c r="B23" s="7">
        <f>'US Raw Data'!B26</f>
        <v>11566.669</v>
      </c>
      <c r="C23" s="7">
        <f>'US Raw Data'!C26</f>
        <v>1840.1859999999999</v>
      </c>
      <c r="D23" s="7">
        <f>'US Raw Data'!D26</f>
        <v>2309.6219999999998</v>
      </c>
      <c r="E23" s="7">
        <f>'US Raw Data'!E26</f>
        <v>291.65899999999999</v>
      </c>
      <c r="F23" s="7">
        <f t="shared" si="0"/>
        <v>2017.9629999999997</v>
      </c>
      <c r="G23" s="7">
        <f>'US Raw Data'!F26*(B23*4/100)</f>
        <v>27133.2818335716</v>
      </c>
      <c r="H23" s="7">
        <f t="shared" si="12"/>
        <v>27149.920370146399</v>
      </c>
      <c r="I23" s="7">
        <f t="shared" si="1"/>
        <v>-16.638536574799218</v>
      </c>
      <c r="J23" s="7">
        <f t="shared" si="2"/>
        <v>23434.259550401606</v>
      </c>
      <c r="K23" s="7">
        <f t="shared" si="3"/>
        <v>27133.2818335716</v>
      </c>
      <c r="M23">
        <f t="shared" si="4"/>
        <v>17.837927523648947</v>
      </c>
      <c r="N23">
        <f t="shared" si="5"/>
        <v>16.266455082691536</v>
      </c>
      <c r="O23" s="10">
        <f t="shared" si="6"/>
        <v>58.645410000000005</v>
      </c>
      <c r="P23">
        <f t="shared" si="7"/>
        <v>59.961643849018891</v>
      </c>
      <c r="Q23">
        <f t="shared" si="8"/>
        <v>4.3726192666328956</v>
      </c>
      <c r="R23">
        <f t="shared" si="9"/>
        <v>-0.14707752794320345</v>
      </c>
      <c r="S23">
        <f t="shared" si="10"/>
        <v>59.961643849018884</v>
      </c>
      <c r="T23" s="10">
        <f t="shared" si="11"/>
        <v>58.645409999999998</v>
      </c>
      <c r="U23" s="18">
        <f t="shared" si="13"/>
        <v>59.961643849018898</v>
      </c>
      <c r="V23" s="10">
        <f t="shared" si="14"/>
        <v>58.645410000000012</v>
      </c>
    </row>
    <row r="24" spans="1:22" x14ac:dyDescent="0.35">
      <c r="A24" t="str">
        <f>'US Raw Data'!A27</f>
        <v>2003-Q4</v>
      </c>
      <c r="B24" s="7">
        <f>'US Raw Data'!B27</f>
        <v>11772.234</v>
      </c>
      <c r="C24" s="7">
        <f>'US Raw Data'!C27</f>
        <v>1941.796</v>
      </c>
      <c r="D24" s="7">
        <f>'US Raw Data'!D27</f>
        <v>2344.1799999999998</v>
      </c>
      <c r="E24" s="7">
        <f>'US Raw Data'!E27</f>
        <v>294.108</v>
      </c>
      <c r="F24" s="7">
        <f t="shared" si="0"/>
        <v>2050.0719999999997</v>
      </c>
      <c r="G24" s="7">
        <f>'US Raw Data'!F27*(B24*4/100)</f>
        <v>27991.857902817599</v>
      </c>
      <c r="H24" s="7">
        <f t="shared" si="12"/>
        <v>27535.665833571598</v>
      </c>
      <c r="I24" s="7">
        <f t="shared" si="1"/>
        <v>456.19206924600076</v>
      </c>
      <c r="J24" s="7">
        <f t="shared" si="2"/>
        <v>23836.643550401604</v>
      </c>
      <c r="K24" s="7">
        <f t="shared" si="3"/>
        <v>27991.857902817599</v>
      </c>
      <c r="M24">
        <f t="shared" si="4"/>
        <v>17.723961842428444</v>
      </c>
      <c r="N24">
        <f t="shared" si="5"/>
        <v>16.787858284870087</v>
      </c>
      <c r="O24" s="10">
        <f t="shared" si="6"/>
        <v>59.444659999999999</v>
      </c>
      <c r="P24">
        <f t="shared" si="7"/>
        <v>60.501121590878064</v>
      </c>
      <c r="Q24">
        <f t="shared" si="8"/>
        <v>4.3357527011141652</v>
      </c>
      <c r="R24">
        <f t="shared" si="9"/>
        <v>3.9440228577994301</v>
      </c>
      <c r="S24">
        <f t="shared" si="10"/>
        <v>60.501121590878071</v>
      </c>
      <c r="T24" s="10">
        <f t="shared" si="11"/>
        <v>59.444660000000006</v>
      </c>
      <c r="U24" s="18">
        <f t="shared" si="13"/>
        <v>60.501121590878078</v>
      </c>
      <c r="V24" s="10">
        <f t="shared" si="14"/>
        <v>59.444660000000013</v>
      </c>
    </row>
    <row r="25" spans="1:22" x14ac:dyDescent="0.35">
      <c r="A25" t="str">
        <f>'US Raw Data'!A28</f>
        <v>2004-Q1</v>
      </c>
      <c r="B25" s="7">
        <f>'US Raw Data'!B28</f>
        <v>11923.447</v>
      </c>
      <c r="C25" s="7">
        <f>'US Raw Data'!C28</f>
        <v>1952.066</v>
      </c>
      <c r="D25" s="7">
        <f>'US Raw Data'!D28</f>
        <v>2381.04</v>
      </c>
      <c r="E25" s="7">
        <f>'US Raw Data'!E28</f>
        <v>297.88200000000001</v>
      </c>
      <c r="F25" s="7">
        <f t="shared" si="0"/>
        <v>2083.1579999999999</v>
      </c>
      <c r="G25" s="7">
        <f>'US Raw Data'!F28*(B25*4/100)</f>
        <v>28524.271482947999</v>
      </c>
      <c r="H25" s="7">
        <f t="shared" si="12"/>
        <v>28420.831902817597</v>
      </c>
      <c r="I25" s="7">
        <f t="shared" si="1"/>
        <v>103.43958013040174</v>
      </c>
      <c r="J25" s="7">
        <f t="shared" si="2"/>
        <v>24265.617550401603</v>
      </c>
      <c r="K25" s="7">
        <f t="shared" si="3"/>
        <v>28524.271482947999</v>
      </c>
      <c r="M25">
        <f t="shared" si="4"/>
        <v>17.69551981382633</v>
      </c>
      <c r="N25">
        <f t="shared" si="5"/>
        <v>16.581950375774046</v>
      </c>
      <c r="O25" s="10">
        <f t="shared" si="6"/>
        <v>59.807099999999998</v>
      </c>
      <c r="P25">
        <f t="shared" si="7"/>
        <v>60.575315362717049</v>
      </c>
      <c r="Q25">
        <f t="shared" si="8"/>
        <v>4.2566949437109836</v>
      </c>
      <c r="R25">
        <f t="shared" si="9"/>
        <v>0.87867417628974864</v>
      </c>
      <c r="S25">
        <f t="shared" si="10"/>
        <v>60.575315362717063</v>
      </c>
      <c r="T25" s="10">
        <f t="shared" si="11"/>
        <v>59.807100000000013</v>
      </c>
      <c r="U25" s="18">
        <f t="shared" si="13"/>
        <v>60.575315362717078</v>
      </c>
      <c r="V25" s="10">
        <f t="shared" si="14"/>
        <v>59.807100000000027</v>
      </c>
    </row>
    <row r="26" spans="1:22" x14ac:dyDescent="0.35">
      <c r="A26" t="str">
        <f>'US Raw Data'!A29</f>
        <v>2004-Q2</v>
      </c>
      <c r="B26" s="7">
        <f>'US Raw Data'!B29</f>
        <v>12112.815000000001</v>
      </c>
      <c r="C26" s="7">
        <f>'US Raw Data'!C29</f>
        <v>2003.4829999999999</v>
      </c>
      <c r="D26" s="7">
        <f>'US Raw Data'!D29</f>
        <v>2400.4</v>
      </c>
      <c r="E26" s="7">
        <f>'US Raw Data'!E29</f>
        <v>299.661</v>
      </c>
      <c r="F26" s="7">
        <f t="shared" si="0"/>
        <v>2100.739</v>
      </c>
      <c r="G26" s="7">
        <f>'US Raw Data'!F29*(B26*4/100)</f>
        <v>29097.341206362002</v>
      </c>
      <c r="H26" s="7">
        <f t="shared" si="12"/>
        <v>28921.188482948</v>
      </c>
      <c r="I26" s="7">
        <f t="shared" si="1"/>
        <v>176.15272341400123</v>
      </c>
      <c r="J26" s="7">
        <f t="shared" si="2"/>
        <v>24662.534550401604</v>
      </c>
      <c r="K26" s="7">
        <f t="shared" si="3"/>
        <v>29097.341206362002</v>
      </c>
      <c r="M26">
        <f t="shared" si="4"/>
        <v>17.618554433126594</v>
      </c>
      <c r="N26">
        <f t="shared" si="5"/>
        <v>16.802884266605119</v>
      </c>
      <c r="O26" s="10">
        <f t="shared" si="6"/>
        <v>60.054870000000001</v>
      </c>
      <c r="P26">
        <f t="shared" si="7"/>
        <v>61.008660512270488</v>
      </c>
      <c r="Q26">
        <f t="shared" si="8"/>
        <v>4.2021897061124154</v>
      </c>
      <c r="R26">
        <f t="shared" si="9"/>
        <v>1.477364082836123</v>
      </c>
      <c r="S26">
        <f t="shared" si="10"/>
        <v>61.008660512270488</v>
      </c>
      <c r="T26" s="10">
        <f t="shared" si="11"/>
        <v>60.054870000000001</v>
      </c>
      <c r="U26" s="18">
        <f t="shared" si="13"/>
        <v>61.008660512270517</v>
      </c>
      <c r="V26" s="10">
        <f t="shared" si="14"/>
        <v>60.05487000000003</v>
      </c>
    </row>
    <row r="27" spans="1:22" x14ac:dyDescent="0.35">
      <c r="A27" t="str">
        <f>'US Raw Data'!A30</f>
        <v>2004-Q3</v>
      </c>
      <c r="B27" s="7">
        <f>'US Raw Data'!B30</f>
        <v>12305.307000000001</v>
      </c>
      <c r="C27" s="7">
        <f>'US Raw Data'!C30</f>
        <v>2062.8130000000001</v>
      </c>
      <c r="D27" s="7">
        <f>'US Raw Data'!D30</f>
        <v>2428.7950000000001</v>
      </c>
      <c r="E27" s="7">
        <f>'US Raw Data'!E30</f>
        <v>308.15899999999999</v>
      </c>
      <c r="F27" s="7">
        <f t="shared" si="0"/>
        <v>2120.636</v>
      </c>
      <c r="G27" s="7">
        <f>'US Raw Data'!F30*(B27*4/100)</f>
        <v>29516.213233760402</v>
      </c>
      <c r="H27" s="7">
        <f t="shared" si="12"/>
        <v>29463.323206362002</v>
      </c>
      <c r="I27" s="7">
        <f t="shared" si="1"/>
        <v>52.89002739839998</v>
      </c>
      <c r="J27" s="7">
        <f t="shared" si="2"/>
        <v>25028.516550401604</v>
      </c>
      <c r="K27" s="7">
        <f t="shared" si="3"/>
        <v>29516.213233760402</v>
      </c>
      <c r="M27">
        <f t="shared" si="4"/>
        <v>17.50737545318739</v>
      </c>
      <c r="N27">
        <f t="shared" si="5"/>
        <v>17.03000499883801</v>
      </c>
      <c r="O27" s="10">
        <f t="shared" si="6"/>
        <v>59.966429999999995</v>
      </c>
      <c r="P27">
        <f t="shared" si="7"/>
        <v>60.91939246525353</v>
      </c>
      <c r="Q27">
        <f t="shared" si="8"/>
        <v>4.2362495984014155</v>
      </c>
      <c r="R27">
        <f t="shared" si="9"/>
        <v>0.43664521746926688</v>
      </c>
      <c r="S27">
        <f t="shared" si="10"/>
        <v>60.919392465253544</v>
      </c>
      <c r="T27" s="10">
        <f t="shared" si="11"/>
        <v>59.96643000000001</v>
      </c>
      <c r="U27" s="18">
        <f t="shared" si="13"/>
        <v>60.919392465253573</v>
      </c>
      <c r="V27" s="10">
        <f t="shared" si="14"/>
        <v>59.966430000000038</v>
      </c>
    </row>
    <row r="28" spans="1:22" x14ac:dyDescent="0.35">
      <c r="A28" t="str">
        <f>'US Raw Data'!A31</f>
        <v>2004-Q4</v>
      </c>
      <c r="B28" s="7">
        <f>'US Raw Data'!B31</f>
        <v>12527.214</v>
      </c>
      <c r="C28" s="7">
        <f>'US Raw Data'!C31</f>
        <v>2093.96</v>
      </c>
      <c r="D28" s="7">
        <f>'US Raw Data'!D31</f>
        <v>2476.0500000000002</v>
      </c>
      <c r="E28" s="7">
        <f>'US Raw Data'!E31</f>
        <v>318.38600000000002</v>
      </c>
      <c r="F28" s="7">
        <f t="shared" si="0"/>
        <v>2157.6640000000002</v>
      </c>
      <c r="G28" s="7">
        <f>'US Raw Data'!F31*(B28*4/100)</f>
        <v>30384.572154232799</v>
      </c>
      <c r="H28" s="7">
        <f t="shared" si="12"/>
        <v>29898.303233760402</v>
      </c>
      <c r="I28" s="7">
        <f t="shared" si="1"/>
        <v>486.26892047239744</v>
      </c>
      <c r="J28" s="7">
        <f t="shared" si="2"/>
        <v>25410.606550401604</v>
      </c>
      <c r="K28" s="7">
        <f t="shared" si="3"/>
        <v>30384.572154232799</v>
      </c>
      <c r="M28">
        <f t="shared" si="4"/>
        <v>17.534418279852751</v>
      </c>
      <c r="N28">
        <f t="shared" si="5"/>
        <v>17.016722947261698</v>
      </c>
      <c r="O28" s="10">
        <f t="shared" si="6"/>
        <v>60.637129999999999</v>
      </c>
      <c r="P28">
        <f t="shared" si="7"/>
        <v>61.730625969414653</v>
      </c>
      <c r="Q28">
        <f t="shared" si="8"/>
        <v>4.3147269262282304</v>
      </c>
      <c r="R28">
        <f t="shared" si="9"/>
        <v>3.9517008431597636</v>
      </c>
      <c r="S28">
        <f t="shared" si="10"/>
        <v>61.730625969414646</v>
      </c>
      <c r="T28" s="10">
        <f t="shared" si="11"/>
        <v>60.637129999999992</v>
      </c>
      <c r="U28" s="18">
        <f t="shared" si="13"/>
        <v>61.730625969414689</v>
      </c>
      <c r="V28" s="10">
        <f t="shared" si="14"/>
        <v>60.637130000000035</v>
      </c>
    </row>
    <row r="29" spans="1:22" x14ac:dyDescent="0.35">
      <c r="A29" t="str">
        <f>'US Raw Data'!A32</f>
        <v>2005-Q1</v>
      </c>
      <c r="B29" s="7">
        <f>'US Raw Data'!B32</f>
        <v>12767.286</v>
      </c>
      <c r="C29" s="7">
        <f>'US Raw Data'!C32</f>
        <v>2242.79</v>
      </c>
      <c r="D29" s="7">
        <f>'US Raw Data'!D32</f>
        <v>2548.0189999999998</v>
      </c>
      <c r="E29" s="7">
        <f>'US Raw Data'!E32</f>
        <v>329.40699999999998</v>
      </c>
      <c r="F29" s="7">
        <f t="shared" si="0"/>
        <v>2218.6119999999996</v>
      </c>
      <c r="G29" s="7">
        <f>'US Raw Data'!F32*(B29*4/100)</f>
        <v>31107.7578985488</v>
      </c>
      <c r="H29" s="7">
        <f t="shared" si="12"/>
        <v>30689.801154232799</v>
      </c>
      <c r="I29" s="7">
        <f t="shared" si="1"/>
        <v>417.95674431600128</v>
      </c>
      <c r="J29" s="7">
        <f t="shared" si="2"/>
        <v>25715.835550401604</v>
      </c>
      <c r="K29" s="7">
        <f t="shared" si="3"/>
        <v>31107.7578985488</v>
      </c>
      <c r="M29">
        <f t="shared" si="4"/>
        <v>17.710338467914731</v>
      </c>
      <c r="N29">
        <f t="shared" si="5"/>
        <v>17.903342275465238</v>
      </c>
      <c r="O29" s="10">
        <f t="shared" si="6"/>
        <v>60.913019999999996</v>
      </c>
      <c r="P29">
        <f t="shared" si="7"/>
        <v>62.080359405029718</v>
      </c>
      <c r="Q29">
        <f t="shared" si="8"/>
        <v>4.3365033850458365</v>
      </c>
      <c r="R29">
        <f t="shared" si="9"/>
        <v>3.3363902326247583</v>
      </c>
      <c r="S29">
        <f t="shared" si="10"/>
        <v>62.080359405029718</v>
      </c>
      <c r="T29" s="10">
        <f t="shared" si="11"/>
        <v>60.913019999999996</v>
      </c>
      <c r="U29" s="18">
        <f t="shared" si="13"/>
        <v>62.080359405029753</v>
      </c>
      <c r="V29" s="10">
        <f t="shared" si="14"/>
        <v>60.913020000000031</v>
      </c>
    </row>
    <row r="30" spans="1:22" x14ac:dyDescent="0.35">
      <c r="A30" t="str">
        <f>'US Raw Data'!A33</f>
        <v>2005-Q2</v>
      </c>
      <c r="B30" s="7">
        <f>'US Raw Data'!B33</f>
        <v>12922.656000000001</v>
      </c>
      <c r="C30" s="7">
        <f>'US Raw Data'!C33</f>
        <v>2272.0079999999998</v>
      </c>
      <c r="D30" s="7">
        <f>'US Raw Data'!D33</f>
        <v>2578.6860000000001</v>
      </c>
      <c r="E30" s="7">
        <f>'US Raw Data'!E33</f>
        <v>343.58199999999999</v>
      </c>
      <c r="F30" s="7">
        <f t="shared" si="0"/>
        <v>2235.1040000000003</v>
      </c>
      <c r="G30" s="7">
        <f>'US Raw Data'!F33*(B30*4/100)</f>
        <v>31345.985260147205</v>
      </c>
      <c r="H30" s="7">
        <f t="shared" si="12"/>
        <v>31414.4358985488</v>
      </c>
      <c r="I30" s="7">
        <f t="shared" si="1"/>
        <v>-68.450638401594915</v>
      </c>
      <c r="J30" s="7">
        <f t="shared" si="2"/>
        <v>26022.513550401603</v>
      </c>
      <c r="K30" s="7">
        <f t="shared" si="3"/>
        <v>31345.985260147205</v>
      </c>
      <c r="M30">
        <f t="shared" si="4"/>
        <v>17.506492765964513</v>
      </c>
      <c r="N30">
        <f t="shared" si="5"/>
        <v>17.795544017734073</v>
      </c>
      <c r="O30" s="10">
        <f t="shared" si="6"/>
        <v>60.64153000000001</v>
      </c>
      <c r="P30">
        <f t="shared" si="7"/>
        <v>61.379500036552805</v>
      </c>
      <c r="Q30">
        <f t="shared" si="8"/>
        <v>4.4179590328627105</v>
      </c>
      <c r="R30">
        <f t="shared" si="9"/>
        <v>-0.53614087129868415</v>
      </c>
      <c r="S30">
        <f t="shared" si="10"/>
        <v>61.379500036552813</v>
      </c>
      <c r="T30" s="10">
        <f t="shared" si="11"/>
        <v>60.64153000000001</v>
      </c>
      <c r="U30" s="18">
        <f t="shared" si="13"/>
        <v>61.379500036552848</v>
      </c>
      <c r="V30" s="10">
        <f t="shared" si="14"/>
        <v>60.641530000000046</v>
      </c>
    </row>
    <row r="31" spans="1:22" x14ac:dyDescent="0.35">
      <c r="A31" t="str">
        <f>'US Raw Data'!A34</f>
        <v>2005-Q3</v>
      </c>
      <c r="B31" s="7">
        <f>'US Raw Data'!B34</f>
        <v>13142.642</v>
      </c>
      <c r="C31" s="7">
        <f>'US Raw Data'!C34</f>
        <v>2316.739</v>
      </c>
      <c r="D31" s="7">
        <f>'US Raw Data'!D34</f>
        <v>2617.33</v>
      </c>
      <c r="E31" s="7">
        <f>'US Raw Data'!E34</f>
        <v>349.22800000000001</v>
      </c>
      <c r="F31" s="7">
        <f t="shared" si="0"/>
        <v>2268.1019999999999</v>
      </c>
      <c r="G31" s="7">
        <f>'US Raw Data'!F34*(B31*4/100)</f>
        <v>31730.837828620799</v>
      </c>
      <c r="H31" s="7">
        <f t="shared" si="12"/>
        <v>31646.576260147205</v>
      </c>
      <c r="I31" s="7">
        <f t="shared" si="1"/>
        <v>84.261568473593798</v>
      </c>
      <c r="J31" s="7">
        <f t="shared" si="2"/>
        <v>26323.104550401604</v>
      </c>
      <c r="K31" s="7">
        <f t="shared" si="3"/>
        <v>31730.837828620799</v>
      </c>
      <c r="M31">
        <f t="shared" si="4"/>
        <v>17.55136095861408</v>
      </c>
      <c r="N31">
        <f t="shared" si="5"/>
        <v>17.92773095561779</v>
      </c>
      <c r="O31" s="10">
        <f t="shared" si="6"/>
        <v>60.358559999999997</v>
      </c>
      <c r="P31">
        <f t="shared" si="7"/>
        <v>61.386060707297318</v>
      </c>
      <c r="Q31">
        <f t="shared" si="8"/>
        <v>4.4564303479591443</v>
      </c>
      <c r="R31">
        <f t="shared" si="9"/>
        <v>0.65204527980620852</v>
      </c>
      <c r="S31">
        <f t="shared" si="10"/>
        <v>61.386060707297318</v>
      </c>
      <c r="T31" s="10">
        <f t="shared" si="11"/>
        <v>60.358560000000004</v>
      </c>
      <c r="U31" s="18">
        <f t="shared" si="13"/>
        <v>61.386060707297354</v>
      </c>
      <c r="V31" s="10">
        <f t="shared" si="14"/>
        <v>60.35856000000004</v>
      </c>
    </row>
    <row r="32" spans="1:22" x14ac:dyDescent="0.35">
      <c r="A32" t="str">
        <f>'US Raw Data'!A35</f>
        <v>2005-Q4</v>
      </c>
      <c r="B32" s="7">
        <f>'US Raw Data'!B35</f>
        <v>13324.204</v>
      </c>
      <c r="C32" s="7">
        <f>'US Raw Data'!C35</f>
        <v>2387.2860000000001</v>
      </c>
      <c r="D32" s="7">
        <f>'US Raw Data'!D35</f>
        <v>2649.819</v>
      </c>
      <c r="E32" s="7">
        <f>'US Raw Data'!E35</f>
        <v>355.28199999999998</v>
      </c>
      <c r="F32" s="7">
        <f t="shared" si="0"/>
        <v>2294.5369999999998</v>
      </c>
      <c r="G32" s="7">
        <f>'US Raw Data'!F35*(B32*4/100)</f>
        <v>32681.650208652798</v>
      </c>
      <c r="H32" s="7">
        <f t="shared" si="12"/>
        <v>31993.370828620798</v>
      </c>
      <c r="I32" s="7">
        <f t="shared" si="1"/>
        <v>688.27938003199961</v>
      </c>
      <c r="J32" s="7">
        <f t="shared" si="2"/>
        <v>26585.637550401603</v>
      </c>
      <c r="K32" s="7">
        <f t="shared" si="3"/>
        <v>32681.650208652798</v>
      </c>
      <c r="M32">
        <f t="shared" si="4"/>
        <v>17.458719487299433</v>
      </c>
      <c r="N32">
        <f t="shared" si="5"/>
        <v>18.164429952516397</v>
      </c>
      <c r="O32" s="10">
        <f t="shared" si="6"/>
        <v>61.320079999999997</v>
      </c>
      <c r="P32">
        <f t="shared" si="7"/>
        <v>62.167200112147917</v>
      </c>
      <c r="Q32">
        <f t="shared" si="8"/>
        <v>4.4786967418747485</v>
      </c>
      <c r="R32">
        <f t="shared" si="9"/>
        <v>5.2369940536461357</v>
      </c>
      <c r="S32">
        <f t="shared" si="10"/>
        <v>62.167200112147917</v>
      </c>
      <c r="T32" s="10">
        <f t="shared" si="11"/>
        <v>61.320079999999997</v>
      </c>
      <c r="U32" s="18">
        <f t="shared" si="13"/>
        <v>62.16720011214796</v>
      </c>
      <c r="V32" s="10">
        <f t="shared" si="14"/>
        <v>61.32008000000004</v>
      </c>
    </row>
    <row r="33" spans="1:22" x14ac:dyDescent="0.35">
      <c r="A33" t="str">
        <f>'US Raw Data'!A36</f>
        <v>2006-Q1</v>
      </c>
      <c r="B33" s="7">
        <f>'US Raw Data'!B36</f>
        <v>13599.16</v>
      </c>
      <c r="C33" s="7">
        <f>'US Raw Data'!C36</f>
        <v>2482.895</v>
      </c>
      <c r="D33" s="7">
        <f>'US Raw Data'!D36</f>
        <v>2728.1840000000002</v>
      </c>
      <c r="E33" s="7">
        <f>'US Raw Data'!E36</f>
        <v>358.209</v>
      </c>
      <c r="F33" s="7">
        <f t="shared" si="0"/>
        <v>2369.9750000000004</v>
      </c>
      <c r="G33" s="7">
        <f>'US Raw Data'!F36*(B33*4/100)</f>
        <v>33484.624184288004</v>
      </c>
      <c r="H33" s="7">
        <f t="shared" si="12"/>
        <v>32926.939208652795</v>
      </c>
      <c r="I33" s="7">
        <f t="shared" si="1"/>
        <v>557.68497563520941</v>
      </c>
      <c r="J33" s="7">
        <f t="shared" si="2"/>
        <v>26830.926550401604</v>
      </c>
      <c r="K33" s="7">
        <f t="shared" si="3"/>
        <v>33484.624184288004</v>
      </c>
      <c r="M33">
        <f t="shared" si="4"/>
        <v>17.78699125291087</v>
      </c>
      <c r="N33">
        <f t="shared" si="5"/>
        <v>18.634471522651559</v>
      </c>
      <c r="O33" s="10">
        <f t="shared" si="6"/>
        <v>61.55642000000001</v>
      </c>
      <c r="P33">
        <f t="shared" si="7"/>
        <v>62.826687778662063</v>
      </c>
      <c r="Q33">
        <f t="shared" si="8"/>
        <v>4.3842216988805607</v>
      </c>
      <c r="R33">
        <f t="shared" si="9"/>
        <v>4.1855031312580433</v>
      </c>
      <c r="S33">
        <f t="shared" si="10"/>
        <v>62.826687778662055</v>
      </c>
      <c r="T33" s="10">
        <f t="shared" si="11"/>
        <v>61.556420000000003</v>
      </c>
      <c r="U33" s="18">
        <f t="shared" si="13"/>
        <v>62.826687778662105</v>
      </c>
      <c r="V33" s="10">
        <f t="shared" si="14"/>
        <v>61.556420000000053</v>
      </c>
    </row>
    <row r="34" spans="1:22" x14ac:dyDescent="0.35">
      <c r="A34" t="str">
        <f>'US Raw Data'!A37</f>
        <v>2006-Q2</v>
      </c>
      <c r="B34" s="7">
        <f>'US Raw Data'!B37</f>
        <v>13753.424000000001</v>
      </c>
      <c r="C34" s="7">
        <f>'US Raw Data'!C37</f>
        <v>2518.5050000000001</v>
      </c>
      <c r="D34" s="7">
        <f>'US Raw Data'!D37</f>
        <v>2749.085</v>
      </c>
      <c r="E34" s="7">
        <f>'US Raw Data'!E37</f>
        <v>367.41500000000002</v>
      </c>
      <c r="F34" s="7">
        <f t="shared" si="0"/>
        <v>2381.67</v>
      </c>
      <c r="G34" s="7">
        <f>'US Raw Data'!F37*(B34*4/100)</f>
        <v>33680.165885683207</v>
      </c>
      <c r="H34" s="7">
        <f t="shared" si="12"/>
        <v>33715.204184288006</v>
      </c>
      <c r="I34" s="7">
        <f t="shared" si="1"/>
        <v>-35.038298604798911</v>
      </c>
      <c r="J34" s="7">
        <f t="shared" si="2"/>
        <v>27061.506550401606</v>
      </c>
      <c r="K34" s="7">
        <f t="shared" si="3"/>
        <v>33680.165885683207</v>
      </c>
      <c r="M34">
        <f t="shared" si="4"/>
        <v>17.513361119363253</v>
      </c>
      <c r="N34">
        <f t="shared" si="5"/>
        <v>18.519562973007158</v>
      </c>
      <c r="O34" s="10">
        <f t="shared" si="6"/>
        <v>61.221420000000002</v>
      </c>
      <c r="P34">
        <f t="shared" si="7"/>
        <v>61.915893859773703</v>
      </c>
      <c r="Q34">
        <f t="shared" si="8"/>
        <v>4.3890592646687336</v>
      </c>
      <c r="R34">
        <f t="shared" si="9"/>
        <v>-0.25765046226972044</v>
      </c>
      <c r="S34">
        <f t="shared" si="10"/>
        <v>61.915893859773703</v>
      </c>
      <c r="T34" s="10">
        <f t="shared" si="11"/>
        <v>61.221420000000002</v>
      </c>
      <c r="U34" s="18">
        <f t="shared" si="13"/>
        <v>61.915893859773746</v>
      </c>
      <c r="V34" s="10">
        <f t="shared" si="14"/>
        <v>61.221420000000045</v>
      </c>
    </row>
    <row r="35" spans="1:22" x14ac:dyDescent="0.35">
      <c r="A35" t="str">
        <f>'US Raw Data'!A38</f>
        <v>2006-Q3</v>
      </c>
      <c r="B35" s="7">
        <f>'US Raw Data'!B38</f>
        <v>13870.188</v>
      </c>
      <c r="C35" s="7">
        <f>'US Raw Data'!C38</f>
        <v>2562.8609999999999</v>
      </c>
      <c r="D35" s="7">
        <f>'US Raw Data'!D38</f>
        <v>2775.712</v>
      </c>
      <c r="E35" s="7">
        <f>'US Raw Data'!E38</f>
        <v>376.29899999999998</v>
      </c>
      <c r="F35" s="7">
        <f t="shared" si="0"/>
        <v>2399.413</v>
      </c>
      <c r="G35" s="7">
        <f>'US Raw Data'!F38*(B35*4/100)</f>
        <v>34027.898662656</v>
      </c>
      <c r="H35" s="7">
        <f t="shared" si="12"/>
        <v>33893.01688568321</v>
      </c>
      <c r="I35" s="7">
        <f t="shared" si="1"/>
        <v>134.88177697279025</v>
      </c>
      <c r="J35" s="7">
        <f t="shared" si="2"/>
        <v>27274.357550401604</v>
      </c>
      <c r="K35" s="7">
        <f t="shared" si="3"/>
        <v>34027.898662656</v>
      </c>
      <c r="M35">
        <f t="shared" si="4"/>
        <v>17.445932009367265</v>
      </c>
      <c r="N35">
        <f t="shared" si="5"/>
        <v>18.634348799251732</v>
      </c>
      <c r="O35" s="10">
        <f t="shared" si="6"/>
        <v>61.332799999999999</v>
      </c>
      <c r="P35">
        <f t="shared" si="7"/>
        <v>61.853504012266328</v>
      </c>
      <c r="Q35">
        <f t="shared" si="8"/>
        <v>4.4690872518529661</v>
      </c>
      <c r="R35">
        <f t="shared" si="9"/>
        <v>0.98071416232634312</v>
      </c>
      <c r="S35">
        <f t="shared" si="10"/>
        <v>61.853504012266313</v>
      </c>
      <c r="T35" s="10">
        <f t="shared" si="11"/>
        <v>61.332799999999992</v>
      </c>
      <c r="U35" s="18">
        <f t="shared" si="13"/>
        <v>61.853504012266356</v>
      </c>
      <c r="V35" s="10">
        <f t="shared" si="14"/>
        <v>61.332800000000034</v>
      </c>
    </row>
    <row r="36" spans="1:22" x14ac:dyDescent="0.35">
      <c r="A36" t="str">
        <f>'US Raw Data'!A39</f>
        <v>2006-Q4</v>
      </c>
      <c r="B36" s="7">
        <f>'US Raw Data'!B39</f>
        <v>14039.56</v>
      </c>
      <c r="C36" s="7">
        <f>'US Raw Data'!C39</f>
        <v>2590.85</v>
      </c>
      <c r="D36" s="7">
        <f>'US Raw Data'!D39</f>
        <v>2789.9059999999999</v>
      </c>
      <c r="E36" s="7">
        <f>'US Raw Data'!E39</f>
        <v>386.92500000000001</v>
      </c>
      <c r="F36" s="7">
        <f t="shared" si="0"/>
        <v>2402.9809999999998</v>
      </c>
      <c r="G36" s="7">
        <f>'US Raw Data'!F39*(B36*4/100)</f>
        <v>34720.893270736</v>
      </c>
      <c r="H36" s="7">
        <f t="shared" si="12"/>
        <v>34226.954662655997</v>
      </c>
      <c r="I36" s="7">
        <f t="shared" si="1"/>
        <v>493.93860808000318</v>
      </c>
      <c r="J36" s="7">
        <f t="shared" si="2"/>
        <v>27473.413550401605</v>
      </c>
      <c r="K36" s="7">
        <f t="shared" si="3"/>
        <v>34720.893270736</v>
      </c>
      <c r="M36">
        <f t="shared" si="4"/>
        <v>17.324790406590019</v>
      </c>
      <c r="N36">
        <f t="shared" si="5"/>
        <v>18.679270965901832</v>
      </c>
      <c r="O36" s="10">
        <f t="shared" si="6"/>
        <v>61.826890000000006</v>
      </c>
      <c r="P36">
        <f t="shared" si="7"/>
        <v>62.581872125193982</v>
      </c>
      <c r="Q36">
        <f t="shared" si="8"/>
        <v>4.5483266990521729</v>
      </c>
      <c r="R36">
        <f t="shared" si="9"/>
        <v>3.5611529424114741</v>
      </c>
      <c r="S36">
        <f t="shared" si="10"/>
        <v>62.581872125193989</v>
      </c>
      <c r="T36" s="10">
        <f t="shared" si="11"/>
        <v>61.82689000000002</v>
      </c>
      <c r="U36" s="18">
        <f t="shared" si="13"/>
        <v>62.581872125194025</v>
      </c>
      <c r="V36" s="10">
        <f t="shared" si="14"/>
        <v>61.826890000000056</v>
      </c>
    </row>
    <row r="37" spans="1:22" x14ac:dyDescent="0.35">
      <c r="A37" t="str">
        <f>'US Raw Data'!A40</f>
        <v>2007-Q1</v>
      </c>
      <c r="B37" s="7">
        <f>'US Raw Data'!B40</f>
        <v>14215.651</v>
      </c>
      <c r="C37" s="7">
        <f>'US Raw Data'!C40</f>
        <v>2659.4859999999999</v>
      </c>
      <c r="D37" s="7">
        <f>'US Raw Data'!D40</f>
        <v>2869.326</v>
      </c>
      <c r="E37" s="7">
        <f>'US Raw Data'!E40</f>
        <v>396.00900000000001</v>
      </c>
      <c r="F37" s="7">
        <f t="shared" si="0"/>
        <v>2473.317</v>
      </c>
      <c r="G37" s="7">
        <f>'US Raw Data'!F40*(B37*4/100)</f>
        <v>35398.659809338795</v>
      </c>
      <c r="H37" s="7">
        <f t="shared" si="12"/>
        <v>34930.733270736004</v>
      </c>
      <c r="I37" s="7">
        <f t="shared" si="1"/>
        <v>467.92653860279097</v>
      </c>
      <c r="J37" s="7">
        <f t="shared" si="2"/>
        <v>27683.253550401605</v>
      </c>
      <c r="K37" s="7">
        <f t="shared" si="3"/>
        <v>35398.659809338787</v>
      </c>
      <c r="M37">
        <f t="shared" si="4"/>
        <v>17.616770041226363</v>
      </c>
      <c r="N37">
        <f t="shared" si="5"/>
        <v>18.94280162626179</v>
      </c>
      <c r="O37" s="10">
        <f t="shared" si="6"/>
        <v>62.252969999999991</v>
      </c>
      <c r="P37">
        <f t="shared" si="7"/>
        <v>63.033777072320639</v>
      </c>
      <c r="Q37">
        <f t="shared" si="8"/>
        <v>4.5621982926778033</v>
      </c>
      <c r="R37">
        <f t="shared" si="9"/>
        <v>3.332914554322151</v>
      </c>
      <c r="S37">
        <f t="shared" si="10"/>
        <v>63.033777072320632</v>
      </c>
      <c r="T37" s="10">
        <f t="shared" si="11"/>
        <v>62.252969999999983</v>
      </c>
      <c r="U37" s="18">
        <f t="shared" si="13"/>
        <v>63.033777072320682</v>
      </c>
      <c r="V37" s="10">
        <f t="shared" si="14"/>
        <v>62.252970000000033</v>
      </c>
    </row>
    <row r="38" spans="1:22" x14ac:dyDescent="0.35">
      <c r="A38" t="str">
        <f>'US Raw Data'!A41</f>
        <v>2007-Q2</v>
      </c>
      <c r="B38" s="7">
        <f>'US Raw Data'!B41</f>
        <v>14402.082</v>
      </c>
      <c r="C38" s="7">
        <f>'US Raw Data'!C41</f>
        <v>2674.2060000000001</v>
      </c>
      <c r="D38" s="7">
        <f>'US Raw Data'!D41</f>
        <v>2905.2020000000002</v>
      </c>
      <c r="E38" s="7">
        <f>'US Raw Data'!E41</f>
        <v>407.91399999999999</v>
      </c>
      <c r="F38" s="7">
        <f t="shared" si="0"/>
        <v>2497.2880000000005</v>
      </c>
      <c r="G38" s="7">
        <f>'US Raw Data'!F41*(B38*4/100)</f>
        <v>35470.709171983202</v>
      </c>
      <c r="H38" s="7">
        <f t="shared" si="12"/>
        <v>35629.655809338794</v>
      </c>
      <c r="I38" s="7">
        <f t="shared" si="1"/>
        <v>-158.94663735559152</v>
      </c>
      <c r="J38" s="7">
        <f t="shared" si="2"/>
        <v>27914.249550401604</v>
      </c>
      <c r="K38" s="7">
        <f t="shared" si="3"/>
        <v>35470.709171983195</v>
      </c>
      <c r="M38">
        <f t="shared" si="4"/>
        <v>17.567172970129899</v>
      </c>
      <c r="N38">
        <f t="shared" si="5"/>
        <v>18.811702678969823</v>
      </c>
      <c r="O38" s="10">
        <f t="shared" si="6"/>
        <v>61.572190000000006</v>
      </c>
      <c r="P38">
        <f t="shared" si="7"/>
        <v>62.379677814233069</v>
      </c>
      <c r="Q38">
        <f t="shared" si="8"/>
        <v>4.6093722440010021</v>
      </c>
      <c r="R38">
        <f t="shared" si="9"/>
        <v>-1.1181101544740477</v>
      </c>
      <c r="S38">
        <f t="shared" si="10"/>
        <v>62.379677814233062</v>
      </c>
      <c r="T38" s="10">
        <f t="shared" si="11"/>
        <v>61.572189999999999</v>
      </c>
      <c r="U38" s="18">
        <f t="shared" si="13"/>
        <v>62.379677814233105</v>
      </c>
      <c r="V38" s="10">
        <f t="shared" si="14"/>
        <v>61.572190000000042</v>
      </c>
    </row>
    <row r="39" spans="1:22" x14ac:dyDescent="0.35">
      <c r="A39" t="str">
        <f>'US Raw Data'!A42</f>
        <v>2007-Q3</v>
      </c>
      <c r="B39" s="7">
        <f>'US Raw Data'!B42</f>
        <v>14564.117</v>
      </c>
      <c r="C39" s="7">
        <f>'US Raw Data'!C42</f>
        <v>2666.732</v>
      </c>
      <c r="D39" s="7">
        <f>'US Raw Data'!D42</f>
        <v>2945.721</v>
      </c>
      <c r="E39" s="7">
        <f>'US Raw Data'!E42</f>
        <v>414.16399999999999</v>
      </c>
      <c r="F39" s="7">
        <f t="shared" si="0"/>
        <v>2531.5569999999998</v>
      </c>
      <c r="G39" s="7">
        <f>'US Raw Data'!F42*(B39*4/100)</f>
        <v>36030.611795456796</v>
      </c>
      <c r="H39" s="7">
        <f t="shared" si="12"/>
        <v>35749.698171983204</v>
      </c>
      <c r="I39" s="7">
        <f t="shared" si="1"/>
        <v>280.91362347359245</v>
      </c>
      <c r="J39" s="7">
        <f t="shared" si="2"/>
        <v>28193.238550401606</v>
      </c>
      <c r="K39" s="7">
        <f t="shared" si="3"/>
        <v>36030.611795456789</v>
      </c>
      <c r="M39">
        <f t="shared" si="4"/>
        <v>17.577715499745104</v>
      </c>
      <c r="N39">
        <f t="shared" si="5"/>
        <v>18.516295074559359</v>
      </c>
      <c r="O39" s="10">
        <f t="shared" si="6"/>
        <v>61.848259999999989</v>
      </c>
      <c r="P39">
        <f t="shared" si="7"/>
        <v>62.544102643383077</v>
      </c>
      <c r="Q39">
        <f t="shared" si="8"/>
        <v>4.6704902119874223</v>
      </c>
      <c r="R39">
        <f t="shared" si="9"/>
        <v>1.9505070410902565</v>
      </c>
      <c r="S39">
        <f t="shared" si="10"/>
        <v>62.544102643383077</v>
      </c>
      <c r="T39" s="10">
        <f t="shared" si="11"/>
        <v>61.848259999999989</v>
      </c>
      <c r="U39" s="18">
        <f t="shared" si="13"/>
        <v>62.544102643383113</v>
      </c>
      <c r="V39" s="10">
        <f t="shared" si="14"/>
        <v>61.848260000000025</v>
      </c>
    </row>
    <row r="40" spans="1:22" x14ac:dyDescent="0.35">
      <c r="A40" t="str">
        <f>'US Raw Data'!A43</f>
        <v>2007-Q4</v>
      </c>
      <c r="B40" s="7">
        <f>'US Raw Data'!B43</f>
        <v>14715.058000000001</v>
      </c>
      <c r="C40" s="7">
        <f>'US Raw Data'!C43</f>
        <v>2672.884</v>
      </c>
      <c r="D40" s="7">
        <f>'US Raw Data'!D43</f>
        <v>2991.7649999999999</v>
      </c>
      <c r="E40" s="7">
        <f>'US Raw Data'!E43</f>
        <v>413.82499999999999</v>
      </c>
      <c r="F40" s="7">
        <f t="shared" si="0"/>
        <v>2577.94</v>
      </c>
      <c r="G40" s="7">
        <f>'US Raw Data'!F43*(B40*4/100)</f>
        <v>36916.690172636801</v>
      </c>
      <c r="H40" s="7">
        <f t="shared" si="12"/>
        <v>36349.492795456797</v>
      </c>
      <c r="I40" s="7">
        <f t="shared" si="1"/>
        <v>567.19737718000397</v>
      </c>
      <c r="J40" s="7">
        <f t="shared" si="2"/>
        <v>28512.119550401607</v>
      </c>
      <c r="K40" s="7">
        <f t="shared" si="3"/>
        <v>36916.690172636794</v>
      </c>
      <c r="M40">
        <f t="shared" si="4"/>
        <v>17.70062682138574</v>
      </c>
      <c r="N40">
        <f t="shared" si="5"/>
        <v>18.35253040057286</v>
      </c>
      <c r="O40" s="10">
        <f t="shared" si="6"/>
        <v>62.719239999999999</v>
      </c>
      <c r="P40">
        <f t="shared" si="7"/>
        <v>63.369255706742813</v>
      </c>
      <c r="Q40">
        <f t="shared" si="8"/>
        <v>4.5941490236053157</v>
      </c>
      <c r="R40">
        <f t="shared" si="9"/>
        <v>3.8944851732515193</v>
      </c>
      <c r="S40">
        <f t="shared" si="10"/>
        <v>63.369255706742813</v>
      </c>
      <c r="T40" s="10">
        <f t="shared" si="11"/>
        <v>62.719239999999999</v>
      </c>
      <c r="U40" s="18">
        <f t="shared" si="13"/>
        <v>63.369255706742848</v>
      </c>
      <c r="V40" s="10">
        <f t="shared" si="14"/>
        <v>62.719240000000035</v>
      </c>
    </row>
    <row r="41" spans="1:22" x14ac:dyDescent="0.35">
      <c r="A41" t="str">
        <f>'US Raw Data'!A44</f>
        <v>2008-Q1</v>
      </c>
      <c r="B41" s="7">
        <f>'US Raw Data'!B44</f>
        <v>14706.538</v>
      </c>
      <c r="C41" s="7">
        <f>'US Raw Data'!C44</f>
        <v>2638.9490000000001</v>
      </c>
      <c r="D41" s="7">
        <f>'US Raw Data'!D44</f>
        <v>3043.5219999999999</v>
      </c>
      <c r="E41" s="7">
        <f>'US Raw Data'!E44</f>
        <v>403.47300000000001</v>
      </c>
      <c r="F41" s="7">
        <f t="shared" si="0"/>
        <v>2640.049</v>
      </c>
      <c r="G41" s="7">
        <f>'US Raw Data'!F44*(B41*4/100)</f>
        <v>37750.377105425599</v>
      </c>
      <c r="H41" s="7">
        <f t="shared" si="12"/>
        <v>37321.263172636798</v>
      </c>
      <c r="I41" s="7">
        <f t="shared" si="1"/>
        <v>429.11393278880132</v>
      </c>
      <c r="J41" s="7">
        <f t="shared" si="2"/>
        <v>28916.692550401607</v>
      </c>
      <c r="K41" s="7">
        <f t="shared" si="3"/>
        <v>37750.377105425592</v>
      </c>
      <c r="M41">
        <f t="shared" si="4"/>
        <v>17.941138934008958</v>
      </c>
      <c r="N41">
        <f t="shared" si="5"/>
        <v>17.933663598199885</v>
      </c>
      <c r="O41" s="10">
        <f t="shared" si="6"/>
        <v>64.172780000000003</v>
      </c>
      <c r="P41">
        <f t="shared" si="7"/>
        <v>64.135624041416619</v>
      </c>
      <c r="Q41">
        <f t="shared" si="8"/>
        <v>4.3717136949515609</v>
      </c>
      <c r="R41">
        <f t="shared" si="9"/>
        <v>2.9161552254078869</v>
      </c>
      <c r="S41">
        <f t="shared" si="10"/>
        <v>64.135624041416634</v>
      </c>
      <c r="T41" s="10">
        <f t="shared" si="11"/>
        <v>64.172780000000017</v>
      </c>
      <c r="U41" s="18">
        <f t="shared" si="13"/>
        <v>64.135624041416662</v>
      </c>
      <c r="V41" s="10">
        <f t="shared" si="14"/>
        <v>64.172780000000046</v>
      </c>
    </row>
    <row r="42" spans="1:22" x14ac:dyDescent="0.35">
      <c r="A42" t="str">
        <f>'US Raw Data'!A45</f>
        <v>2008-Q2</v>
      </c>
      <c r="B42" s="7">
        <f>'US Raw Data'!B45</f>
        <v>14865.700999999999</v>
      </c>
      <c r="C42" s="7">
        <f>'US Raw Data'!C45</f>
        <v>2621.0059999999999</v>
      </c>
      <c r="D42" s="7">
        <f>'US Raw Data'!D45</f>
        <v>3397.4520000000002</v>
      </c>
      <c r="E42" s="7">
        <f>'US Raw Data'!E45</f>
        <v>388.351</v>
      </c>
      <c r="F42" s="7">
        <f t="shared" si="0"/>
        <v>3009.1010000000001</v>
      </c>
      <c r="G42" s="7">
        <f>'US Raw Data'!F45*(B42*4/100)</f>
        <v>37968.023114228796</v>
      </c>
      <c r="H42" s="7">
        <f t="shared" si="12"/>
        <v>38526.823105425603</v>
      </c>
      <c r="I42" s="7">
        <f t="shared" si="1"/>
        <v>-558.79999119680724</v>
      </c>
      <c r="J42" s="7">
        <f t="shared" si="2"/>
        <v>29693.138550401607</v>
      </c>
      <c r="K42" s="7">
        <f t="shared" si="3"/>
        <v>37968.023114228788</v>
      </c>
      <c r="M42">
        <f t="shared" si="4"/>
        <v>20.460974567909865</v>
      </c>
      <c r="N42">
        <f t="shared" si="5"/>
        <v>17.822046221891242</v>
      </c>
      <c r="O42" s="10">
        <f t="shared" si="6"/>
        <v>63.85172</v>
      </c>
      <c r="P42">
        <f t="shared" si="7"/>
        <v>64.542761719700437</v>
      </c>
      <c r="Q42">
        <f t="shared" si="8"/>
        <v>4.1149363770904941</v>
      </c>
      <c r="R42">
        <f t="shared" si="9"/>
        <v>-3.7996705356271288</v>
      </c>
      <c r="S42">
        <f t="shared" si="10"/>
        <v>64.542761719700437</v>
      </c>
      <c r="T42" s="10">
        <f t="shared" si="11"/>
        <v>63.851719999999993</v>
      </c>
      <c r="U42" s="18">
        <f t="shared" si="13"/>
        <v>64.542761719700479</v>
      </c>
      <c r="V42" s="10">
        <f t="shared" si="14"/>
        <v>63.851720000000036</v>
      </c>
    </row>
    <row r="43" spans="1:22" x14ac:dyDescent="0.35">
      <c r="A43" t="str">
        <f>'US Raw Data'!A46</f>
        <v>2008-Q3</v>
      </c>
      <c r="B43" s="7">
        <f>'US Raw Data'!B46</f>
        <v>14898.999</v>
      </c>
      <c r="C43" s="7">
        <f>'US Raw Data'!C46</f>
        <v>2574.5700000000002</v>
      </c>
      <c r="D43" s="7">
        <f>'US Raw Data'!D46</f>
        <v>3194.11</v>
      </c>
      <c r="E43" s="7">
        <f>'US Raw Data'!E46</f>
        <v>382.15199999999999</v>
      </c>
      <c r="F43" s="7">
        <f t="shared" si="0"/>
        <v>2811.9580000000001</v>
      </c>
      <c r="G43" s="7">
        <f>'US Raw Data'!F46*(B43*4/100)</f>
        <v>40098.897726618001</v>
      </c>
      <c r="H43" s="7">
        <f t="shared" si="12"/>
        <v>38587.563114228797</v>
      </c>
      <c r="I43" s="7">
        <f t="shared" si="1"/>
        <v>1511.3346123892043</v>
      </c>
      <c r="J43" s="7">
        <f t="shared" si="2"/>
        <v>30312.678550401608</v>
      </c>
      <c r="K43" s="7">
        <f t="shared" si="3"/>
        <v>40098.897726617994</v>
      </c>
      <c r="M43">
        <f t="shared" si="4"/>
        <v>18.915744370211669</v>
      </c>
      <c r="N43">
        <f t="shared" si="5"/>
        <v>17.318860375302854</v>
      </c>
      <c r="O43" s="10">
        <f t="shared" si="6"/>
        <v>67.284549999999996</v>
      </c>
      <c r="P43">
        <f t="shared" si="7"/>
        <v>67.435262095305831</v>
      </c>
      <c r="Q43">
        <f t="shared" si="8"/>
        <v>4.0260405325847541</v>
      </c>
      <c r="R43">
        <f t="shared" si="9"/>
        <v>10.166588258362014</v>
      </c>
      <c r="S43">
        <f t="shared" si="10"/>
        <v>67.435262095305845</v>
      </c>
      <c r="T43" s="10">
        <f t="shared" si="11"/>
        <v>67.28455000000001</v>
      </c>
      <c r="U43" s="18">
        <f t="shared" si="13"/>
        <v>67.435262095305873</v>
      </c>
      <c r="V43" s="10">
        <f t="shared" si="14"/>
        <v>67.284550000000038</v>
      </c>
    </row>
    <row r="44" spans="1:22" x14ac:dyDescent="0.35">
      <c r="A44" t="str">
        <f>'US Raw Data'!A47</f>
        <v>2008-Q4</v>
      </c>
      <c r="B44" s="7">
        <f>'US Raw Data'!B47</f>
        <v>14608.209000000001</v>
      </c>
      <c r="C44" s="7">
        <f>'US Raw Data'!C47</f>
        <v>2493.6770000000001</v>
      </c>
      <c r="D44" s="7">
        <f>'US Raw Data'!D47</f>
        <v>3192.866</v>
      </c>
      <c r="E44" s="7">
        <f>'US Raw Data'!E47</f>
        <v>379.61399999999998</v>
      </c>
      <c r="F44" s="7">
        <f t="shared" si="0"/>
        <v>2813.252</v>
      </c>
      <c r="G44" s="7">
        <f>'US Raw Data'!F47*(B44*4/100)</f>
        <v>42799.218377453995</v>
      </c>
      <c r="H44" s="7">
        <f t="shared" si="12"/>
        <v>40798.086726617999</v>
      </c>
      <c r="I44" s="7">
        <f t="shared" si="1"/>
        <v>2001.131650835996</v>
      </c>
      <c r="J44" s="7">
        <f t="shared" si="2"/>
        <v>31011.867550401606</v>
      </c>
      <c r="K44" s="7">
        <f t="shared" si="3"/>
        <v>42799.218377453988</v>
      </c>
      <c r="M44">
        <f t="shared" si="4"/>
        <v>18.882154431985665</v>
      </c>
      <c r="N44">
        <f t="shared" si="5"/>
        <v>16.737211674421886</v>
      </c>
      <c r="O44" s="10">
        <f t="shared" si="6"/>
        <v>73.245149999999981</v>
      </c>
      <c r="P44">
        <f t="shared" si="7"/>
        <v>71.815593748032995</v>
      </c>
      <c r="Q44">
        <f t="shared" si="8"/>
        <v>3.7867774080783159</v>
      </c>
      <c r="R44">
        <f t="shared" si="9"/>
        <v>13.431316096041057</v>
      </c>
      <c r="S44">
        <f t="shared" si="10"/>
        <v>71.815593748032981</v>
      </c>
      <c r="T44" s="10">
        <f t="shared" si="11"/>
        <v>73.245149999999967</v>
      </c>
      <c r="U44" s="18">
        <f t="shared" si="13"/>
        <v>71.815593748033038</v>
      </c>
      <c r="V44" s="10">
        <f t="shared" si="14"/>
        <v>73.245150000000024</v>
      </c>
    </row>
    <row r="45" spans="1:22" x14ac:dyDescent="0.35">
      <c r="A45" t="str">
        <f>'US Raw Data'!A48</f>
        <v>2009-Q1</v>
      </c>
      <c r="B45" s="7">
        <f>'US Raw Data'!B48</f>
        <v>14430.902</v>
      </c>
      <c r="C45" s="7">
        <f>'US Raw Data'!C48</f>
        <v>2222.444</v>
      </c>
      <c r="D45" s="7">
        <f>'US Raw Data'!D48</f>
        <v>3322.7669999999998</v>
      </c>
      <c r="E45" s="7">
        <f>'US Raw Data'!E48</f>
        <v>361.86900000000003</v>
      </c>
      <c r="F45" s="7">
        <f t="shared" si="0"/>
        <v>2960.8979999999997</v>
      </c>
      <c r="G45" s="7">
        <f>'US Raw Data'!F48*(B45*4/100)</f>
        <v>44507.764858956805</v>
      </c>
      <c r="H45" s="7">
        <f t="shared" si="12"/>
        <v>43899.541377453992</v>
      </c>
      <c r="I45" s="7">
        <f t="shared" si="1"/>
        <v>608.22348150281323</v>
      </c>
      <c r="J45" s="7">
        <f t="shared" si="2"/>
        <v>32112.190550401607</v>
      </c>
      <c r="K45" s="7">
        <f t="shared" si="3"/>
        <v>44507.764858956798</v>
      </c>
      <c r="M45">
        <f t="shared" si="4"/>
        <v>20.268726987682061</v>
      </c>
      <c r="N45">
        <f t="shared" si="5"/>
        <v>15.21366513855326</v>
      </c>
      <c r="O45" s="10">
        <f t="shared" si="6"/>
        <v>77.104960000000005</v>
      </c>
      <c r="P45">
        <f t="shared" si="7"/>
        <v>76.169099269727042</v>
      </c>
      <c r="Q45">
        <f t="shared" si="8"/>
        <v>3.3820150340934951</v>
      </c>
      <c r="R45">
        <f t="shared" si="9"/>
        <v>4.163573245035125</v>
      </c>
      <c r="S45">
        <f t="shared" si="10"/>
        <v>76.169099269727042</v>
      </c>
      <c r="T45" s="10">
        <f t="shared" si="11"/>
        <v>77.104959999999991</v>
      </c>
      <c r="U45" s="18">
        <f t="shared" si="13"/>
        <v>76.169099269727084</v>
      </c>
      <c r="V45" s="10">
        <f t="shared" si="14"/>
        <v>77.104960000000034</v>
      </c>
    </row>
    <row r="46" spans="1:22" x14ac:dyDescent="0.35">
      <c r="A46" t="str">
        <f>'US Raw Data'!A49</f>
        <v>2009-Q2</v>
      </c>
      <c r="B46" s="7">
        <f>'US Raw Data'!B49</f>
        <v>14381.236000000001</v>
      </c>
      <c r="C46" s="7">
        <f>'US Raw Data'!C49</f>
        <v>2223.8240000000001</v>
      </c>
      <c r="D46" s="7">
        <f>'US Raw Data'!D49</f>
        <v>3524.6709999999998</v>
      </c>
      <c r="E46" s="7">
        <f>'US Raw Data'!E49</f>
        <v>352.13400000000001</v>
      </c>
      <c r="F46" s="7">
        <f t="shared" si="0"/>
        <v>3172.5369999999998</v>
      </c>
      <c r="G46" s="7">
        <f>'US Raw Data'!F49*(B46*4/100)</f>
        <v>46181.099825627207</v>
      </c>
      <c r="H46" s="7">
        <f t="shared" si="12"/>
        <v>45808.611858956807</v>
      </c>
      <c r="I46" s="7">
        <f t="shared" si="1"/>
        <v>372.48796667040006</v>
      </c>
      <c r="J46" s="7">
        <f t="shared" si="2"/>
        <v>33413.037550401605</v>
      </c>
      <c r="K46" s="7">
        <f t="shared" si="3"/>
        <v>46181.0998256272</v>
      </c>
      <c r="M46">
        <f t="shared" si="4"/>
        <v>21.984329184689908</v>
      </c>
      <c r="N46">
        <f t="shared" si="5"/>
        <v>15.410152463096209</v>
      </c>
      <c r="O46" s="10">
        <f t="shared" si="6"/>
        <v>80.280130000000014</v>
      </c>
      <c r="P46">
        <f t="shared" si="7"/>
        <v>80.003834524042929</v>
      </c>
      <c r="Q46">
        <f t="shared" si="8"/>
        <v>3.164697226345988</v>
      </c>
      <c r="R46">
        <f t="shared" si="9"/>
        <v>2.5811828440827886</v>
      </c>
      <c r="S46">
        <f t="shared" si="10"/>
        <v>80.003834524042929</v>
      </c>
      <c r="T46" s="10">
        <f t="shared" si="11"/>
        <v>80.28013</v>
      </c>
      <c r="U46" s="18">
        <f t="shared" si="13"/>
        <v>80.003834524042958</v>
      </c>
      <c r="V46" s="10">
        <f t="shared" si="14"/>
        <v>80.280130000000028</v>
      </c>
    </row>
    <row r="47" spans="1:22" x14ac:dyDescent="0.35">
      <c r="A47" t="str">
        <f>'US Raw Data'!A50</f>
        <v>2009-Q3</v>
      </c>
      <c r="B47" s="7">
        <f>'US Raw Data'!B50</f>
        <v>14448.882</v>
      </c>
      <c r="C47" s="7">
        <f>'US Raw Data'!C50</f>
        <v>2225.5010000000002</v>
      </c>
      <c r="D47" s="7">
        <f>'US Raw Data'!D50</f>
        <v>3532.9029999999998</v>
      </c>
      <c r="E47" s="7">
        <f>'US Raw Data'!E50</f>
        <v>350.31700000000001</v>
      </c>
      <c r="F47" s="7">
        <f t="shared" si="0"/>
        <v>3182.5859999999998</v>
      </c>
      <c r="G47" s="7">
        <f>'US Raw Data'!F50*(B47*4/100)</f>
        <v>47639.310589802401</v>
      </c>
      <c r="H47" s="7">
        <f t="shared" si="12"/>
        <v>47488.501825627209</v>
      </c>
      <c r="I47" s="7">
        <f t="shared" si="1"/>
        <v>150.80876417519175</v>
      </c>
      <c r="J47" s="7">
        <f t="shared" si="2"/>
        <v>34720.439550401607</v>
      </c>
      <c r="K47" s="7">
        <f t="shared" si="3"/>
        <v>47639.310589802393</v>
      </c>
      <c r="M47">
        <f t="shared" si="4"/>
        <v>22.130128453493146</v>
      </c>
      <c r="N47">
        <f t="shared" si="5"/>
        <v>15.475032883126319</v>
      </c>
      <c r="O47" s="10">
        <f t="shared" si="6"/>
        <v>82.427330000000012</v>
      </c>
      <c r="P47">
        <f t="shared" si="7"/>
        <v>82.815049050377866</v>
      </c>
      <c r="Q47">
        <f t="shared" si="8"/>
        <v>3.0342889305169738</v>
      </c>
      <c r="R47">
        <f t="shared" si="9"/>
        <v>1.0486495331499444</v>
      </c>
      <c r="S47">
        <f t="shared" si="10"/>
        <v>82.81504905037788</v>
      </c>
      <c r="T47" s="10">
        <f t="shared" si="11"/>
        <v>82.427330000000026</v>
      </c>
      <c r="U47" s="18">
        <f t="shared" si="13"/>
        <v>82.815049050377894</v>
      </c>
      <c r="V47" s="10">
        <f t="shared" si="14"/>
        <v>82.42733000000004</v>
      </c>
    </row>
    <row r="48" spans="1:22" x14ac:dyDescent="0.35">
      <c r="A48" t="str">
        <f>'US Raw Data'!A51</f>
        <v>2009-Q4</v>
      </c>
      <c r="B48" s="7">
        <f>'US Raw Data'!B51</f>
        <v>14651.249</v>
      </c>
      <c r="C48" s="7">
        <f>'US Raw Data'!C51</f>
        <v>2296.4920000000002</v>
      </c>
      <c r="D48" s="7">
        <f>'US Raw Data'!D51</f>
        <v>3560.6190000000001</v>
      </c>
      <c r="E48" s="7">
        <f>'US Raw Data'!E51</f>
        <v>353.81099999999998</v>
      </c>
      <c r="F48" s="7">
        <f t="shared" si="0"/>
        <v>3206.808</v>
      </c>
      <c r="G48" s="7">
        <f>'US Raw Data'!F51*(B48*4/100)</f>
        <v>49245.397206325993</v>
      </c>
      <c r="H48" s="7">
        <f t="shared" si="12"/>
        <v>48903.437589802401</v>
      </c>
      <c r="I48" s="7">
        <f t="shared" si="1"/>
        <v>341.95961652359256</v>
      </c>
      <c r="J48" s="7">
        <f t="shared" si="2"/>
        <v>35984.566550401607</v>
      </c>
      <c r="K48" s="7">
        <f t="shared" si="3"/>
        <v>49245.397206325986</v>
      </c>
      <c r="M48">
        <f t="shared" si="4"/>
        <v>22.194160074115075</v>
      </c>
      <c r="N48">
        <f t="shared" si="5"/>
        <v>15.893907916197254</v>
      </c>
      <c r="O48" s="10">
        <f t="shared" si="6"/>
        <v>84.029349999999994</v>
      </c>
      <c r="P48">
        <f t="shared" si="7"/>
        <v>85.20624157344146</v>
      </c>
      <c r="Q48">
        <f t="shared" si="8"/>
        <v>2.9707482801040888</v>
      </c>
      <c r="R48">
        <f t="shared" si="9"/>
        <v>2.366685647537246</v>
      </c>
      <c r="S48">
        <f t="shared" si="10"/>
        <v>85.20624157344146</v>
      </c>
      <c r="T48" s="10">
        <f t="shared" si="11"/>
        <v>84.029350000000008</v>
      </c>
      <c r="U48" s="18">
        <f t="shared" si="13"/>
        <v>85.206241573441488</v>
      </c>
      <c r="V48" s="10">
        <f t="shared" si="14"/>
        <v>84.029350000000036</v>
      </c>
    </row>
    <row r="49" spans="1:22" x14ac:dyDescent="0.35">
      <c r="A49" t="str">
        <f>'US Raw Data'!A52</f>
        <v>2010-Q1</v>
      </c>
      <c r="B49" s="7">
        <f>'US Raw Data'!B52</f>
        <v>14764.61</v>
      </c>
      <c r="C49" s="7">
        <f>'US Raw Data'!C52</f>
        <v>2366.1320000000001</v>
      </c>
      <c r="D49" s="7">
        <f>'US Raw Data'!D52</f>
        <v>3710.5479999999998</v>
      </c>
      <c r="E49" s="7">
        <f>'US Raw Data'!E52</f>
        <v>360.25799999999998</v>
      </c>
      <c r="F49" s="7">
        <f t="shared" si="0"/>
        <v>3350.29</v>
      </c>
      <c r="G49" s="7">
        <f>'US Raw Data'!F52*(B49*4/100)</f>
        <v>51092.489966700014</v>
      </c>
      <c r="H49" s="7">
        <f t="shared" si="12"/>
        <v>50589.813206325991</v>
      </c>
      <c r="I49" s="7">
        <f t="shared" si="1"/>
        <v>502.67676037402271</v>
      </c>
      <c r="J49" s="7">
        <f t="shared" si="2"/>
        <v>37328.982550401604</v>
      </c>
      <c r="K49" s="7">
        <f t="shared" si="3"/>
        <v>51092.489966700006</v>
      </c>
      <c r="M49">
        <f t="shared" si="4"/>
        <v>22.866924178273131</v>
      </c>
      <c r="N49">
        <f t="shared" si="5"/>
        <v>16.149694814414801</v>
      </c>
      <c r="O49" s="10">
        <f t="shared" si="6"/>
        <v>86.511750000000021</v>
      </c>
      <c r="P49">
        <f t="shared" si="7"/>
        <v>87.181116720321953</v>
      </c>
      <c r="Q49">
        <f t="shared" si="8"/>
        <v>2.9262267780325404</v>
      </c>
      <c r="R49">
        <f t="shared" si="9"/>
        <v>3.43094817632287</v>
      </c>
      <c r="S49">
        <f t="shared" si="10"/>
        <v>87.181116720321967</v>
      </c>
      <c r="T49" s="10">
        <f t="shared" si="11"/>
        <v>86.511750000000021</v>
      </c>
      <c r="U49" s="18">
        <f t="shared" si="13"/>
        <v>87.181116720322009</v>
      </c>
      <c r="V49" s="10">
        <f t="shared" si="14"/>
        <v>86.511750000000063</v>
      </c>
    </row>
    <row r="50" spans="1:22" x14ac:dyDescent="0.35">
      <c r="A50" t="str">
        <f>'US Raw Data'!A53</f>
        <v>2010-Q2</v>
      </c>
      <c r="B50" s="7">
        <f>'US Raw Data'!B53</f>
        <v>14980.192999999999</v>
      </c>
      <c r="C50" s="7">
        <f>'US Raw Data'!C53</f>
        <v>2420.6729999999998</v>
      </c>
      <c r="D50" s="7">
        <f>'US Raw Data'!D53</f>
        <v>3745.7109999999998</v>
      </c>
      <c r="E50" s="7">
        <f>'US Raw Data'!E53</f>
        <v>376.93</v>
      </c>
      <c r="F50" s="7">
        <f t="shared" si="0"/>
        <v>3368.7809999999999</v>
      </c>
      <c r="G50" s="7">
        <f>'US Raw Data'!F53*(B50*4/100)</f>
        <v>52807.1696946304</v>
      </c>
      <c r="H50" s="7">
        <f t="shared" si="12"/>
        <v>52417.527966700014</v>
      </c>
      <c r="I50" s="7">
        <f t="shared" si="1"/>
        <v>389.64172793038597</v>
      </c>
      <c r="J50" s="7">
        <f t="shared" si="2"/>
        <v>38654.020550401605</v>
      </c>
      <c r="K50" s="7">
        <f t="shared" si="3"/>
        <v>52807.169694630393</v>
      </c>
      <c r="M50">
        <f t="shared" si="4"/>
        <v>22.816593191421919</v>
      </c>
      <c r="N50">
        <f t="shared" si="5"/>
        <v>16.395102884532676</v>
      </c>
      <c r="O50" s="10">
        <f t="shared" si="6"/>
        <v>88.128320000000002</v>
      </c>
      <c r="P50">
        <f t="shared" si="7"/>
        <v>89.415111023302345</v>
      </c>
      <c r="Q50">
        <f t="shared" si="8"/>
        <v>2.9509620709084055</v>
      </c>
      <c r="R50">
        <f t="shared" si="9"/>
        <v>2.639024856940928</v>
      </c>
      <c r="S50">
        <f t="shared" si="10"/>
        <v>89.415111023302345</v>
      </c>
      <c r="T50" s="10">
        <f t="shared" si="11"/>
        <v>88.128320000000002</v>
      </c>
      <c r="U50" s="18">
        <f t="shared" si="13"/>
        <v>89.415111023302387</v>
      </c>
      <c r="V50" s="10">
        <f t="shared" si="14"/>
        <v>88.128320000000045</v>
      </c>
    </row>
    <row r="51" spans="1:22" x14ac:dyDescent="0.35">
      <c r="A51" t="str">
        <f>'US Raw Data'!A54</f>
        <v>2010-Q3</v>
      </c>
      <c r="B51" s="7">
        <f>'US Raw Data'!B54</f>
        <v>15141.607</v>
      </c>
      <c r="C51" s="7">
        <f>'US Raw Data'!C54</f>
        <v>2483.29</v>
      </c>
      <c r="D51" s="7">
        <f>'US Raw Data'!D54</f>
        <v>3792.4380000000001</v>
      </c>
      <c r="E51" s="7">
        <f>'US Raw Data'!E54</f>
        <v>389.24700000000001</v>
      </c>
      <c r="F51" s="7">
        <f t="shared" si="0"/>
        <v>3403.1910000000003</v>
      </c>
      <c r="G51" s="7">
        <f>'US Raw Data'!F54*(B51*4/100)</f>
        <v>54246.490824198394</v>
      </c>
      <c r="H51" s="7">
        <f t="shared" si="12"/>
        <v>54116.317694630401</v>
      </c>
      <c r="I51" s="7">
        <f t="shared" si="1"/>
        <v>130.17312956799287</v>
      </c>
      <c r="J51" s="7">
        <f t="shared" si="2"/>
        <v>39963.168550401606</v>
      </c>
      <c r="K51" s="7">
        <f t="shared" si="3"/>
        <v>54246.490824198387</v>
      </c>
      <c r="M51">
        <f t="shared" si="4"/>
        <v>22.717938280234442</v>
      </c>
      <c r="N51">
        <f t="shared" si="5"/>
        <v>16.577156248921494</v>
      </c>
      <c r="O51" s="10">
        <f t="shared" si="6"/>
        <v>89.565280000000001</v>
      </c>
      <c r="P51">
        <f t="shared" si="7"/>
        <v>90.530360363512003</v>
      </c>
      <c r="Q51">
        <f t="shared" si="8"/>
        <v>2.9484405413197514</v>
      </c>
      <c r="R51">
        <f t="shared" si="9"/>
        <v>0.86896830747102438</v>
      </c>
      <c r="S51">
        <f t="shared" si="10"/>
        <v>90.530360363511988</v>
      </c>
      <c r="T51" s="10">
        <f t="shared" si="11"/>
        <v>89.565279999999973</v>
      </c>
      <c r="U51" s="18">
        <f t="shared" si="13"/>
        <v>90.530360363512031</v>
      </c>
      <c r="V51" s="10">
        <f t="shared" si="14"/>
        <v>89.565280000000016</v>
      </c>
    </row>
    <row r="52" spans="1:22" x14ac:dyDescent="0.35">
      <c r="A52" t="str">
        <f>'US Raw Data'!A55</f>
        <v>2010-Q4</v>
      </c>
      <c r="B52" s="7">
        <f>'US Raw Data'!B55</f>
        <v>15309.474</v>
      </c>
      <c r="C52" s="7">
        <f>'US Raw Data'!C55</f>
        <v>2514.962</v>
      </c>
      <c r="D52" s="7">
        <f>'US Raw Data'!D55</f>
        <v>3809.8040000000001</v>
      </c>
      <c r="E52" s="7">
        <f>'US Raw Data'!E55</f>
        <v>399.51400000000001</v>
      </c>
      <c r="F52" s="7">
        <f t="shared" si="0"/>
        <v>3410.29</v>
      </c>
      <c r="G52" s="7">
        <f>'US Raw Data'!F55*(B52*4/100)</f>
        <v>56100.857113406397</v>
      </c>
      <c r="H52" s="7">
        <f t="shared" si="12"/>
        <v>55541.332824198391</v>
      </c>
      <c r="I52" s="7">
        <f t="shared" si="1"/>
        <v>559.52428920800594</v>
      </c>
      <c r="J52" s="7">
        <f t="shared" si="2"/>
        <v>41258.010550401603</v>
      </c>
      <c r="K52" s="7">
        <f t="shared" si="3"/>
        <v>56100.85711340639</v>
      </c>
      <c r="M52">
        <f t="shared" si="4"/>
        <v>22.522642411733443</v>
      </c>
      <c r="N52">
        <f t="shared" si="5"/>
        <v>16.609610855703757</v>
      </c>
      <c r="O52" s="10">
        <f t="shared" si="6"/>
        <v>91.611339999999998</v>
      </c>
      <c r="P52">
        <f t="shared" si="7"/>
        <v>92.626986543446804</v>
      </c>
      <c r="Q52">
        <f t="shared" si="8"/>
        <v>2.9459159029824944</v>
      </c>
      <c r="R52">
        <f t="shared" si="9"/>
        <v>3.6952767906867874</v>
      </c>
      <c r="S52">
        <f t="shared" si="10"/>
        <v>92.626986543446819</v>
      </c>
      <c r="T52" s="10">
        <f t="shared" si="11"/>
        <v>91.611340000000013</v>
      </c>
      <c r="U52" s="18">
        <f t="shared" si="13"/>
        <v>92.626986543446833</v>
      </c>
      <c r="V52" s="10">
        <f t="shared" si="14"/>
        <v>91.611340000000027</v>
      </c>
    </row>
    <row r="53" spans="1:22" x14ac:dyDescent="0.35">
      <c r="A53" t="str">
        <f>'US Raw Data'!A56</f>
        <v>2011-Q1</v>
      </c>
      <c r="B53" s="7">
        <f>'US Raw Data'!B56</f>
        <v>15351.448</v>
      </c>
      <c r="C53" s="7">
        <f>'US Raw Data'!C56</f>
        <v>2566.855</v>
      </c>
      <c r="D53" s="7">
        <f>'US Raw Data'!D56</f>
        <v>3811.2629999999999</v>
      </c>
      <c r="E53" s="7">
        <f>'US Raw Data'!E56</f>
        <v>410.80500000000001</v>
      </c>
      <c r="F53" s="7">
        <f t="shared" si="0"/>
        <v>3400.4580000000001</v>
      </c>
      <c r="G53" s="7">
        <f>'US Raw Data'!F56*(B53*4/100)</f>
        <v>57080.453979628801</v>
      </c>
      <c r="H53" s="7">
        <f t="shared" si="12"/>
        <v>57345.2651134064</v>
      </c>
      <c r="I53" s="7">
        <f t="shared" si="1"/>
        <v>-264.81113377759903</v>
      </c>
      <c r="J53" s="7">
        <f t="shared" si="2"/>
        <v>42502.418550401606</v>
      </c>
      <c r="K53" s="7">
        <f t="shared" si="3"/>
        <v>57080.453979628794</v>
      </c>
      <c r="M53">
        <f t="shared" si="4"/>
        <v>22.211462000588654</v>
      </c>
      <c r="N53">
        <f t="shared" si="5"/>
        <v>16.766448017743784</v>
      </c>
      <c r="O53" s="10">
        <f t="shared" si="6"/>
        <v>92.956140000000005</v>
      </c>
      <c r="P53">
        <f t="shared" si="7"/>
        <v>93.210997940929914</v>
      </c>
      <c r="Q53">
        <f t="shared" si="8"/>
        <v>2.9290461582044536</v>
      </c>
      <c r="R53">
        <f t="shared" si="9"/>
        <v>-1.7297206538748426</v>
      </c>
      <c r="S53">
        <f t="shared" si="10"/>
        <v>93.2109979409299</v>
      </c>
      <c r="T53" s="10">
        <f t="shared" si="11"/>
        <v>92.956139999999991</v>
      </c>
      <c r="U53" s="18">
        <f t="shared" si="13"/>
        <v>93.210997940929929</v>
      </c>
      <c r="V53" s="10">
        <f t="shared" si="14"/>
        <v>92.956140000000019</v>
      </c>
    </row>
    <row r="54" spans="1:22" x14ac:dyDescent="0.35">
      <c r="A54" t="str">
        <f>'US Raw Data'!A57</f>
        <v>2011-Q2</v>
      </c>
      <c r="B54" s="7">
        <f>'US Raw Data'!B57</f>
        <v>15557.539000000001</v>
      </c>
      <c r="C54" s="7">
        <f>'US Raw Data'!C57</f>
        <v>2574.9720000000002</v>
      </c>
      <c r="D54" s="7">
        <f>'US Raw Data'!D57</f>
        <v>3849.377</v>
      </c>
      <c r="E54" s="7">
        <f>'US Raw Data'!E57</f>
        <v>424.98700000000002</v>
      </c>
      <c r="F54" s="7">
        <f t="shared" si="0"/>
        <v>3424.39</v>
      </c>
      <c r="G54" s="7">
        <f>'US Raw Data'!F57*(B54*4/100)</f>
        <v>57372.345562327995</v>
      </c>
      <c r="H54" s="7">
        <f t="shared" si="12"/>
        <v>58354.8589796288</v>
      </c>
      <c r="I54" s="7">
        <f t="shared" si="1"/>
        <v>-982.51341730080458</v>
      </c>
      <c r="J54" s="7">
        <f t="shared" si="2"/>
        <v>43776.823550401605</v>
      </c>
      <c r="K54" s="7">
        <f t="shared" si="3"/>
        <v>57372.345562327988</v>
      </c>
      <c r="M54">
        <f t="shared" si="4"/>
        <v>22.306625407583702</v>
      </c>
      <c r="N54">
        <f t="shared" si="5"/>
        <v>16.773479609219926</v>
      </c>
      <c r="O54" s="10">
        <f t="shared" si="6"/>
        <v>92.193799999999996</v>
      </c>
      <c r="P54">
        <f t="shared" si="7"/>
        <v>93.431488616461451</v>
      </c>
      <c r="Q54">
        <f t="shared" si="8"/>
        <v>2.9781613170187593</v>
      </c>
      <c r="R54">
        <f t="shared" si="9"/>
        <v>-6.4001351357917802</v>
      </c>
      <c r="S54">
        <f t="shared" si="10"/>
        <v>93.431488616461451</v>
      </c>
      <c r="T54" s="10">
        <f t="shared" si="11"/>
        <v>92.193799999999996</v>
      </c>
      <c r="U54" s="18">
        <f t="shared" si="13"/>
        <v>93.431488616461465</v>
      </c>
      <c r="V54" s="10">
        <f t="shared" si="14"/>
        <v>92.19380000000001</v>
      </c>
    </row>
    <row r="55" spans="1:22" x14ac:dyDescent="0.35">
      <c r="A55" t="str">
        <f>'US Raw Data'!A58</f>
        <v>2011-Q3</v>
      </c>
      <c r="B55" s="7">
        <f>'US Raw Data'!B58</f>
        <v>15647.68</v>
      </c>
      <c r="C55" s="7">
        <f>'US Raw Data'!C58</f>
        <v>2565.373</v>
      </c>
      <c r="D55" s="7">
        <f>'US Raw Data'!D58</f>
        <v>3783.8330000000001</v>
      </c>
      <c r="E55" s="7">
        <f>'US Raw Data'!E58</f>
        <v>432.625</v>
      </c>
      <c r="F55" s="7">
        <f t="shared" si="0"/>
        <v>3351.2080000000001</v>
      </c>
      <c r="G55" s="7">
        <f>'US Raw Data'!F58*(B55*4/100)</f>
        <v>59161.361933055996</v>
      </c>
      <c r="H55" s="7">
        <f t="shared" si="12"/>
        <v>58590.805562327994</v>
      </c>
      <c r="I55" s="7">
        <f t="shared" si="1"/>
        <v>570.55637072800164</v>
      </c>
      <c r="J55" s="7">
        <f t="shared" si="2"/>
        <v>44995.283550401604</v>
      </c>
      <c r="K55" s="7">
        <f t="shared" si="3"/>
        <v>59161.361933055989</v>
      </c>
      <c r="M55">
        <f t="shared" si="4"/>
        <v>21.540733402628781</v>
      </c>
      <c r="N55">
        <f t="shared" si="5"/>
        <v>16.489581032064262</v>
      </c>
      <c r="O55" s="10">
        <f t="shared" si="6"/>
        <v>94.520979999999994</v>
      </c>
      <c r="P55">
        <f t="shared" si="7"/>
        <v>95.068638319106881</v>
      </c>
      <c r="Q55">
        <f t="shared" si="8"/>
        <v>3.0162615508198543</v>
      </c>
      <c r="R55">
        <f t="shared" si="9"/>
        <v>3.6673947642233236</v>
      </c>
      <c r="S55">
        <f t="shared" si="10"/>
        <v>95.06863831910691</v>
      </c>
      <c r="T55" s="10">
        <f t="shared" si="11"/>
        <v>94.520980000000009</v>
      </c>
      <c r="U55" s="18">
        <f t="shared" si="13"/>
        <v>95.068638319106924</v>
      </c>
      <c r="V55" s="10">
        <f t="shared" si="14"/>
        <v>94.520980000000023</v>
      </c>
    </row>
    <row r="56" spans="1:22" x14ac:dyDescent="0.35">
      <c r="A56" t="str">
        <f>'US Raw Data'!A59</f>
        <v>2011-Q4</v>
      </c>
      <c r="B56" s="7">
        <f>'US Raw Data'!B59</f>
        <v>15842.259</v>
      </c>
      <c r="C56" s="7">
        <f>'US Raw Data'!C59</f>
        <v>2587.239</v>
      </c>
      <c r="D56" s="7">
        <f>'US Raw Data'!D59</f>
        <v>3786.5279999999998</v>
      </c>
      <c r="E56" s="7">
        <f>'US Raw Data'!E59</f>
        <v>433.35</v>
      </c>
      <c r="F56" s="7">
        <f t="shared" si="0"/>
        <v>3353.1779999999999</v>
      </c>
      <c r="G56" s="7">
        <f>'US Raw Data'!F59*(B56*4/100)</f>
        <v>60891.762949459211</v>
      </c>
      <c r="H56" s="7">
        <f t="shared" si="12"/>
        <v>60360.650933055993</v>
      </c>
      <c r="I56" s="7">
        <f t="shared" si="1"/>
        <v>531.11201640321815</v>
      </c>
      <c r="J56" s="7">
        <f t="shared" si="2"/>
        <v>46194.572550401601</v>
      </c>
      <c r="K56" s="7">
        <f t="shared" si="3"/>
        <v>60891.762949459204</v>
      </c>
      <c r="M56">
        <f t="shared" si="4"/>
        <v>21.429234237918976</v>
      </c>
      <c r="N56">
        <f t="shared" si="5"/>
        <v>16.534329689768708</v>
      </c>
      <c r="O56" s="10">
        <f t="shared" si="6"/>
        <v>96.090720000000019</v>
      </c>
      <c r="P56">
        <f t="shared" si="7"/>
        <v>97.285608712376543</v>
      </c>
      <c r="Q56">
        <f t="shared" si="8"/>
        <v>2.9299528330017619</v>
      </c>
      <c r="R56">
        <f t="shared" si="9"/>
        <v>3.3941901700649435</v>
      </c>
      <c r="S56">
        <f t="shared" si="10"/>
        <v>97.285608712376558</v>
      </c>
      <c r="T56" s="10">
        <f t="shared" si="11"/>
        <v>96.090720000000033</v>
      </c>
      <c r="U56" s="18">
        <f t="shared" si="13"/>
        <v>97.285608712376586</v>
      </c>
      <c r="V56" s="10">
        <f t="shared" si="14"/>
        <v>96.090720000000061</v>
      </c>
    </row>
    <row r="57" spans="1:22" x14ac:dyDescent="0.35">
      <c r="A57" t="str">
        <f>'US Raw Data'!A60</f>
        <v>2012-Q1</v>
      </c>
      <c r="B57" s="7">
        <f>'US Raw Data'!B60</f>
        <v>16068.805</v>
      </c>
      <c r="C57" s="7">
        <f>'US Raw Data'!C60</f>
        <v>2663.9490000000001</v>
      </c>
      <c r="D57" s="7">
        <f>'US Raw Data'!D60</f>
        <v>3774.3440000000001</v>
      </c>
      <c r="E57" s="7">
        <f>'US Raw Data'!E60</f>
        <v>428.34300000000002</v>
      </c>
      <c r="F57" s="7">
        <f t="shared" si="0"/>
        <v>3346.0010000000002</v>
      </c>
      <c r="G57" s="7">
        <f>'US Raw Data'!F60*(B57*4/100)</f>
        <v>62426.073340776005</v>
      </c>
      <c r="H57" s="7">
        <f t="shared" si="12"/>
        <v>62002.157949459208</v>
      </c>
      <c r="I57" s="7">
        <f t="shared" si="1"/>
        <v>423.91539131679747</v>
      </c>
      <c r="J57" s="7">
        <f t="shared" si="2"/>
        <v>47304.967550401598</v>
      </c>
      <c r="K57" s="7">
        <f t="shared" si="3"/>
        <v>62426.073340775998</v>
      </c>
      <c r="M57">
        <f t="shared" si="4"/>
        <v>21.120731582535043</v>
      </c>
      <c r="N57">
        <f t="shared" si="5"/>
        <v>16.815461734339781</v>
      </c>
      <c r="O57" s="10">
        <f t="shared" si="6"/>
        <v>97.123080000000002</v>
      </c>
      <c r="P57">
        <f t="shared" si="7"/>
        <v>98.511950443393218</v>
      </c>
      <c r="Q57">
        <f t="shared" si="8"/>
        <v>2.8137993006083866</v>
      </c>
      <c r="R57">
        <f t="shared" si="9"/>
        <v>2.6758519180679818</v>
      </c>
      <c r="S57">
        <f t="shared" si="10"/>
        <v>98.511950443393218</v>
      </c>
      <c r="T57" s="10">
        <f t="shared" si="11"/>
        <v>97.123080000000002</v>
      </c>
      <c r="U57" s="18">
        <f t="shared" si="13"/>
        <v>98.51195044339326</v>
      </c>
      <c r="V57" s="10">
        <f t="shared" si="14"/>
        <v>97.123080000000044</v>
      </c>
    </row>
    <row r="58" spans="1:22" x14ac:dyDescent="0.35">
      <c r="A58" t="str">
        <f>'US Raw Data'!A61</f>
        <v>2012-Q2</v>
      </c>
      <c r="B58" s="7">
        <f>'US Raw Data'!B61</f>
        <v>16207.115</v>
      </c>
      <c r="C58" s="7">
        <f>'US Raw Data'!C61</f>
        <v>2679.7469999999998</v>
      </c>
      <c r="D58" s="7">
        <f>'US Raw Data'!D61</f>
        <v>3772.8670000000002</v>
      </c>
      <c r="E58" s="7">
        <f>'US Raw Data'!E61</f>
        <v>424.34500000000003</v>
      </c>
      <c r="F58" s="7">
        <f t="shared" si="0"/>
        <v>3348.5219999999999</v>
      </c>
      <c r="G58" s="7">
        <f>'US Raw Data'!F61*(B58*4/100)</f>
        <v>63420.145983497998</v>
      </c>
      <c r="H58" s="7">
        <f t="shared" si="12"/>
        <v>63519.193340776008</v>
      </c>
      <c r="I58" s="7">
        <f t="shared" si="1"/>
        <v>-99.047357278010168</v>
      </c>
      <c r="J58" s="7">
        <f t="shared" si="2"/>
        <v>48398.0875504016</v>
      </c>
      <c r="K58" s="7">
        <f t="shared" si="3"/>
        <v>63420.145983497991</v>
      </c>
      <c r="M58">
        <f t="shared" si="4"/>
        <v>20.838649793808564</v>
      </c>
      <c r="N58">
        <f t="shared" si="5"/>
        <v>16.676703712566056</v>
      </c>
      <c r="O58" s="10">
        <f t="shared" si="6"/>
        <v>97.827629999999999</v>
      </c>
      <c r="P58">
        <f t="shared" si="7"/>
        <v>98.669667693860859</v>
      </c>
      <c r="Q58">
        <f t="shared" si="8"/>
        <v>2.7190241339291328</v>
      </c>
      <c r="R58">
        <f t="shared" si="9"/>
        <v>-0.61639529061439335</v>
      </c>
      <c r="S58">
        <f t="shared" si="10"/>
        <v>98.669667693860859</v>
      </c>
      <c r="T58" s="10">
        <f t="shared" si="11"/>
        <v>97.827629999999985</v>
      </c>
      <c r="U58" s="18">
        <f t="shared" si="13"/>
        <v>98.669667693860902</v>
      </c>
      <c r="V58" s="10">
        <f t="shared" si="14"/>
        <v>97.827630000000028</v>
      </c>
    </row>
    <row r="59" spans="1:22" x14ac:dyDescent="0.35">
      <c r="A59" t="str">
        <f>'US Raw Data'!A62</f>
        <v>2012-Q3</v>
      </c>
      <c r="B59" s="7">
        <f>'US Raw Data'!B62</f>
        <v>16319.540999999999</v>
      </c>
      <c r="C59" s="7">
        <f>'US Raw Data'!C62</f>
        <v>2690.5549999999998</v>
      </c>
      <c r="D59" s="7">
        <f>'US Raw Data'!D62</f>
        <v>3777.299</v>
      </c>
      <c r="E59" s="7">
        <f>'US Raw Data'!E62</f>
        <v>420.97399999999999</v>
      </c>
      <c r="F59" s="7">
        <f t="shared" si="0"/>
        <v>3356.3249999999998</v>
      </c>
      <c r="G59" s="7">
        <f>'US Raw Data'!F62*(B59*4/100)</f>
        <v>64264.962033106793</v>
      </c>
      <c r="H59" s="7">
        <f t="shared" si="12"/>
        <v>64506.889983497997</v>
      </c>
      <c r="I59" s="7">
        <f t="shared" si="1"/>
        <v>-241.92795039120392</v>
      </c>
      <c r="J59" s="7">
        <f t="shared" si="2"/>
        <v>49484.831550401599</v>
      </c>
      <c r="K59" s="7">
        <f t="shared" si="3"/>
        <v>64264.962033106785</v>
      </c>
      <c r="M59">
        <f t="shared" si="4"/>
        <v>20.708960231355181</v>
      </c>
      <c r="N59">
        <f t="shared" si="5"/>
        <v>16.60107304723882</v>
      </c>
      <c r="O59" s="10">
        <f t="shared" si="6"/>
        <v>98.447869999999995</v>
      </c>
      <c r="P59">
        <f t="shared" si="7"/>
        <v>99.130786128664468</v>
      </c>
      <c r="Q59">
        <f t="shared" si="8"/>
        <v>2.6551436832676987</v>
      </c>
      <c r="R59">
        <f t="shared" si="9"/>
        <v>-1.4927268078939646</v>
      </c>
      <c r="S59">
        <f t="shared" si="10"/>
        <v>99.130786128664468</v>
      </c>
      <c r="T59" s="10">
        <f t="shared" si="11"/>
        <v>98.447869999999995</v>
      </c>
      <c r="U59" s="18">
        <f t="shared" si="13"/>
        <v>99.130786128664496</v>
      </c>
      <c r="V59" s="10">
        <f t="shared" si="14"/>
        <v>98.447870000000023</v>
      </c>
    </row>
    <row r="60" spans="1:22" x14ac:dyDescent="0.35">
      <c r="A60" t="str">
        <f>'US Raw Data'!A63</f>
        <v>2012-Q4</v>
      </c>
      <c r="B60" s="7">
        <f>'US Raw Data'!B63</f>
        <v>16420.419000000002</v>
      </c>
      <c r="C60" s="7">
        <f>'US Raw Data'!C63</f>
        <v>2769.018</v>
      </c>
      <c r="D60" s="7">
        <f>'US Raw Data'!D63</f>
        <v>3769.5030000000002</v>
      </c>
      <c r="E60" s="7">
        <f>'US Raw Data'!E63</f>
        <v>416.834</v>
      </c>
      <c r="F60" s="7">
        <f t="shared" si="0"/>
        <v>3352.6690000000003</v>
      </c>
      <c r="G60" s="7">
        <f>'US Raw Data'!F63*(B60*4/100)</f>
        <v>65730.917552497194</v>
      </c>
      <c r="H60" s="7">
        <f t="shared" si="12"/>
        <v>65265.447033106793</v>
      </c>
      <c r="I60" s="7">
        <f t="shared" si="1"/>
        <v>465.47051939040102</v>
      </c>
      <c r="J60" s="7">
        <f t="shared" si="2"/>
        <v>50485.3165504016</v>
      </c>
      <c r="K60" s="7">
        <f t="shared" si="3"/>
        <v>65730.91755249718</v>
      </c>
      <c r="M60">
        <f t="shared" si="4"/>
        <v>20.54389274796393</v>
      </c>
      <c r="N60">
        <f t="shared" si="5"/>
        <v>16.96749926974049</v>
      </c>
      <c r="O60" s="10">
        <f t="shared" si="6"/>
        <v>100.07496999999998</v>
      </c>
      <c r="P60">
        <f t="shared" si="7"/>
        <v>100.6935758066008</v>
      </c>
      <c r="Q60">
        <f t="shared" si="8"/>
        <v>2.5944713063722871</v>
      </c>
      <c r="R60">
        <f t="shared" si="9"/>
        <v>2.8522280092951209</v>
      </c>
      <c r="S60">
        <f t="shared" si="10"/>
        <v>100.6935758066008</v>
      </c>
      <c r="T60" s="10">
        <f t="shared" si="11"/>
        <v>100.07496999999998</v>
      </c>
      <c r="U60" s="18">
        <f t="shared" si="13"/>
        <v>100.69357580660083</v>
      </c>
      <c r="V60" s="10">
        <f t="shared" si="14"/>
        <v>100.07497000000001</v>
      </c>
    </row>
    <row r="61" spans="1:22" x14ac:dyDescent="0.35">
      <c r="A61" t="str">
        <f>'US Raw Data'!A64</f>
        <v>2013-Q1</v>
      </c>
      <c r="B61" s="7">
        <f>'US Raw Data'!B64</f>
        <v>16648.188999999998</v>
      </c>
      <c r="C61" s="7">
        <f>'US Raw Data'!C64</f>
        <v>2984.538</v>
      </c>
      <c r="D61" s="7">
        <f>'US Raw Data'!D64</f>
        <v>3758.7979999999998</v>
      </c>
      <c r="E61" s="7">
        <f>'US Raw Data'!E64</f>
        <v>411.05200000000002</v>
      </c>
      <c r="F61" s="7">
        <f t="shared" si="0"/>
        <v>3347.7459999999996</v>
      </c>
      <c r="G61" s="7">
        <f>'US Raw Data'!F64*(B61*4/100)</f>
        <v>67085.522416573192</v>
      </c>
      <c r="H61" s="7">
        <f t="shared" si="12"/>
        <v>66505.177552497189</v>
      </c>
      <c r="I61" s="7">
        <f t="shared" si="1"/>
        <v>580.34486407600343</v>
      </c>
      <c r="J61" s="7">
        <f t="shared" si="2"/>
        <v>51259.576550401602</v>
      </c>
      <c r="K61" s="7">
        <f t="shared" si="3"/>
        <v>67085.522416573178</v>
      </c>
      <c r="M61">
        <f t="shared" si="4"/>
        <v>20.38770143441528</v>
      </c>
      <c r="N61">
        <f t="shared" si="5"/>
        <v>18.175772493990557</v>
      </c>
      <c r="O61" s="10">
        <f t="shared" si="6"/>
        <v>100.73997</v>
      </c>
      <c r="P61">
        <f t="shared" si="7"/>
        <v>102.13734865196373</v>
      </c>
      <c r="Q61">
        <f t="shared" si="8"/>
        <v>2.5014225591584407</v>
      </c>
      <c r="R61">
        <f t="shared" si="9"/>
        <v>3.5342877917792679</v>
      </c>
      <c r="S61">
        <f t="shared" si="10"/>
        <v>102.13734865196373</v>
      </c>
      <c r="T61" s="10">
        <f t="shared" si="11"/>
        <v>100.73997</v>
      </c>
      <c r="U61" s="18">
        <f t="shared" si="13"/>
        <v>102.13734865196376</v>
      </c>
      <c r="V61" s="10">
        <f t="shared" si="14"/>
        <v>100.73997000000003</v>
      </c>
    </row>
    <row r="62" spans="1:22" x14ac:dyDescent="0.35">
      <c r="A62" t="str">
        <f>'US Raw Data'!A65</f>
        <v>2013-Q2</v>
      </c>
      <c r="B62" s="7">
        <f>'US Raw Data'!B65</f>
        <v>16728.687000000002</v>
      </c>
      <c r="C62" s="7">
        <f>'US Raw Data'!C65</f>
        <v>3244.7460000000001</v>
      </c>
      <c r="D62" s="7">
        <f>'US Raw Data'!D65</f>
        <v>3776.0349999999999</v>
      </c>
      <c r="E62" s="7">
        <f>'US Raw Data'!E65</f>
        <v>412.50799999999998</v>
      </c>
      <c r="F62" s="7">
        <f t="shared" si="0"/>
        <v>3363.527</v>
      </c>
      <c r="G62" s="7">
        <f>'US Raw Data'!F65*(B62*4/100)</f>
        <v>66953.277511898414</v>
      </c>
      <c r="H62" s="7">
        <f t="shared" si="12"/>
        <v>67616.811416573197</v>
      </c>
      <c r="I62" s="7">
        <f t="shared" si="1"/>
        <v>-663.53390467478312</v>
      </c>
      <c r="J62" s="7">
        <f t="shared" si="2"/>
        <v>51790.865550401599</v>
      </c>
      <c r="K62" s="7">
        <f t="shared" si="3"/>
        <v>66953.277511898399</v>
      </c>
      <c r="M62">
        <f t="shared" si="4"/>
        <v>20.203560879805007</v>
      </c>
      <c r="N62">
        <f t="shared" si="5"/>
        <v>19.490083876390404</v>
      </c>
      <c r="O62" s="10">
        <f t="shared" si="6"/>
        <v>100.05758</v>
      </c>
      <c r="P62">
        <f t="shared" si="7"/>
        <v>100.54138247694451</v>
      </c>
      <c r="Q62">
        <f t="shared" si="8"/>
        <v>2.4595947688295356</v>
      </c>
      <c r="R62">
        <f t="shared" si="9"/>
        <v>-3.985622127876991</v>
      </c>
      <c r="S62">
        <f t="shared" si="10"/>
        <v>100.54138247694452</v>
      </c>
      <c r="T62" s="10">
        <f t="shared" si="11"/>
        <v>100.05758</v>
      </c>
      <c r="U62" s="18">
        <f t="shared" si="13"/>
        <v>100.54138247694455</v>
      </c>
      <c r="V62" s="10">
        <f t="shared" si="14"/>
        <v>100.05758000000003</v>
      </c>
    </row>
    <row r="63" spans="1:22" x14ac:dyDescent="0.35">
      <c r="A63" t="str">
        <f>'US Raw Data'!A66</f>
        <v>2013-Q3</v>
      </c>
      <c r="B63" s="7">
        <f>'US Raw Data'!B66</f>
        <v>16953.838</v>
      </c>
      <c r="C63" s="7">
        <f>'US Raw Data'!C66</f>
        <v>3070.3290000000002</v>
      </c>
      <c r="D63" s="7">
        <f>'US Raw Data'!D66</f>
        <v>3773.7240000000002</v>
      </c>
      <c r="E63" s="7">
        <f>'US Raw Data'!E66</f>
        <v>416.74200000000002</v>
      </c>
      <c r="F63" s="7">
        <f t="shared" si="0"/>
        <v>3356.982</v>
      </c>
      <c r="G63" s="7">
        <f>'US Raw Data'!F66*(B63*4/100)</f>
        <v>66952.720377954392</v>
      </c>
      <c r="H63" s="7">
        <f t="shared" si="12"/>
        <v>67656.672511898418</v>
      </c>
      <c r="I63" s="7">
        <f t="shared" si="1"/>
        <v>-703.95213394402526</v>
      </c>
      <c r="J63" s="7">
        <f t="shared" si="2"/>
        <v>52494.260550401596</v>
      </c>
      <c r="K63" s="7">
        <f t="shared" si="3"/>
        <v>66952.720377954378</v>
      </c>
      <c r="M63">
        <f t="shared" si="4"/>
        <v>20.067217469009968</v>
      </c>
      <c r="N63">
        <f t="shared" si="5"/>
        <v>18.35367593404073</v>
      </c>
      <c r="O63" s="10">
        <f t="shared" si="6"/>
        <v>98.727969999999999</v>
      </c>
      <c r="P63">
        <f t="shared" si="7"/>
        <v>100.0567473973815</v>
      </c>
      <c r="Q63">
        <f t="shared" si="8"/>
        <v>2.4897481675990538</v>
      </c>
      <c r="R63">
        <f t="shared" si="9"/>
        <v>-4.2080537100372863</v>
      </c>
      <c r="S63">
        <f t="shared" si="10"/>
        <v>100.05674739738149</v>
      </c>
      <c r="T63" s="10">
        <f t="shared" si="11"/>
        <v>98.727969999999985</v>
      </c>
      <c r="U63" s="18">
        <f t="shared" si="13"/>
        <v>100.05674739738151</v>
      </c>
      <c r="V63" s="10">
        <f t="shared" si="14"/>
        <v>98.727970000000013</v>
      </c>
    </row>
    <row r="64" spans="1:22" x14ac:dyDescent="0.35">
      <c r="A64" t="str">
        <f>'US Raw Data'!A67</f>
        <v>2013-Q4</v>
      </c>
      <c r="B64" s="7">
        <f>'US Raw Data'!B67</f>
        <v>17192.019</v>
      </c>
      <c r="C64" s="7">
        <f>'US Raw Data'!C67</f>
        <v>3245.665</v>
      </c>
      <c r="D64" s="7">
        <f>'US Raw Data'!D67</f>
        <v>3772.4630000000002</v>
      </c>
      <c r="E64" s="7">
        <f>'US Raw Data'!E67</f>
        <v>425.00099999999998</v>
      </c>
      <c r="F64" s="7">
        <f t="shared" si="0"/>
        <v>3347.4620000000004</v>
      </c>
      <c r="G64" s="7">
        <f>'US Raw Data'!F67*(B64*4/100)</f>
        <v>68624.474503696794</v>
      </c>
      <c r="H64" s="7">
        <f t="shared" si="12"/>
        <v>67479.518377954388</v>
      </c>
      <c r="I64" s="7">
        <f t="shared" si="1"/>
        <v>1144.9561257424066</v>
      </c>
      <c r="J64" s="7">
        <f t="shared" si="2"/>
        <v>53021.058550401598</v>
      </c>
      <c r="K64" s="7">
        <f t="shared" si="3"/>
        <v>68624.47450369678</v>
      </c>
      <c r="M64">
        <f t="shared" si="4"/>
        <v>19.744567572251196</v>
      </c>
      <c r="N64">
        <f t="shared" si="5"/>
        <v>19.144131258066757</v>
      </c>
      <c r="O64" s="10">
        <f t="shared" si="6"/>
        <v>99.791179999999983</v>
      </c>
      <c r="P64">
        <f t="shared" si="7"/>
        <v>101.19312586285299</v>
      </c>
      <c r="Q64">
        <f t="shared" si="8"/>
        <v>2.5391111674078628</v>
      </c>
      <c r="R64">
        <f t="shared" si="9"/>
        <v>6.7533742256025251</v>
      </c>
      <c r="S64">
        <f t="shared" si="10"/>
        <v>101.19312586285302</v>
      </c>
      <c r="T64" s="10">
        <f t="shared" si="11"/>
        <v>99.791180000000026</v>
      </c>
      <c r="U64" s="18">
        <f t="shared" si="13"/>
        <v>101.19312586285304</v>
      </c>
      <c r="V64" s="10">
        <f t="shared" si="14"/>
        <v>99.79118000000004</v>
      </c>
    </row>
    <row r="65" spans="1:22" x14ac:dyDescent="0.35">
      <c r="A65" t="str">
        <f>'US Raw Data'!A68</f>
        <v>2014-Q1</v>
      </c>
      <c r="B65" s="7">
        <f>'US Raw Data'!B68</f>
        <v>17197.738000000001</v>
      </c>
      <c r="C65" s="7">
        <f>'US Raw Data'!C68</f>
        <v>3262.8380000000002</v>
      </c>
      <c r="D65" s="7">
        <f>'US Raw Data'!D68</f>
        <v>3819.402</v>
      </c>
      <c r="E65" s="7">
        <f>'US Raw Data'!E68</f>
        <v>431.952</v>
      </c>
      <c r="F65" s="7">
        <f t="shared" si="0"/>
        <v>3387.45</v>
      </c>
      <c r="G65" s="7">
        <f>'US Raw Data'!F68*(B65*4/100)</f>
        <v>70404.904678538398</v>
      </c>
      <c r="H65" s="7">
        <f t="shared" si="12"/>
        <v>69181.038503696793</v>
      </c>
      <c r="I65" s="7">
        <f t="shared" si="1"/>
        <v>1223.8661748416052</v>
      </c>
      <c r="J65" s="7">
        <f t="shared" si="2"/>
        <v>53577.622550401597</v>
      </c>
      <c r="K65" s="7">
        <f t="shared" si="3"/>
        <v>70404.904678538383</v>
      </c>
      <c r="M65">
        <f t="shared" si="4"/>
        <v>19.703619452723963</v>
      </c>
      <c r="N65">
        <f t="shared" si="5"/>
        <v>18.978794753542328</v>
      </c>
      <c r="O65" s="10">
        <f t="shared" si="6"/>
        <v>102.34616999999999</v>
      </c>
      <c r="P65">
        <f t="shared" si="7"/>
        <v>102.38021589921811</v>
      </c>
      <c r="Q65">
        <f t="shared" si="8"/>
        <v>2.5177722853191731</v>
      </c>
      <c r="R65">
        <f t="shared" si="9"/>
        <v>7.118804224457902</v>
      </c>
      <c r="S65">
        <f t="shared" si="10"/>
        <v>102.38021589921811</v>
      </c>
      <c r="T65" s="10">
        <f t="shared" si="11"/>
        <v>102.34616999999999</v>
      </c>
      <c r="U65" s="18">
        <f t="shared" si="13"/>
        <v>102.38021589921817</v>
      </c>
      <c r="V65" s="10">
        <f t="shared" si="14"/>
        <v>102.34617000000004</v>
      </c>
    </row>
    <row r="66" spans="1:22" x14ac:dyDescent="0.35">
      <c r="A66" t="str">
        <f>'US Raw Data'!A69</f>
        <v>2014-Q2</v>
      </c>
      <c r="B66" s="7">
        <f>'US Raw Data'!B69</f>
        <v>17518.508000000002</v>
      </c>
      <c r="C66" s="7">
        <f>'US Raw Data'!C69</f>
        <v>3295.8310000000001</v>
      </c>
      <c r="D66" s="7">
        <f>'US Raw Data'!D69</f>
        <v>3876.0720000000001</v>
      </c>
      <c r="E66" s="7">
        <f>'US Raw Data'!E69</f>
        <v>440.02699999999999</v>
      </c>
      <c r="F66" s="7">
        <f t="shared" si="0"/>
        <v>3436.0450000000001</v>
      </c>
      <c r="G66" s="7">
        <f>'US Raw Data'!F69*(B66*4/100)</f>
        <v>70530.424170416009</v>
      </c>
      <c r="H66" s="7">
        <f t="shared" si="12"/>
        <v>70985.145678538393</v>
      </c>
      <c r="I66" s="7">
        <f t="shared" si="1"/>
        <v>-454.72150812238397</v>
      </c>
      <c r="J66" s="7">
        <f t="shared" si="2"/>
        <v>54157.863550401598</v>
      </c>
      <c r="K66" s="7">
        <f t="shared" si="3"/>
        <v>70530.424170415994</v>
      </c>
      <c r="M66">
        <f t="shared" si="4"/>
        <v>19.979633368062707</v>
      </c>
      <c r="N66">
        <f t="shared" si="5"/>
        <v>19.164328471569924</v>
      </c>
      <c r="O66" s="10">
        <f t="shared" si="6"/>
        <v>100.65130000000001</v>
      </c>
      <c r="P66">
        <f t="shared" si="7"/>
        <v>102.52863511819984</v>
      </c>
      <c r="Q66">
        <f t="shared" si="8"/>
        <v>2.499979238714225</v>
      </c>
      <c r="R66">
        <f t="shared" si="9"/>
        <v>-2.6440774253124681</v>
      </c>
      <c r="S66">
        <f t="shared" si="10"/>
        <v>102.52863511819984</v>
      </c>
      <c r="T66" s="10">
        <f t="shared" si="11"/>
        <v>100.65129999999999</v>
      </c>
      <c r="U66" s="18">
        <f t="shared" si="13"/>
        <v>102.5286351181999</v>
      </c>
      <c r="V66" s="10">
        <f t="shared" si="14"/>
        <v>100.65130000000005</v>
      </c>
    </row>
    <row r="67" spans="1:22" x14ac:dyDescent="0.35">
      <c r="A67" t="str">
        <f>'US Raw Data'!A70</f>
        <v>2014-Q3</v>
      </c>
      <c r="B67" s="7">
        <f>'US Raw Data'!B70</f>
        <v>17804.227999999999</v>
      </c>
      <c r="C67" s="7">
        <f>'US Raw Data'!C70</f>
        <v>3303.6979999999999</v>
      </c>
      <c r="D67" s="7">
        <f>'US Raw Data'!D70</f>
        <v>3931.623</v>
      </c>
      <c r="E67" s="7">
        <f>'US Raw Data'!E70</f>
        <v>442.10700000000003</v>
      </c>
      <c r="F67" s="7">
        <f t="shared" ref="F67:F112" si="15">D67-E67</f>
        <v>3489.5160000000001</v>
      </c>
      <c r="G67" s="7">
        <f>'US Raw Data'!F70*(B67*4/100)</f>
        <v>71296.283248424006</v>
      </c>
      <c r="H67" s="7">
        <f t="shared" si="12"/>
        <v>71158.349170416011</v>
      </c>
      <c r="I67" s="7">
        <f t="shared" si="1"/>
        <v>137.93407800799469</v>
      </c>
      <c r="J67" s="7">
        <f t="shared" si="2"/>
        <v>54785.788550401601</v>
      </c>
      <c r="K67" s="7">
        <f t="shared" si="3"/>
        <v>71296.283248423992</v>
      </c>
      <c r="M67">
        <f t="shared" si="4"/>
        <v>19.91902506765987</v>
      </c>
      <c r="N67">
        <f t="shared" si="5"/>
        <v>18.858329716206423</v>
      </c>
      <c r="O67" s="10">
        <f t="shared" si="6"/>
        <v>100.11145000000002</v>
      </c>
      <c r="P67">
        <f t="shared" si="7"/>
        <v>101.74422851595581</v>
      </c>
      <c r="Q67">
        <f t="shared" si="8"/>
        <v>2.5073264776164037</v>
      </c>
      <c r="R67">
        <f t="shared" si="9"/>
        <v>0.78736201740464806</v>
      </c>
      <c r="S67">
        <f t="shared" si="10"/>
        <v>101.74422851595583</v>
      </c>
      <c r="T67" s="10">
        <f t="shared" si="11"/>
        <v>100.11145000000003</v>
      </c>
      <c r="U67" s="18">
        <f t="shared" si="13"/>
        <v>101.74422851595587</v>
      </c>
      <c r="V67" s="10">
        <f t="shared" si="14"/>
        <v>100.11145000000008</v>
      </c>
    </row>
    <row r="68" spans="1:22" x14ac:dyDescent="0.35">
      <c r="A68" t="str">
        <f>'US Raw Data'!A71</f>
        <v>2014-Q4</v>
      </c>
      <c r="B68" s="7">
        <f>'US Raw Data'!B71</f>
        <v>17912.079000000002</v>
      </c>
      <c r="C68" s="7">
        <f>'US Raw Data'!C71</f>
        <v>3315.2979999999998</v>
      </c>
      <c r="D68" s="7">
        <f>'US Raw Data'!D71</f>
        <v>3926.6509999999998</v>
      </c>
      <c r="E68" s="7">
        <f>'US Raw Data'!E71</f>
        <v>442.28300000000002</v>
      </c>
      <c r="F68" s="7">
        <f t="shared" si="15"/>
        <v>3484.3679999999999</v>
      </c>
      <c r="G68" s="7">
        <f>'US Raw Data'!F71*(B68*4/100)</f>
        <v>72565.77268638002</v>
      </c>
      <c r="H68" s="7">
        <f t="shared" si="12"/>
        <v>71907.636248424009</v>
      </c>
      <c r="I68" s="7">
        <f t="shared" ref="I68:I112" si="16">G68-H68</f>
        <v>658.13643795601092</v>
      </c>
      <c r="J68" s="7">
        <f t="shared" ref="J68:J112" si="17">F68-C68+E68+J67</f>
        <v>55397.141550401604</v>
      </c>
      <c r="K68" s="7">
        <f t="shared" ref="K68:K112" si="18">F68-C68+E68+I68+K67</f>
        <v>72565.772686380005</v>
      </c>
      <c r="M68">
        <f t="shared" ref="M68:M112" si="19">400*F68/(4*B67)</f>
        <v>19.57045259137324</v>
      </c>
      <c r="N68">
        <f t="shared" ref="N68:N112" si="20">400*C68/(4*B67)</f>
        <v>18.620846688775273</v>
      </c>
      <c r="O68" s="10">
        <f t="shared" ref="O68:O112" si="21">100*G68/(4*B68)</f>
        <v>101.28050000000002</v>
      </c>
      <c r="P68">
        <f t="shared" ref="P68:P112" si="22">100*G68/(4*B67)</f>
        <v>101.89401737382269</v>
      </c>
      <c r="Q68">
        <f t="shared" ref="Q68:Q112" si="23">400*E68/(4*B67)*(1/(O67/100))</f>
        <v>2.4813804021671864</v>
      </c>
      <c r="R68">
        <f t="shared" ref="R68:R112" si="24">400*I68/(4*B67)</f>
        <v>3.6965176920673617</v>
      </c>
      <c r="S68">
        <f t="shared" ref="S68:S112" si="25">((1/4)*(M68-N68+R68)+(1+(Q68/400))*O67)</f>
        <v>101.89401737382269</v>
      </c>
      <c r="T68" s="10">
        <f t="shared" ref="T68:T112" si="26">((1/4)*(M68-N68+R68)+(1+(Q68/400))*O67)*(B67/B68)</f>
        <v>101.28050000000002</v>
      </c>
      <c r="U68" s="18">
        <f t="shared" si="13"/>
        <v>101.89401737382275</v>
      </c>
      <c r="V68" s="10">
        <f t="shared" si="14"/>
        <v>101.28050000000006</v>
      </c>
    </row>
    <row r="69" spans="1:22" x14ac:dyDescent="0.35">
      <c r="A69" t="str">
        <f>'US Raw Data'!A72</f>
        <v>2015-Q1</v>
      </c>
      <c r="B69" s="7">
        <f>'US Raw Data'!B72</f>
        <v>18063.528999999999</v>
      </c>
      <c r="C69" s="7">
        <f>'US Raw Data'!C72</f>
        <v>3391.529</v>
      </c>
      <c r="D69" s="7">
        <f>'US Raw Data'!D72</f>
        <v>3970.21</v>
      </c>
      <c r="E69" s="7">
        <f>'US Raw Data'!E72</f>
        <v>428.68900000000002</v>
      </c>
      <c r="F69" s="7">
        <f t="shared" si="15"/>
        <v>3541.5210000000002</v>
      </c>
      <c r="G69" s="7">
        <f>'US Raw Data'!F72*(B69*4/100)</f>
        <v>72608.226197104392</v>
      </c>
      <c r="H69" s="7">
        <f t="shared" ref="H69:H113" si="27">F69-C69+E69+G68</f>
        <v>73144.453686380017</v>
      </c>
      <c r="I69" s="7">
        <f t="shared" si="16"/>
        <v>-536.22748927562498</v>
      </c>
      <c r="J69" s="7">
        <f t="shared" si="17"/>
        <v>55975.822550401601</v>
      </c>
      <c r="K69" s="7">
        <f t="shared" si="18"/>
        <v>72608.226197104377</v>
      </c>
      <c r="M69">
        <f t="shared" si="19"/>
        <v>19.771691493767978</v>
      </c>
      <c r="N69">
        <f t="shared" si="20"/>
        <v>18.934312426826612</v>
      </c>
      <c r="O69" s="10">
        <f t="shared" si="21"/>
        <v>100.49009</v>
      </c>
      <c r="P69">
        <f t="shared" si="22"/>
        <v>101.33975262880482</v>
      </c>
      <c r="Q69">
        <f t="shared" si="23"/>
        <v>2.3630369201895722</v>
      </c>
      <c r="R69">
        <f t="shared" si="24"/>
        <v>-2.9936641596747364</v>
      </c>
      <c r="S69">
        <f t="shared" si="25"/>
        <v>101.33975262880483</v>
      </c>
      <c r="T69" s="10">
        <f t="shared" si="26"/>
        <v>100.49009000000001</v>
      </c>
      <c r="U69" s="18">
        <f t="shared" ref="U69:U112" si="28">(1/4)*(M69-N69+R69)+(1+(Q69/400))*V68</f>
        <v>101.33975262880487</v>
      </c>
      <c r="V69" s="10">
        <f t="shared" si="14"/>
        <v>100.49009000000005</v>
      </c>
    </row>
    <row r="70" spans="1:22" x14ac:dyDescent="0.35">
      <c r="A70" t="str">
        <f>'US Raw Data'!A73</f>
        <v>2015-Q2</v>
      </c>
      <c r="B70" s="7">
        <f>'US Raw Data'!B73</f>
        <v>18279.784</v>
      </c>
      <c r="C70" s="7">
        <f>'US Raw Data'!C73</f>
        <v>3445.4009999999998</v>
      </c>
      <c r="D70" s="7">
        <f>'US Raw Data'!D73</f>
        <v>3990.7779999999998</v>
      </c>
      <c r="E70" s="7">
        <f>'US Raw Data'!E73</f>
        <v>425.87700000000001</v>
      </c>
      <c r="F70" s="7">
        <f t="shared" si="15"/>
        <v>3564.9009999999998</v>
      </c>
      <c r="G70" s="7">
        <f>'US Raw Data'!F73*(B70*4/100)</f>
        <v>72607.989367878399</v>
      </c>
      <c r="H70" s="7">
        <f t="shared" si="27"/>
        <v>73153.603197104385</v>
      </c>
      <c r="I70" s="7">
        <f t="shared" si="16"/>
        <v>-545.61382922598568</v>
      </c>
      <c r="J70" s="7">
        <f t="shared" si="17"/>
        <v>56521.199550401601</v>
      </c>
      <c r="K70" s="7">
        <f t="shared" si="18"/>
        <v>72607.989367878385</v>
      </c>
      <c r="M70">
        <f t="shared" si="19"/>
        <v>19.73535182410923</v>
      </c>
      <c r="N70">
        <f t="shared" si="20"/>
        <v>19.073797816583902</v>
      </c>
      <c r="O70" s="10">
        <f t="shared" si="21"/>
        <v>99.300939999999997</v>
      </c>
      <c r="P70">
        <f t="shared" si="22"/>
        <v>100.48976222735658</v>
      </c>
      <c r="Q70">
        <f t="shared" si="23"/>
        <v>2.3461639117523791</v>
      </c>
      <c r="R70">
        <f t="shared" si="24"/>
        <v>-3.020527324566455</v>
      </c>
      <c r="S70">
        <f t="shared" si="25"/>
        <v>100.48976222735658</v>
      </c>
      <c r="T70" s="10">
        <f t="shared" si="26"/>
        <v>99.300940000000011</v>
      </c>
      <c r="U70" s="18">
        <f t="shared" si="28"/>
        <v>100.48976222735664</v>
      </c>
      <c r="V70" s="10">
        <f t="shared" ref="V70:V112" si="29">U70*(B69/B70)</f>
        <v>99.300940000000068</v>
      </c>
    </row>
    <row r="71" spans="1:22" x14ac:dyDescent="0.35">
      <c r="A71" t="str">
        <f>'US Raw Data'!A74</f>
        <v>2015-Q3</v>
      </c>
      <c r="B71" s="7">
        <f>'US Raw Data'!B74</f>
        <v>18401.626</v>
      </c>
      <c r="C71" s="7">
        <f>'US Raw Data'!C74</f>
        <v>3446.663</v>
      </c>
      <c r="D71" s="7">
        <f>'US Raw Data'!D74</f>
        <v>4011.91</v>
      </c>
      <c r="E71" s="7">
        <f>'US Raw Data'!E74</f>
        <v>427.88099999999997</v>
      </c>
      <c r="F71" s="7">
        <f t="shared" si="15"/>
        <v>3584.029</v>
      </c>
      <c r="G71" s="7">
        <f>'US Raw Data'!F74*(B71*4/100)</f>
        <v>72602.474482187987</v>
      </c>
      <c r="H71" s="7">
        <f t="shared" si="27"/>
        <v>73173.236367878402</v>
      </c>
      <c r="I71" s="7">
        <f t="shared" si="16"/>
        <v>-570.76188569041551</v>
      </c>
      <c r="J71" s="7">
        <f t="shared" si="17"/>
        <v>57086.446550401604</v>
      </c>
      <c r="K71" s="7">
        <f t="shared" si="18"/>
        <v>72602.474482187972</v>
      </c>
      <c r="M71">
        <f t="shared" si="19"/>
        <v>19.606517232369924</v>
      </c>
      <c r="N71">
        <f t="shared" si="20"/>
        <v>18.855053210694393</v>
      </c>
      <c r="O71" s="10">
        <f t="shared" si="21"/>
        <v>98.63594999999998</v>
      </c>
      <c r="P71">
        <f t="shared" si="22"/>
        <v>99.293397671148611</v>
      </c>
      <c r="Q71">
        <f t="shared" si="23"/>
        <v>2.3572116717463798</v>
      </c>
      <c r="R71">
        <f t="shared" si="24"/>
        <v>-3.1223666849149612</v>
      </c>
      <c r="S71">
        <f t="shared" si="25"/>
        <v>99.293397671148611</v>
      </c>
      <c r="T71" s="10">
        <f t="shared" si="26"/>
        <v>98.63594999999998</v>
      </c>
      <c r="U71" s="18">
        <f t="shared" si="28"/>
        <v>99.293397671148682</v>
      </c>
      <c r="V71" s="10">
        <f t="shared" si="29"/>
        <v>98.635950000000051</v>
      </c>
    </row>
    <row r="72" spans="1:22" x14ac:dyDescent="0.35">
      <c r="A72" t="str">
        <f>'US Raw Data'!A75</f>
        <v>2015-Q4</v>
      </c>
      <c r="B72" s="7">
        <f>'US Raw Data'!B75</f>
        <v>18435.136999999999</v>
      </c>
      <c r="C72" s="7">
        <f>'US Raw Data'!C75</f>
        <v>3509.95</v>
      </c>
      <c r="D72" s="7">
        <f>'US Raw Data'!D75</f>
        <v>4050.4029999999998</v>
      </c>
      <c r="E72" s="7">
        <f>'US Raw Data'!E75</f>
        <v>434.68200000000002</v>
      </c>
      <c r="F72" s="7">
        <f t="shared" si="15"/>
        <v>3615.7209999999995</v>
      </c>
      <c r="G72" s="7">
        <f>'US Raw Data'!F75*(B72*4/100)</f>
        <v>75688.714285721595</v>
      </c>
      <c r="H72" s="7">
        <f t="shared" si="27"/>
        <v>73142.927482187981</v>
      </c>
      <c r="I72" s="7">
        <f t="shared" si="16"/>
        <v>2545.7868035336141</v>
      </c>
      <c r="J72" s="7">
        <f t="shared" si="17"/>
        <v>57626.899550401606</v>
      </c>
      <c r="K72" s="7">
        <f t="shared" si="18"/>
        <v>75688.71428572158</v>
      </c>
      <c r="M72">
        <f t="shared" si="19"/>
        <v>19.6489212420685</v>
      </c>
      <c r="N72">
        <f t="shared" si="20"/>
        <v>19.074129644847687</v>
      </c>
      <c r="O72" s="10">
        <f t="shared" si="21"/>
        <v>102.64192</v>
      </c>
      <c r="P72">
        <f t="shared" si="22"/>
        <v>102.8288400787539</v>
      </c>
      <c r="Q72">
        <f t="shared" si="23"/>
        <v>2.3948605228690556</v>
      </c>
      <c r="R72">
        <f t="shared" si="24"/>
        <v>13.834575289888047</v>
      </c>
      <c r="S72">
        <f t="shared" si="25"/>
        <v>102.8288400787539</v>
      </c>
      <c r="T72" s="10">
        <f t="shared" si="26"/>
        <v>102.64192</v>
      </c>
      <c r="U72" s="18">
        <f t="shared" si="28"/>
        <v>102.82884007875398</v>
      </c>
      <c r="V72" s="10">
        <f t="shared" si="29"/>
        <v>102.64192000000008</v>
      </c>
    </row>
    <row r="73" spans="1:22" x14ac:dyDescent="0.35">
      <c r="A73" t="str">
        <f>'US Raw Data'!A76</f>
        <v>2016-Q1</v>
      </c>
      <c r="B73" s="7">
        <f>'US Raw Data'!B76</f>
        <v>18525.933000000001</v>
      </c>
      <c r="C73" s="7">
        <f>'US Raw Data'!C76</f>
        <v>3445.5309999999999</v>
      </c>
      <c r="D73" s="7">
        <f>'US Raw Data'!D76</f>
        <v>4084.2919999999999</v>
      </c>
      <c r="E73" s="7">
        <f>'US Raw Data'!E76</f>
        <v>446.22500000000002</v>
      </c>
      <c r="F73" s="7">
        <f t="shared" si="15"/>
        <v>3638.067</v>
      </c>
      <c r="G73" s="7">
        <f>'US Raw Data'!F76*(B73*4/100)</f>
        <v>77059.759510972799</v>
      </c>
      <c r="H73" s="7">
        <f t="shared" si="27"/>
        <v>76327.475285721594</v>
      </c>
      <c r="I73" s="7">
        <f t="shared" si="16"/>
        <v>732.2842252512055</v>
      </c>
      <c r="J73" s="7">
        <f t="shared" si="17"/>
        <v>58265.660550401604</v>
      </c>
      <c r="K73" s="7">
        <f t="shared" si="18"/>
        <v>77059.759510972784</v>
      </c>
      <c r="M73">
        <f t="shared" si="19"/>
        <v>19.734418030091128</v>
      </c>
      <c r="N73">
        <f t="shared" si="20"/>
        <v>18.690021126504242</v>
      </c>
      <c r="O73" s="10">
        <f t="shared" si="21"/>
        <v>103.98903999999999</v>
      </c>
      <c r="P73">
        <f t="shared" si="22"/>
        <v>104.5012026639303</v>
      </c>
      <c r="Q73">
        <f t="shared" si="23"/>
        <v>2.3582115469184481</v>
      </c>
      <c r="R73">
        <f t="shared" si="24"/>
        <v>3.9722201427155412</v>
      </c>
      <c r="S73">
        <f t="shared" si="25"/>
        <v>104.50120266393031</v>
      </c>
      <c r="T73" s="10">
        <f t="shared" si="26"/>
        <v>103.98904</v>
      </c>
      <c r="U73" s="18">
        <f t="shared" si="28"/>
        <v>104.5012026639304</v>
      </c>
      <c r="V73" s="10">
        <f t="shared" si="29"/>
        <v>103.98904000000009</v>
      </c>
    </row>
    <row r="74" spans="1:22" x14ac:dyDescent="0.35">
      <c r="A74" t="str">
        <f>'US Raw Data'!A77</f>
        <v>2016-Q2</v>
      </c>
      <c r="B74" s="7">
        <f>'US Raw Data'!B77</f>
        <v>18711.702000000001</v>
      </c>
      <c r="C74" s="7">
        <f>'US Raw Data'!C77</f>
        <v>3447.085</v>
      </c>
      <c r="D74" s="7">
        <f>'US Raw Data'!D77</f>
        <v>4101.6469999999999</v>
      </c>
      <c r="E74" s="7">
        <f>'US Raw Data'!E77</f>
        <v>453.291</v>
      </c>
      <c r="F74" s="7">
        <f t="shared" si="15"/>
        <v>3648.3559999999998</v>
      </c>
      <c r="G74" s="7">
        <f>'US Raw Data'!F77*(B74*4/100)</f>
        <v>77526.361149804012</v>
      </c>
      <c r="H74" s="7">
        <f t="shared" si="27"/>
        <v>77714.321510972804</v>
      </c>
      <c r="I74" s="7">
        <f t="shared" si="16"/>
        <v>-187.96036116879259</v>
      </c>
      <c r="J74" s="7">
        <f t="shared" si="17"/>
        <v>58920.222550401602</v>
      </c>
      <c r="K74" s="7">
        <f t="shared" si="18"/>
        <v>77526.361149803997</v>
      </c>
      <c r="M74">
        <f t="shared" si="19"/>
        <v>19.693237582150381</v>
      </c>
      <c r="N74">
        <f t="shared" si="20"/>
        <v>18.606809168531484</v>
      </c>
      <c r="O74" s="10">
        <f t="shared" si="21"/>
        <v>103.58005000000001</v>
      </c>
      <c r="P74">
        <f t="shared" si="22"/>
        <v>104.61870010784884</v>
      </c>
      <c r="Q74">
        <f t="shared" si="23"/>
        <v>2.3529323365482564</v>
      </c>
      <c r="R74">
        <f t="shared" si="24"/>
        <v>-1.0145797308496829</v>
      </c>
      <c r="S74">
        <f t="shared" si="25"/>
        <v>104.61870010784882</v>
      </c>
      <c r="T74" s="10">
        <f t="shared" si="26"/>
        <v>103.58005</v>
      </c>
      <c r="U74" s="18">
        <f t="shared" si="28"/>
        <v>104.61870010784892</v>
      </c>
      <c r="V74" s="10">
        <f t="shared" si="29"/>
        <v>103.5800500000001</v>
      </c>
    </row>
    <row r="75" spans="1:22" x14ac:dyDescent="0.35">
      <c r="A75" t="str">
        <f>'US Raw Data'!A78</f>
        <v>2016-Q3</v>
      </c>
      <c r="B75" s="7">
        <f>'US Raw Data'!B78</f>
        <v>18892.638999999999</v>
      </c>
      <c r="C75" s="7">
        <f>'US Raw Data'!C78</f>
        <v>3468.7310000000002</v>
      </c>
      <c r="D75" s="7">
        <f>'US Raw Data'!D78</f>
        <v>4150.5</v>
      </c>
      <c r="E75" s="7">
        <f>'US Raw Data'!E78</f>
        <v>457.51400000000001</v>
      </c>
      <c r="F75" s="7">
        <f t="shared" si="15"/>
        <v>3692.9859999999999</v>
      </c>
      <c r="G75" s="7">
        <f>'US Raw Data'!F78*(B75*4/100)</f>
        <v>78293.778770738005</v>
      </c>
      <c r="H75" s="7">
        <f t="shared" si="27"/>
        <v>78208.130149804012</v>
      </c>
      <c r="I75" s="7">
        <f t="shared" si="16"/>
        <v>85.648620933992788</v>
      </c>
      <c r="J75" s="7">
        <f t="shared" si="17"/>
        <v>59601.991550401603</v>
      </c>
      <c r="K75" s="7">
        <f t="shared" si="18"/>
        <v>78293.77877073799</v>
      </c>
      <c r="M75">
        <f t="shared" si="19"/>
        <v>19.736237783179742</v>
      </c>
      <c r="N75">
        <f t="shared" si="20"/>
        <v>18.53776316018714</v>
      </c>
      <c r="O75" s="10">
        <f t="shared" si="21"/>
        <v>103.60355000000001</v>
      </c>
      <c r="P75">
        <f t="shared" si="22"/>
        <v>104.60536776763813</v>
      </c>
      <c r="Q75">
        <f t="shared" si="23"/>
        <v>2.3605596507538733</v>
      </c>
      <c r="R75">
        <f t="shared" si="24"/>
        <v>0.45772758102920186</v>
      </c>
      <c r="S75">
        <f t="shared" si="25"/>
        <v>104.60536776763813</v>
      </c>
      <c r="T75" s="10">
        <f t="shared" si="26"/>
        <v>103.60355</v>
      </c>
      <c r="U75" s="18">
        <f t="shared" si="28"/>
        <v>104.60536776763821</v>
      </c>
      <c r="V75" s="10">
        <f t="shared" si="29"/>
        <v>103.60355000000008</v>
      </c>
    </row>
    <row r="76" spans="1:22" x14ac:dyDescent="0.35">
      <c r="A76" t="str">
        <f>'US Raw Data'!A79</f>
        <v>2016-Q4</v>
      </c>
      <c r="B76" s="7">
        <f>'US Raw Data'!B79</f>
        <v>19089.379000000001</v>
      </c>
      <c r="C76" s="7">
        <f>'US Raw Data'!C79</f>
        <v>3481.3429999999998</v>
      </c>
      <c r="D76" s="7">
        <f>'US Raw Data'!D79</f>
        <v>4175.46</v>
      </c>
      <c r="E76" s="7">
        <f>'US Raw Data'!E79</f>
        <v>460.18400000000003</v>
      </c>
      <c r="F76" s="7">
        <f t="shared" si="15"/>
        <v>3715.2759999999998</v>
      </c>
      <c r="G76" s="7">
        <f>'US Raw Data'!F79*(B76*4/100)</f>
        <v>79907.308197075603</v>
      </c>
      <c r="H76" s="7">
        <f t="shared" si="27"/>
        <v>78987.895770738003</v>
      </c>
      <c r="I76" s="7">
        <f t="shared" si="16"/>
        <v>919.41242633759975</v>
      </c>
      <c r="J76" s="7">
        <f t="shared" si="17"/>
        <v>60296.108550401601</v>
      </c>
      <c r="K76" s="7">
        <f t="shared" si="18"/>
        <v>79907.308197075588</v>
      </c>
      <c r="M76">
        <f t="shared" si="19"/>
        <v>19.665203998234443</v>
      </c>
      <c r="N76">
        <f t="shared" si="20"/>
        <v>18.426981005671045</v>
      </c>
      <c r="O76" s="10">
        <f t="shared" si="21"/>
        <v>104.64891</v>
      </c>
      <c r="P76">
        <f t="shared" si="22"/>
        <v>105.73867975389199</v>
      </c>
      <c r="Q76">
        <f t="shared" si="23"/>
        <v>2.3510629182812774</v>
      </c>
      <c r="R76">
        <f t="shared" si="24"/>
        <v>4.8665113769315118</v>
      </c>
      <c r="S76">
        <f t="shared" si="25"/>
        <v>105.73867975389199</v>
      </c>
      <c r="T76" s="10">
        <f t="shared" si="26"/>
        <v>104.64891</v>
      </c>
      <c r="U76" s="18">
        <f t="shared" si="28"/>
        <v>105.73867975389206</v>
      </c>
      <c r="V76" s="10">
        <f t="shared" si="29"/>
        <v>104.64891000000007</v>
      </c>
    </row>
    <row r="77" spans="1:22" x14ac:dyDescent="0.35">
      <c r="A77" t="str">
        <f>'US Raw Data'!A80</f>
        <v>2017-Q1</v>
      </c>
      <c r="B77" s="7">
        <f>'US Raw Data'!B80</f>
        <v>19280.083999999999</v>
      </c>
      <c r="C77" s="7">
        <f>'US Raw Data'!C80</f>
        <v>3482.1840000000002</v>
      </c>
      <c r="D77" s="7">
        <f>'US Raw Data'!D80</f>
        <v>4192.2619999999997</v>
      </c>
      <c r="E77" s="7">
        <f>'US Raw Data'!E80</f>
        <v>460.66899999999998</v>
      </c>
      <c r="F77" s="7">
        <f t="shared" si="15"/>
        <v>3731.5929999999998</v>
      </c>
      <c r="G77" s="7">
        <f>'US Raw Data'!F80*(B77*4/100)</f>
        <v>79385.6764616976</v>
      </c>
      <c r="H77" s="7">
        <f t="shared" si="27"/>
        <v>80617.386197075597</v>
      </c>
      <c r="I77" s="7">
        <f t="shared" si="16"/>
        <v>-1231.7097353779973</v>
      </c>
      <c r="J77" s="7">
        <f t="shared" si="17"/>
        <v>61006.186550401602</v>
      </c>
      <c r="K77" s="7">
        <f t="shared" si="18"/>
        <v>79385.676461697585</v>
      </c>
      <c r="M77">
        <f t="shared" si="19"/>
        <v>19.548006249967585</v>
      </c>
      <c r="N77">
        <f t="shared" si="20"/>
        <v>18.241473439235506</v>
      </c>
      <c r="O77" s="10">
        <f t="shared" si="21"/>
        <v>102.93741000000001</v>
      </c>
      <c r="P77">
        <f t="shared" si="22"/>
        <v>103.96576607035986</v>
      </c>
      <c r="Q77">
        <f t="shared" si="23"/>
        <v>2.3060168607549678</v>
      </c>
      <c r="R77">
        <f t="shared" si="24"/>
        <v>-6.4523300384889275</v>
      </c>
      <c r="S77">
        <f t="shared" si="25"/>
        <v>103.96576607035985</v>
      </c>
      <c r="T77" s="10">
        <f t="shared" si="26"/>
        <v>102.93741</v>
      </c>
      <c r="U77" s="18">
        <f t="shared" si="28"/>
        <v>103.96576607035992</v>
      </c>
      <c r="V77" s="10">
        <f t="shared" si="29"/>
        <v>102.93741000000007</v>
      </c>
    </row>
    <row r="78" spans="1:22" x14ac:dyDescent="0.35">
      <c r="A78" t="str">
        <f>'US Raw Data'!A81</f>
        <v>2017-Q2</v>
      </c>
      <c r="B78" s="7">
        <f>'US Raw Data'!B81</f>
        <v>19438.643</v>
      </c>
      <c r="C78" s="7">
        <f>'US Raw Data'!C81</f>
        <v>3467.7489999999998</v>
      </c>
      <c r="D78" s="7">
        <f>'US Raw Data'!D81</f>
        <v>4195.549</v>
      </c>
      <c r="E78" s="7">
        <f>'US Raw Data'!E81</f>
        <v>471.214</v>
      </c>
      <c r="F78" s="7">
        <f t="shared" si="15"/>
        <v>3724.335</v>
      </c>
      <c r="G78" s="7">
        <f>'US Raw Data'!F81*(B78*4/100)</f>
        <v>79378.219646132406</v>
      </c>
      <c r="H78" s="7">
        <f t="shared" si="27"/>
        <v>80113.476461697603</v>
      </c>
      <c r="I78" s="7">
        <f t="shared" si="16"/>
        <v>-735.25681556519703</v>
      </c>
      <c r="J78" s="7">
        <f t="shared" si="17"/>
        <v>61733.986550401605</v>
      </c>
      <c r="K78" s="7">
        <f t="shared" si="18"/>
        <v>79378.219646132391</v>
      </c>
      <c r="M78">
        <f t="shared" si="19"/>
        <v>19.317006087732814</v>
      </c>
      <c r="N78">
        <f t="shared" si="20"/>
        <v>17.986171637011537</v>
      </c>
      <c r="O78" s="10">
        <f t="shared" si="21"/>
        <v>102.08817000000001</v>
      </c>
      <c r="P78">
        <f t="shared" si="22"/>
        <v>102.92774093480662</v>
      </c>
      <c r="Q78">
        <f t="shared" si="23"/>
        <v>2.3743023729342596</v>
      </c>
      <c r="R78">
        <f t="shared" si="24"/>
        <v>-3.8135560797618782</v>
      </c>
      <c r="S78">
        <f t="shared" si="25"/>
        <v>102.92774093480662</v>
      </c>
      <c r="T78" s="10">
        <f t="shared" si="26"/>
        <v>102.08817000000001</v>
      </c>
      <c r="U78" s="18">
        <f t="shared" si="28"/>
        <v>102.92774093480668</v>
      </c>
      <c r="V78" s="10">
        <f t="shared" si="29"/>
        <v>102.08817000000006</v>
      </c>
    </row>
    <row r="79" spans="1:22" x14ac:dyDescent="0.35">
      <c r="A79" t="str">
        <f>'US Raw Data'!A82</f>
        <v>2017-Q3</v>
      </c>
      <c r="B79" s="7">
        <f>'US Raw Data'!B82</f>
        <v>19692.595000000001</v>
      </c>
      <c r="C79" s="7">
        <f>'US Raw Data'!C82</f>
        <v>3512.1790000000001</v>
      </c>
      <c r="D79" s="7">
        <f>'US Raw Data'!D82</f>
        <v>4253.9849999999997</v>
      </c>
      <c r="E79" s="7">
        <f>'US Raw Data'!E82</f>
        <v>481.45699999999999</v>
      </c>
      <c r="F79" s="7">
        <f t="shared" si="15"/>
        <v>3772.5279999999998</v>
      </c>
      <c r="G79" s="7">
        <f>'US Raw Data'!F82*(B79*4/100)</f>
        <v>80979.597708593996</v>
      </c>
      <c r="H79" s="7">
        <f t="shared" si="27"/>
        <v>80120.025646132402</v>
      </c>
      <c r="I79" s="7">
        <f t="shared" si="16"/>
        <v>859.5720624615933</v>
      </c>
      <c r="J79" s="7">
        <f t="shared" si="17"/>
        <v>62475.792550401602</v>
      </c>
      <c r="K79" s="7">
        <f t="shared" si="18"/>
        <v>80979.597708593981</v>
      </c>
      <c r="M79">
        <f t="shared" si="19"/>
        <v>19.407362952239001</v>
      </c>
      <c r="N79">
        <f t="shared" si="20"/>
        <v>18.0680256332708</v>
      </c>
      <c r="O79" s="10">
        <f t="shared" si="21"/>
        <v>102.80462999999999</v>
      </c>
      <c r="P79">
        <f t="shared" si="22"/>
        <v>104.14769913284842</v>
      </c>
      <c r="Q79">
        <f t="shared" si="23"/>
        <v>2.4261415897022238</v>
      </c>
      <c r="R79">
        <f t="shared" si="24"/>
        <v>4.4219756618895323</v>
      </c>
      <c r="S79">
        <f t="shared" si="25"/>
        <v>104.1476991328484</v>
      </c>
      <c r="T79" s="10">
        <f t="shared" si="26"/>
        <v>102.80462999999997</v>
      </c>
      <c r="U79" s="18">
        <f t="shared" si="28"/>
        <v>104.14769913284846</v>
      </c>
      <c r="V79" s="10">
        <f t="shared" si="29"/>
        <v>102.80463000000003</v>
      </c>
    </row>
    <row r="80" spans="1:22" x14ac:dyDescent="0.35">
      <c r="A80" t="str">
        <f>'US Raw Data'!A83</f>
        <v>2017-Q4</v>
      </c>
      <c r="B80" s="7">
        <f>'US Raw Data'!B83</f>
        <v>20037.088</v>
      </c>
      <c r="C80" s="7">
        <f>'US Raw Data'!C83</f>
        <v>3552.8780000000002</v>
      </c>
      <c r="D80" s="7">
        <f>'US Raw Data'!D83</f>
        <v>4320.3829999999998</v>
      </c>
      <c r="E80" s="7">
        <f>'US Raw Data'!E83</f>
        <v>493.44099999999997</v>
      </c>
      <c r="F80" s="7">
        <f t="shared" si="15"/>
        <v>3826.942</v>
      </c>
      <c r="G80" s="7">
        <f>'US Raw Data'!F83*(B80*4/100)</f>
        <v>81970.989643161593</v>
      </c>
      <c r="H80" s="7">
        <f t="shared" si="27"/>
        <v>81747.102708594</v>
      </c>
      <c r="I80" s="7">
        <f t="shared" si="16"/>
        <v>223.88693456759211</v>
      </c>
      <c r="J80" s="7">
        <f t="shared" si="17"/>
        <v>63243.297550401599</v>
      </c>
      <c r="K80" s="7">
        <f t="shared" si="18"/>
        <v>81970.989643161578</v>
      </c>
      <c r="M80">
        <f t="shared" si="19"/>
        <v>19.433406313388357</v>
      </c>
      <c r="N80">
        <f t="shared" si="20"/>
        <v>18.04169536823359</v>
      </c>
      <c r="O80" s="10">
        <f t="shared" si="21"/>
        <v>102.27408</v>
      </c>
      <c r="P80">
        <f t="shared" si="22"/>
        <v>104.06321467937769</v>
      </c>
      <c r="Q80">
        <f t="shared" si="23"/>
        <v>2.4373596014919854</v>
      </c>
      <c r="R80">
        <f t="shared" si="24"/>
        <v>1.1369092522727051</v>
      </c>
      <c r="S80">
        <f t="shared" si="25"/>
        <v>104.06321467937768</v>
      </c>
      <c r="T80" s="10">
        <f t="shared" si="26"/>
        <v>102.27407999999998</v>
      </c>
      <c r="U80" s="18">
        <f t="shared" si="28"/>
        <v>104.06321467937772</v>
      </c>
      <c r="V80" s="10">
        <f t="shared" si="29"/>
        <v>102.27408000000003</v>
      </c>
    </row>
    <row r="81" spans="1:22" x14ac:dyDescent="0.35">
      <c r="A81" t="str">
        <f>'US Raw Data'!A84</f>
        <v>2018-Q1</v>
      </c>
      <c r="B81" s="7">
        <f>'US Raw Data'!B84</f>
        <v>20328.553</v>
      </c>
      <c r="C81" s="7">
        <f>'US Raw Data'!C84</f>
        <v>3514.2249999999999</v>
      </c>
      <c r="D81" s="7">
        <f>'US Raw Data'!D84</f>
        <v>4398.5010000000002</v>
      </c>
      <c r="E81" s="7">
        <f>'US Raw Data'!E84</f>
        <v>507.61900000000003</v>
      </c>
      <c r="F81" s="7">
        <f t="shared" si="15"/>
        <v>3890.8820000000001</v>
      </c>
      <c r="G81" s="7">
        <f>'US Raw Data'!F84*(B81*4/100)</f>
        <v>84358.575440173998</v>
      </c>
      <c r="H81" s="7">
        <f t="shared" si="27"/>
        <v>82855.265643161591</v>
      </c>
      <c r="I81" s="7">
        <f t="shared" si="16"/>
        <v>1503.3097970124072</v>
      </c>
      <c r="J81" s="7">
        <f t="shared" si="17"/>
        <v>64127.573550401597</v>
      </c>
      <c r="K81" s="7">
        <f t="shared" si="18"/>
        <v>84358.575440173983</v>
      </c>
      <c r="M81">
        <f t="shared" si="19"/>
        <v>19.418400518079274</v>
      </c>
      <c r="N81">
        <f t="shared" si="20"/>
        <v>17.538601417531329</v>
      </c>
      <c r="O81" s="10">
        <f t="shared" si="21"/>
        <v>103.74395000000001</v>
      </c>
      <c r="P81">
        <f t="shared" si="22"/>
        <v>105.25303806642712</v>
      </c>
      <c r="Q81">
        <f t="shared" si="23"/>
        <v>2.4770665925092827</v>
      </c>
      <c r="R81">
        <f t="shared" si="24"/>
        <v>7.5026360966843448</v>
      </c>
      <c r="S81">
        <f t="shared" si="25"/>
        <v>105.25303806642712</v>
      </c>
      <c r="T81" s="10">
        <f t="shared" si="26"/>
        <v>103.74395</v>
      </c>
      <c r="U81" s="18">
        <f t="shared" si="28"/>
        <v>105.25303806642715</v>
      </c>
      <c r="V81" s="10">
        <f t="shared" si="29"/>
        <v>103.74395000000003</v>
      </c>
    </row>
    <row r="82" spans="1:22" x14ac:dyDescent="0.35">
      <c r="A82" t="str">
        <f>'US Raw Data'!A85</f>
        <v>2018-Q2</v>
      </c>
      <c r="B82" s="7">
        <f>'US Raw Data'!B85</f>
        <v>20580.912</v>
      </c>
      <c r="C82" s="7">
        <f>'US Raw Data'!C85</f>
        <v>3552.7220000000002</v>
      </c>
      <c r="D82" s="7">
        <f>'US Raw Data'!D85</f>
        <v>4453.7830000000004</v>
      </c>
      <c r="E82" s="7">
        <f>'US Raw Data'!E85</f>
        <v>531.77800000000002</v>
      </c>
      <c r="F82" s="7">
        <f t="shared" si="15"/>
        <v>3922.0050000000001</v>
      </c>
      <c r="G82" s="7">
        <f>'US Raw Data'!F85*(B82*4/100)</f>
        <v>84780.276212332799</v>
      </c>
      <c r="H82" s="7">
        <f t="shared" si="27"/>
        <v>85259.636440173999</v>
      </c>
      <c r="I82" s="7">
        <f t="shared" si="16"/>
        <v>-479.36022784119996</v>
      </c>
      <c r="J82" s="7">
        <f t="shared" si="17"/>
        <v>65028.634550401599</v>
      </c>
      <c r="K82" s="7">
        <f t="shared" si="18"/>
        <v>84780.276212332785</v>
      </c>
      <c r="M82">
        <f t="shared" si="19"/>
        <v>19.293084952972304</v>
      </c>
      <c r="N82">
        <f t="shared" si="20"/>
        <v>17.476511978004535</v>
      </c>
      <c r="O82" s="10">
        <f t="shared" si="21"/>
        <v>102.98411</v>
      </c>
      <c r="P82">
        <f t="shared" si="22"/>
        <v>104.26255647946611</v>
      </c>
      <c r="Q82">
        <f t="shared" si="23"/>
        <v>2.5215124709028784</v>
      </c>
      <c r="R82">
        <f t="shared" si="24"/>
        <v>-2.3580636941606219</v>
      </c>
      <c r="S82">
        <f t="shared" si="25"/>
        <v>104.26255647946613</v>
      </c>
      <c r="T82" s="10">
        <f t="shared" si="26"/>
        <v>102.98411000000003</v>
      </c>
      <c r="U82" s="18">
        <f t="shared" si="28"/>
        <v>104.26255647946614</v>
      </c>
      <c r="V82" s="10">
        <f t="shared" si="29"/>
        <v>102.98411000000004</v>
      </c>
    </row>
    <row r="83" spans="1:22" x14ac:dyDescent="0.35">
      <c r="A83" t="str">
        <f>'US Raw Data'!A86</f>
        <v>2018-Q3</v>
      </c>
      <c r="B83" s="7">
        <f>'US Raw Data'!B86</f>
        <v>20798.73</v>
      </c>
      <c r="C83" s="7">
        <f>'US Raw Data'!C86</f>
        <v>3632.415</v>
      </c>
      <c r="D83" s="7">
        <f>'US Raw Data'!D86</f>
        <v>4512.2250000000004</v>
      </c>
      <c r="E83" s="7">
        <f>'US Raw Data'!E86</f>
        <v>551.89099999999996</v>
      </c>
      <c r="F83" s="7">
        <f t="shared" si="15"/>
        <v>3960.3340000000003</v>
      </c>
      <c r="G83" s="7">
        <f>'US Raw Data'!F86*(B83*4/100)</f>
        <v>86064.229595879995</v>
      </c>
      <c r="H83" s="7">
        <f t="shared" si="27"/>
        <v>85660.086212332797</v>
      </c>
      <c r="I83" s="7">
        <f t="shared" si="16"/>
        <v>404.14338354719803</v>
      </c>
      <c r="J83" s="7">
        <f t="shared" si="17"/>
        <v>65908.444550401604</v>
      </c>
      <c r="K83" s="7">
        <f t="shared" si="18"/>
        <v>86064.22959587998</v>
      </c>
      <c r="M83">
        <f t="shared" si="19"/>
        <v>19.242752702115435</v>
      </c>
      <c r="N83">
        <f t="shared" si="20"/>
        <v>17.649436526427984</v>
      </c>
      <c r="O83" s="10">
        <f t="shared" si="21"/>
        <v>103.44889999999998</v>
      </c>
      <c r="P83">
        <f t="shared" si="22"/>
        <v>104.54375102021716</v>
      </c>
      <c r="Q83">
        <f t="shared" si="23"/>
        <v>2.6038650717192051</v>
      </c>
      <c r="R83">
        <f t="shared" si="24"/>
        <v>1.963680635470372</v>
      </c>
      <c r="S83">
        <f t="shared" si="25"/>
        <v>104.54375102021717</v>
      </c>
      <c r="T83" s="10">
        <f t="shared" si="26"/>
        <v>103.44889999999999</v>
      </c>
      <c r="U83" s="18">
        <f t="shared" si="28"/>
        <v>104.54375102021721</v>
      </c>
      <c r="V83" s="10">
        <f t="shared" si="29"/>
        <v>103.44890000000004</v>
      </c>
    </row>
    <row r="84" spans="1:22" x14ac:dyDescent="0.35">
      <c r="A84" t="str">
        <f>'US Raw Data'!A87</f>
        <v>2018-Q4</v>
      </c>
      <c r="B84" s="7">
        <f>'US Raw Data'!B87</f>
        <v>20917.866999999998</v>
      </c>
      <c r="C84" s="7">
        <f>'US Raw Data'!C87</f>
        <v>3633.0160000000001</v>
      </c>
      <c r="D84" s="7">
        <f>'US Raw Data'!D87</f>
        <v>4593.4070000000002</v>
      </c>
      <c r="E84" s="7">
        <f>'US Raw Data'!E87</f>
        <v>571.22900000000004</v>
      </c>
      <c r="F84" s="7">
        <f t="shared" si="15"/>
        <v>4022.1779999999999</v>
      </c>
      <c r="G84" s="7">
        <f>'US Raw Data'!F87*(B84*4/100)</f>
        <v>87896.383472338784</v>
      </c>
      <c r="H84" s="7">
        <f t="shared" si="27"/>
        <v>87024.620595879998</v>
      </c>
      <c r="I84" s="7">
        <f t="shared" si="16"/>
        <v>871.7628764587862</v>
      </c>
      <c r="J84" s="7">
        <f t="shared" si="17"/>
        <v>66868.835550401607</v>
      </c>
      <c r="K84" s="7">
        <f t="shared" si="18"/>
        <v>87896.38347233877</v>
      </c>
      <c r="M84">
        <f t="shared" si="19"/>
        <v>19.338574999531222</v>
      </c>
      <c r="N84">
        <f t="shared" si="20"/>
        <v>17.467489601528555</v>
      </c>
      <c r="O84" s="10">
        <f t="shared" si="21"/>
        <v>105.04940999999999</v>
      </c>
      <c r="P84">
        <f t="shared" si="22"/>
        <v>105.65114248843413</v>
      </c>
      <c r="Q84">
        <f t="shared" si="23"/>
        <v>2.6548962451984606</v>
      </c>
      <c r="R84">
        <f t="shared" si="24"/>
        <v>4.1914235939347559</v>
      </c>
      <c r="S84">
        <f t="shared" si="25"/>
        <v>105.65114248843412</v>
      </c>
      <c r="T84" s="10">
        <f t="shared" si="26"/>
        <v>105.04940999999997</v>
      </c>
      <c r="U84" s="18">
        <f t="shared" si="28"/>
        <v>105.65114248843417</v>
      </c>
      <c r="V84" s="10">
        <f t="shared" si="29"/>
        <v>105.04941000000002</v>
      </c>
    </row>
    <row r="85" spans="1:22" x14ac:dyDescent="0.35">
      <c r="A85" t="str">
        <f>'US Raw Data'!A88</f>
        <v>2019-Q1</v>
      </c>
      <c r="B85" s="7">
        <f>'US Raw Data'!B88</f>
        <v>21111.599999999999</v>
      </c>
      <c r="C85" s="7">
        <f>'US Raw Data'!C88</f>
        <v>3652.348</v>
      </c>
      <c r="D85" s="7">
        <f>'US Raw Data'!D88</f>
        <v>4687.9970000000003</v>
      </c>
      <c r="E85" s="7">
        <f>'US Raw Data'!E88</f>
        <v>579.71400000000006</v>
      </c>
      <c r="F85" s="7">
        <f t="shared" si="15"/>
        <v>4108.2830000000004</v>
      </c>
      <c r="G85" s="7">
        <f>'US Raw Data'!F88*(B85*4/100)</f>
        <v>88111.517318879996</v>
      </c>
      <c r="H85" s="7">
        <f t="shared" si="27"/>
        <v>88932.032472338789</v>
      </c>
      <c r="I85" s="7">
        <f t="shared" si="16"/>
        <v>-820.51515345879307</v>
      </c>
      <c r="J85" s="7">
        <f t="shared" si="17"/>
        <v>67904.484550401612</v>
      </c>
      <c r="K85" s="7">
        <f t="shared" si="18"/>
        <v>88111.517318879982</v>
      </c>
      <c r="M85">
        <f t="shared" si="19"/>
        <v>19.640066551718686</v>
      </c>
      <c r="N85">
        <f t="shared" si="20"/>
        <v>17.460422709447382</v>
      </c>
      <c r="O85" s="10">
        <f t="shared" si="21"/>
        <v>104.34017</v>
      </c>
      <c r="P85">
        <f t="shared" si="22"/>
        <v>105.30652733244743</v>
      </c>
      <c r="Q85">
        <f t="shared" si="23"/>
        <v>2.6381699774140883</v>
      </c>
      <c r="R85">
        <f t="shared" si="24"/>
        <v>-3.9225565085522014</v>
      </c>
      <c r="S85">
        <f t="shared" si="25"/>
        <v>105.30652733244742</v>
      </c>
      <c r="T85" s="10">
        <f t="shared" si="26"/>
        <v>104.34016999999999</v>
      </c>
      <c r="U85" s="18">
        <f t="shared" si="28"/>
        <v>105.30652733244744</v>
      </c>
      <c r="V85" s="10">
        <f t="shared" si="29"/>
        <v>104.34017000000001</v>
      </c>
    </row>
    <row r="86" spans="1:22" x14ac:dyDescent="0.35">
      <c r="A86" t="str">
        <f>'US Raw Data'!A89</f>
        <v>2019-Q2</v>
      </c>
      <c r="B86" s="7">
        <f>'US Raw Data'!B89</f>
        <v>21397.937999999998</v>
      </c>
      <c r="C86" s="7">
        <f>'US Raw Data'!C89</f>
        <v>3679.518</v>
      </c>
      <c r="D86" s="7">
        <f>'US Raw Data'!D89</f>
        <v>4734.95</v>
      </c>
      <c r="E86" s="7">
        <f>'US Raw Data'!E89</f>
        <v>586.40899999999999</v>
      </c>
      <c r="F86" s="7">
        <f t="shared" si="15"/>
        <v>4148.5410000000002</v>
      </c>
      <c r="G86" s="7">
        <f>'US Raw Data'!F89*(B86*4/100)</f>
        <v>88093.12815632399</v>
      </c>
      <c r="H86" s="7">
        <f t="shared" si="27"/>
        <v>89166.949318879997</v>
      </c>
      <c r="I86" s="7">
        <f t="shared" si="16"/>
        <v>-1073.821162556007</v>
      </c>
      <c r="J86" s="7">
        <f t="shared" si="17"/>
        <v>68959.916550401613</v>
      </c>
      <c r="K86" s="7">
        <f t="shared" si="18"/>
        <v>88093.128156323975</v>
      </c>
      <c r="M86">
        <f t="shared" si="19"/>
        <v>19.650528619337241</v>
      </c>
      <c r="N86">
        <f t="shared" si="20"/>
        <v>17.428892173023364</v>
      </c>
      <c r="O86" s="10">
        <f t="shared" si="21"/>
        <v>102.92245</v>
      </c>
      <c r="P86">
        <f t="shared" si="22"/>
        <v>104.3183938644205</v>
      </c>
      <c r="Q86">
        <f t="shared" si="23"/>
        <v>2.6621219011710195</v>
      </c>
      <c r="R86">
        <f t="shared" si="24"/>
        <v>-5.0864035059209494</v>
      </c>
      <c r="S86">
        <f t="shared" si="25"/>
        <v>104.31839386442051</v>
      </c>
      <c r="T86" s="10">
        <f t="shared" si="26"/>
        <v>102.92245000000001</v>
      </c>
      <c r="U86" s="18">
        <f t="shared" si="28"/>
        <v>104.31839386442053</v>
      </c>
      <c r="V86" s="10">
        <f t="shared" si="29"/>
        <v>102.92245000000003</v>
      </c>
    </row>
    <row r="87" spans="1:22" x14ac:dyDescent="0.35">
      <c r="A87" t="str">
        <f>'US Raw Data'!A90</f>
        <v>2019-Q3</v>
      </c>
      <c r="B87" s="7">
        <f>'US Raw Data'!B90</f>
        <v>21717.170999999998</v>
      </c>
      <c r="C87" s="7">
        <f>'US Raw Data'!C90</f>
        <v>3708.5940000000001</v>
      </c>
      <c r="D87" s="7">
        <f>'US Raw Data'!D90</f>
        <v>4773.268</v>
      </c>
      <c r="E87" s="7">
        <f>'US Raw Data'!E90</f>
        <v>578.25599999999997</v>
      </c>
      <c r="F87" s="7">
        <f t="shared" si="15"/>
        <v>4195.0119999999997</v>
      </c>
      <c r="G87" s="7">
        <f>'US Raw Data'!F90*(B87*4/100)</f>
        <v>90877.604271652788</v>
      </c>
      <c r="H87" s="7">
        <f t="shared" si="27"/>
        <v>89157.802156323989</v>
      </c>
      <c r="I87" s="7">
        <f t="shared" si="16"/>
        <v>1719.8021153287991</v>
      </c>
      <c r="J87" s="7">
        <f t="shared" si="17"/>
        <v>70024.590550401612</v>
      </c>
      <c r="K87" s="7">
        <f t="shared" si="18"/>
        <v>90877.604271652774</v>
      </c>
      <c r="M87">
        <f t="shared" si="19"/>
        <v>19.604748831406091</v>
      </c>
      <c r="N87">
        <f t="shared" si="20"/>
        <v>17.331548488457162</v>
      </c>
      <c r="O87" s="10">
        <f t="shared" si="21"/>
        <v>104.61492</v>
      </c>
      <c r="P87">
        <f t="shared" si="22"/>
        <v>106.17565612122625</v>
      </c>
      <c r="Q87">
        <f t="shared" si="23"/>
        <v>2.6256576970401904</v>
      </c>
      <c r="R87">
        <f t="shared" si="24"/>
        <v>8.0372329115487631</v>
      </c>
      <c r="S87">
        <f t="shared" si="25"/>
        <v>106.17565612122627</v>
      </c>
      <c r="T87" s="10">
        <f t="shared" si="26"/>
        <v>104.61492000000001</v>
      </c>
      <c r="U87" s="18">
        <f t="shared" si="28"/>
        <v>106.1756561212263</v>
      </c>
      <c r="V87" s="10">
        <f t="shared" si="29"/>
        <v>104.61492000000004</v>
      </c>
    </row>
    <row r="88" spans="1:22" x14ac:dyDescent="0.35">
      <c r="A88" t="str">
        <f>'US Raw Data'!A91</f>
        <v>2019-Q4</v>
      </c>
      <c r="B88" s="7">
        <f>'US Raw Data'!B91</f>
        <v>21933.217000000001</v>
      </c>
      <c r="C88" s="7">
        <f>'US Raw Data'!C91</f>
        <v>3776.86</v>
      </c>
      <c r="D88" s="7">
        <f>'US Raw Data'!D91</f>
        <v>4796.2740000000003</v>
      </c>
      <c r="E88" s="7">
        <f>'US Raw Data'!E91</f>
        <v>564.24099999999999</v>
      </c>
      <c r="F88" s="7">
        <f t="shared" si="15"/>
        <v>4232.0330000000004</v>
      </c>
      <c r="G88" s="7">
        <f>'US Raw Data'!F91*(B88*4/100)</f>
        <v>92805.521014752405</v>
      </c>
      <c r="H88" s="7">
        <f t="shared" si="27"/>
        <v>91897.018271652792</v>
      </c>
      <c r="I88" s="7">
        <f t="shared" si="16"/>
        <v>908.50274309961242</v>
      </c>
      <c r="J88" s="7">
        <f t="shared" si="17"/>
        <v>71044.004550401616</v>
      </c>
      <c r="K88" s="7">
        <f t="shared" si="18"/>
        <v>92805.52101475239</v>
      </c>
      <c r="M88">
        <f t="shared" si="19"/>
        <v>19.487036317943993</v>
      </c>
      <c r="N88">
        <f t="shared" si="20"/>
        <v>17.391123365009193</v>
      </c>
      <c r="O88" s="10">
        <f t="shared" si="21"/>
        <v>105.78193</v>
      </c>
      <c r="P88">
        <f t="shared" si="22"/>
        <v>106.83426609150935</v>
      </c>
      <c r="Q88">
        <f t="shared" si="23"/>
        <v>2.4835205748310081</v>
      </c>
      <c r="R88">
        <f t="shared" si="24"/>
        <v>4.1833383505596213</v>
      </c>
      <c r="S88">
        <f t="shared" si="25"/>
        <v>106.83426609150936</v>
      </c>
      <c r="T88" s="10">
        <f t="shared" si="26"/>
        <v>105.78193000000002</v>
      </c>
      <c r="U88" s="18">
        <f t="shared" si="28"/>
        <v>106.83426609150941</v>
      </c>
      <c r="V88" s="10">
        <f t="shared" si="29"/>
        <v>105.78193000000006</v>
      </c>
    </row>
    <row r="89" spans="1:22" x14ac:dyDescent="0.35">
      <c r="A89" t="str">
        <f>'US Raw Data'!A92</f>
        <v>2020-Q1</v>
      </c>
      <c r="B89" s="7">
        <f>'US Raw Data'!B92</f>
        <v>21751.238000000001</v>
      </c>
      <c r="C89" s="7">
        <f>'US Raw Data'!C92</f>
        <v>3791.2179999999998</v>
      </c>
      <c r="D89" s="7">
        <f>'US Raw Data'!D92</f>
        <v>4866.6229999999996</v>
      </c>
      <c r="E89" s="7">
        <f>'US Raw Data'!E92</f>
        <v>544.12199999999996</v>
      </c>
      <c r="F89" s="7">
        <f t="shared" si="15"/>
        <v>4322.5009999999993</v>
      </c>
      <c r="G89" s="7">
        <f>'US Raw Data'!F92*(B89*4/100)</f>
        <v>92895.2481538664</v>
      </c>
      <c r="H89" s="7">
        <f t="shared" si="27"/>
        <v>93880.926014752404</v>
      </c>
      <c r="I89" s="7">
        <f t="shared" si="16"/>
        <v>-985.67786088600405</v>
      </c>
      <c r="J89" s="7">
        <f t="shared" si="17"/>
        <v>72119.409550401615</v>
      </c>
      <c r="K89" s="7">
        <f t="shared" si="18"/>
        <v>92895.248153866385</v>
      </c>
      <c r="M89">
        <f t="shared" si="19"/>
        <v>19.707555895699201</v>
      </c>
      <c r="N89">
        <f t="shared" si="20"/>
        <v>17.285280130133213</v>
      </c>
      <c r="O89" s="10">
        <f t="shared" si="21"/>
        <v>106.77006999999999</v>
      </c>
      <c r="P89">
        <f t="shared" si="22"/>
        <v>105.88420311742961</v>
      </c>
      <c r="Q89">
        <f t="shared" si="23"/>
        <v>2.3452139228376558</v>
      </c>
      <c r="R89">
        <f t="shared" si="24"/>
        <v>-4.4939958460539735</v>
      </c>
      <c r="S89">
        <f t="shared" si="25"/>
        <v>105.88420311742959</v>
      </c>
      <c r="T89" s="10">
        <f t="shared" si="26"/>
        <v>106.77006999999998</v>
      </c>
      <c r="U89" s="18">
        <f t="shared" si="28"/>
        <v>105.88420311742965</v>
      </c>
      <c r="V89" s="10">
        <f t="shared" si="29"/>
        <v>106.77007000000003</v>
      </c>
    </row>
    <row r="90" spans="1:22" x14ac:dyDescent="0.35">
      <c r="A90" t="str">
        <f>'US Raw Data'!A93</f>
        <v>2020-Q2</v>
      </c>
      <c r="B90" s="7">
        <f>'US Raw Data'!B93</f>
        <v>19958.291000000001</v>
      </c>
      <c r="C90" s="7">
        <f>'US Raw Data'!C93</f>
        <v>3534.511</v>
      </c>
      <c r="D90" s="7">
        <f>'US Raw Data'!D93</f>
        <v>8891.3729999999996</v>
      </c>
      <c r="E90" s="7">
        <f>'US Raw Data'!E93</f>
        <v>514.73699999999997</v>
      </c>
      <c r="F90" s="7">
        <f t="shared" si="15"/>
        <v>8376.6360000000004</v>
      </c>
      <c r="G90" s="7">
        <f>'US Raw Data'!F93*(B90*4/100)</f>
        <v>105908.9665742068</v>
      </c>
      <c r="H90" s="7">
        <f t="shared" si="27"/>
        <v>98252.110153866393</v>
      </c>
      <c r="I90" s="7">
        <f t="shared" si="16"/>
        <v>7656.8564203404094</v>
      </c>
      <c r="J90" s="7">
        <f t="shared" si="17"/>
        <v>77476.271550401609</v>
      </c>
      <c r="K90" s="7">
        <f t="shared" si="18"/>
        <v>105908.9665742068</v>
      </c>
      <c r="M90">
        <f t="shared" si="19"/>
        <v>38.511076932724478</v>
      </c>
      <c r="N90">
        <f t="shared" si="20"/>
        <v>16.249700361882848</v>
      </c>
      <c r="O90" s="10">
        <f t="shared" si="21"/>
        <v>132.66287</v>
      </c>
      <c r="P90">
        <f t="shared" si="22"/>
        <v>121.72751566394381</v>
      </c>
      <c r="Q90">
        <f t="shared" si="23"/>
        <v>2.2164190751605246</v>
      </c>
      <c r="R90">
        <f t="shared" si="24"/>
        <v>35.201933886891446</v>
      </c>
      <c r="S90">
        <f t="shared" si="25"/>
        <v>121.72751566394381</v>
      </c>
      <c r="T90" s="10">
        <f t="shared" si="26"/>
        <v>132.66287</v>
      </c>
      <c r="U90" s="18">
        <f t="shared" si="28"/>
        <v>121.72751566394385</v>
      </c>
      <c r="V90" s="10">
        <f t="shared" si="29"/>
        <v>132.66287000000005</v>
      </c>
    </row>
    <row r="91" spans="1:22" x14ac:dyDescent="0.35">
      <c r="A91" t="str">
        <f>'US Raw Data'!A94</f>
        <v>2020-Q3</v>
      </c>
      <c r="B91" s="7">
        <f>'US Raw Data'!B94</f>
        <v>21704.437000000002</v>
      </c>
      <c r="C91" s="7">
        <f>'US Raw Data'!C94</f>
        <v>3797.5749999999998</v>
      </c>
      <c r="D91" s="7">
        <f>'US Raw Data'!D94</f>
        <v>7174.1109999999999</v>
      </c>
      <c r="E91" s="7">
        <f>'US Raw Data'!E94</f>
        <v>508.01100000000002</v>
      </c>
      <c r="F91" s="7">
        <f t="shared" si="15"/>
        <v>6666.0999999999995</v>
      </c>
      <c r="G91" s="7">
        <f>'US Raw Data'!F94*(B91*4/100)</f>
        <v>107781.5601553616</v>
      </c>
      <c r="H91" s="7">
        <f t="shared" si="27"/>
        <v>109285.5025742068</v>
      </c>
      <c r="I91" s="7">
        <f t="shared" si="16"/>
        <v>-1503.9424188451958</v>
      </c>
      <c r="J91" s="7">
        <f t="shared" si="17"/>
        <v>80852.807550401601</v>
      </c>
      <c r="K91" s="7">
        <f t="shared" si="18"/>
        <v>107781.5601553616</v>
      </c>
      <c r="M91">
        <f t="shared" si="19"/>
        <v>33.400154351893157</v>
      </c>
      <c r="N91">
        <f t="shared" si="20"/>
        <v>19.027556016695016</v>
      </c>
      <c r="O91" s="10">
        <f t="shared" si="21"/>
        <v>124.14691999999998</v>
      </c>
      <c r="P91">
        <f t="shared" si="22"/>
        <v>135.00850367819768</v>
      </c>
      <c r="Q91">
        <f t="shared" si="23"/>
        <v>1.9186704069822234</v>
      </c>
      <c r="R91">
        <f t="shared" si="24"/>
        <v>-7.5354268501506247</v>
      </c>
      <c r="S91">
        <f t="shared" si="25"/>
        <v>135.00850367819771</v>
      </c>
      <c r="T91" s="10">
        <f t="shared" si="26"/>
        <v>124.14692000000001</v>
      </c>
      <c r="U91" s="18">
        <f t="shared" si="28"/>
        <v>135.00850367819777</v>
      </c>
      <c r="V91" s="10">
        <f t="shared" si="29"/>
        <v>124.14692000000007</v>
      </c>
    </row>
    <row r="92" spans="1:22" x14ac:dyDescent="0.35">
      <c r="A92" t="str">
        <f>'US Raw Data'!A95</f>
        <v>2020-Q4</v>
      </c>
      <c r="B92" s="7">
        <f>'US Raw Data'!B95</f>
        <v>22087.16</v>
      </c>
      <c r="C92" s="7">
        <f>'US Raw Data'!C95</f>
        <v>3943.357</v>
      </c>
      <c r="D92" s="7">
        <f>'US Raw Data'!D95</f>
        <v>5928.3429999999998</v>
      </c>
      <c r="E92" s="7">
        <f>'US Raw Data'!E95</f>
        <v>516.71100000000001</v>
      </c>
      <c r="F92" s="7">
        <f t="shared" si="15"/>
        <v>5411.6319999999996</v>
      </c>
      <c r="G92" s="7">
        <f>'US Raw Data'!F95*(B92*4/100)</f>
        <v>110991.194890496</v>
      </c>
      <c r="H92" s="7">
        <f t="shared" si="27"/>
        <v>109766.5461553616</v>
      </c>
      <c r="I92" s="7">
        <f t="shared" si="16"/>
        <v>1224.6487351343967</v>
      </c>
      <c r="J92" s="7">
        <f t="shared" si="17"/>
        <v>82837.793550401606</v>
      </c>
      <c r="K92" s="7">
        <f t="shared" si="18"/>
        <v>110991.194890496</v>
      </c>
      <c r="M92">
        <f t="shared" si="19"/>
        <v>24.933298200731947</v>
      </c>
      <c r="N92">
        <f t="shared" si="20"/>
        <v>18.168437172546792</v>
      </c>
      <c r="O92" s="10">
        <f t="shared" si="21"/>
        <v>125.62864</v>
      </c>
      <c r="P92">
        <f t="shared" si="22"/>
        <v>127.84389994831011</v>
      </c>
      <c r="Q92">
        <f t="shared" si="23"/>
        <v>1.9176230117849011</v>
      </c>
      <c r="R92">
        <f t="shared" si="24"/>
        <v>5.6423888587130673</v>
      </c>
      <c r="S92">
        <f t="shared" si="25"/>
        <v>127.84389994831008</v>
      </c>
      <c r="T92" s="10">
        <f t="shared" si="26"/>
        <v>125.62863999999998</v>
      </c>
      <c r="U92" s="18">
        <f t="shared" si="28"/>
        <v>127.84389994831017</v>
      </c>
      <c r="V92" s="10">
        <f t="shared" si="29"/>
        <v>125.62864000000006</v>
      </c>
    </row>
    <row r="93" spans="1:22" x14ac:dyDescent="0.35">
      <c r="A93" t="str">
        <f>'US Raw Data'!A96</f>
        <v>2021-Q1</v>
      </c>
      <c r="B93" s="7">
        <f>'US Raw Data'!B96</f>
        <v>22680.692999999999</v>
      </c>
      <c r="C93" s="7">
        <f>'US Raw Data'!C96</f>
        <v>4135.3419999999996</v>
      </c>
      <c r="D93" s="7">
        <f>'US Raw Data'!D96</f>
        <v>8346.2909999999993</v>
      </c>
      <c r="E93" s="7">
        <f>'US Raw Data'!E96</f>
        <v>533.51800000000003</v>
      </c>
      <c r="F93" s="7">
        <f t="shared" si="15"/>
        <v>7812.7729999999992</v>
      </c>
      <c r="G93" s="7">
        <f>'US Raw Data'!F96*(B93*4/100)</f>
        <v>112530.2764640544</v>
      </c>
      <c r="H93" s="7">
        <f t="shared" si="27"/>
        <v>115202.14389049599</v>
      </c>
      <c r="I93" s="7">
        <f t="shared" si="16"/>
        <v>-2671.8674264415895</v>
      </c>
      <c r="J93" s="7">
        <f t="shared" si="17"/>
        <v>87048.742550401599</v>
      </c>
      <c r="K93" s="7">
        <f t="shared" si="18"/>
        <v>112530.2764640544</v>
      </c>
      <c r="M93">
        <f t="shared" si="19"/>
        <v>35.372465269414441</v>
      </c>
      <c r="N93">
        <f t="shared" si="20"/>
        <v>18.722832632171812</v>
      </c>
      <c r="O93" s="10">
        <f t="shared" si="21"/>
        <v>124.03752</v>
      </c>
      <c r="P93">
        <f t="shared" si="22"/>
        <v>127.37069462988271</v>
      </c>
      <c r="Q93">
        <f t="shared" si="23"/>
        <v>1.9227399093283728</v>
      </c>
      <c r="R93">
        <f t="shared" si="24"/>
        <v>-12.096926116538249</v>
      </c>
      <c r="S93">
        <f t="shared" si="25"/>
        <v>127.37069462988271</v>
      </c>
      <c r="T93" s="10">
        <f t="shared" si="26"/>
        <v>124.03752000000001</v>
      </c>
      <c r="U93" s="18">
        <f t="shared" si="28"/>
        <v>127.37069462988276</v>
      </c>
      <c r="V93" s="10">
        <f t="shared" si="29"/>
        <v>124.03752000000006</v>
      </c>
    </row>
    <row r="94" spans="1:22" x14ac:dyDescent="0.35">
      <c r="A94" t="str">
        <f>'US Raw Data'!A97</f>
        <v>2021-Q2</v>
      </c>
      <c r="B94" s="7">
        <f>'US Raw Data'!B97</f>
        <v>23425.91</v>
      </c>
      <c r="C94" s="7">
        <f>'US Raw Data'!C97</f>
        <v>4368.8339999999998</v>
      </c>
      <c r="D94" s="7">
        <f>'US Raw Data'!D97</f>
        <v>7754.3249999999998</v>
      </c>
      <c r="E94" s="7">
        <f>'US Raw Data'!E97</f>
        <v>560.63400000000001</v>
      </c>
      <c r="F94" s="7">
        <f t="shared" si="15"/>
        <v>7193.6909999999998</v>
      </c>
      <c r="G94" s="7">
        <f>'US Raw Data'!F97*(B94*4/100)</f>
        <v>114117.74634384799</v>
      </c>
      <c r="H94" s="7">
        <f t="shared" si="27"/>
        <v>115915.7674640544</v>
      </c>
      <c r="I94" s="7">
        <f t="shared" si="16"/>
        <v>-1798.0211202064093</v>
      </c>
      <c r="J94" s="7">
        <f t="shared" si="17"/>
        <v>90434.233550401594</v>
      </c>
      <c r="K94" s="7">
        <f t="shared" si="18"/>
        <v>114117.74634384799</v>
      </c>
      <c r="M94">
        <f t="shared" si="19"/>
        <v>31.717245147668105</v>
      </c>
      <c r="N94">
        <f t="shared" si="20"/>
        <v>19.262347936194011</v>
      </c>
      <c r="O94" s="10">
        <f t="shared" si="21"/>
        <v>121.78582</v>
      </c>
      <c r="P94">
        <f t="shared" si="22"/>
        <v>125.78732310323146</v>
      </c>
      <c r="Q94">
        <f t="shared" si="23"/>
        <v>1.9928290149685493</v>
      </c>
      <c r="R94">
        <f t="shared" si="24"/>
        <v>-7.9275404865557206</v>
      </c>
      <c r="S94">
        <f t="shared" si="25"/>
        <v>125.78732310323146</v>
      </c>
      <c r="T94" s="10">
        <f t="shared" si="26"/>
        <v>121.78582</v>
      </c>
      <c r="U94" s="18">
        <f t="shared" si="28"/>
        <v>125.78732310323151</v>
      </c>
      <c r="V94" s="10">
        <f t="shared" si="29"/>
        <v>121.78582000000006</v>
      </c>
    </row>
    <row r="95" spans="1:22" x14ac:dyDescent="0.35">
      <c r="A95" t="str">
        <f>'US Raw Data'!A98</f>
        <v>2021-Q3</v>
      </c>
      <c r="B95" s="7">
        <f>'US Raw Data'!B98</f>
        <v>23982.379000000001</v>
      </c>
      <c r="C95" s="7">
        <f>'US Raw Data'!C98</f>
        <v>4523.1400000000003</v>
      </c>
      <c r="D95" s="7">
        <f>'US Raw Data'!D98</f>
        <v>6795.61</v>
      </c>
      <c r="E95" s="7">
        <f>'US Raw Data'!E98</f>
        <v>587.91999999999996</v>
      </c>
      <c r="F95" s="7">
        <f t="shared" si="15"/>
        <v>6207.69</v>
      </c>
      <c r="G95" s="7">
        <f>'US Raw Data'!F98*(B95*4/100)</f>
        <v>113715.6732602376</v>
      </c>
      <c r="H95" s="7">
        <f t="shared" si="27"/>
        <v>116390.21634384799</v>
      </c>
      <c r="I95" s="7">
        <f t="shared" si="16"/>
        <v>-2674.5430836103915</v>
      </c>
      <c r="J95" s="7">
        <f t="shared" si="17"/>
        <v>92706.703550401595</v>
      </c>
      <c r="K95" s="7">
        <f t="shared" si="18"/>
        <v>113715.6732602376</v>
      </c>
      <c r="M95">
        <f t="shared" si="19"/>
        <v>26.499248054824765</v>
      </c>
      <c r="N95">
        <f t="shared" si="20"/>
        <v>19.308278739225074</v>
      </c>
      <c r="O95" s="10">
        <f t="shared" si="21"/>
        <v>118.54086</v>
      </c>
      <c r="P95">
        <f t="shared" si="22"/>
        <v>121.3567298562122</v>
      </c>
      <c r="Q95">
        <f t="shared" si="23"/>
        <v>2.060748722564286</v>
      </c>
      <c r="R95">
        <f t="shared" si="24"/>
        <v>-11.417029620665287</v>
      </c>
      <c r="S95">
        <f t="shared" si="25"/>
        <v>121.35672985621223</v>
      </c>
      <c r="T95" s="10">
        <f t="shared" si="26"/>
        <v>118.54086000000001</v>
      </c>
      <c r="U95" s="18">
        <f t="shared" si="28"/>
        <v>121.35672985621228</v>
      </c>
      <c r="V95" s="10">
        <f t="shared" si="29"/>
        <v>118.54086000000007</v>
      </c>
    </row>
    <row r="96" spans="1:22" x14ac:dyDescent="0.35">
      <c r="A96" t="str">
        <f>'US Raw Data'!A99</f>
        <v>2021-Q4</v>
      </c>
      <c r="B96" s="7">
        <f>'US Raw Data'!B99</f>
        <v>24813.599999999999</v>
      </c>
      <c r="C96" s="7">
        <f>'US Raw Data'!C99</f>
        <v>4689.0410000000002</v>
      </c>
      <c r="D96" s="7">
        <f>'US Raw Data'!D99</f>
        <v>6240.0060000000003</v>
      </c>
      <c r="E96" s="7">
        <f>'US Raw Data'!E99</f>
        <v>612.28200000000004</v>
      </c>
      <c r="F96" s="7">
        <f t="shared" si="15"/>
        <v>5627.7240000000002</v>
      </c>
      <c r="G96" s="7">
        <f>'US Raw Data'!F99*(B96*4/100)</f>
        <v>118468.8607872</v>
      </c>
      <c r="H96" s="7">
        <f t="shared" si="27"/>
        <v>115266.6382602376</v>
      </c>
      <c r="I96" s="7">
        <f t="shared" si="16"/>
        <v>3202.2225269624032</v>
      </c>
      <c r="J96" s="7">
        <f t="shared" si="17"/>
        <v>94257.668550401591</v>
      </c>
      <c r="K96" s="7">
        <f t="shared" si="18"/>
        <v>118468.8607872</v>
      </c>
      <c r="M96">
        <f t="shared" si="19"/>
        <v>23.466078990745665</v>
      </c>
      <c r="N96">
        <f t="shared" si="20"/>
        <v>19.552026093824971</v>
      </c>
      <c r="O96" s="10">
        <f t="shared" si="21"/>
        <v>119.3588</v>
      </c>
      <c r="P96">
        <f t="shared" si="22"/>
        <v>123.49573491770769</v>
      </c>
      <c r="Q96">
        <f t="shared" si="23"/>
        <v>2.1537294990068658</v>
      </c>
      <c r="R96">
        <f t="shared" si="24"/>
        <v>13.35239730371371</v>
      </c>
      <c r="S96">
        <f t="shared" si="25"/>
        <v>123.49573491770769</v>
      </c>
      <c r="T96" s="10">
        <f t="shared" si="26"/>
        <v>119.3588</v>
      </c>
      <c r="U96" s="18">
        <f t="shared" si="28"/>
        <v>123.49573491770776</v>
      </c>
      <c r="V96" s="10">
        <f t="shared" si="29"/>
        <v>119.35880000000007</v>
      </c>
    </row>
    <row r="97" spans="1:22" x14ac:dyDescent="0.35">
      <c r="A97" t="str">
        <f>'US Raw Data'!A100</f>
        <v>2022-Q1</v>
      </c>
      <c r="B97" s="7">
        <f>'US Raw Data'!B100</f>
        <v>25250.347000000002</v>
      </c>
      <c r="C97" s="7">
        <f>'US Raw Data'!C100</f>
        <v>5075.1120000000001</v>
      </c>
      <c r="D97" s="7">
        <f>'US Raw Data'!D100</f>
        <v>6002.8149999999996</v>
      </c>
      <c r="E97" s="7">
        <f>'US Raw Data'!E100</f>
        <v>636.96799999999996</v>
      </c>
      <c r="F97" s="7">
        <f t="shared" si="15"/>
        <v>5365.8469999999998</v>
      </c>
      <c r="G97" s="7">
        <f>'US Raw Data'!F100*(B97*4/100)</f>
        <v>121603.84302687721</v>
      </c>
      <c r="H97" s="7">
        <f t="shared" si="27"/>
        <v>119396.56378719999</v>
      </c>
      <c r="I97" s="7">
        <f t="shared" si="16"/>
        <v>2207.2792396772129</v>
      </c>
      <c r="J97" s="7">
        <f t="shared" si="17"/>
        <v>95185.371550401585</v>
      </c>
      <c r="K97" s="7">
        <f t="shared" si="18"/>
        <v>121603.84302687721</v>
      </c>
      <c r="M97">
        <f t="shared" si="19"/>
        <v>21.62462117548441</v>
      </c>
      <c r="N97">
        <f t="shared" si="20"/>
        <v>20.452945159106299</v>
      </c>
      <c r="O97" s="10">
        <f t="shared" si="21"/>
        <v>120.39819</v>
      </c>
      <c r="P97">
        <f t="shared" si="22"/>
        <v>122.51733225617929</v>
      </c>
      <c r="Q97">
        <f t="shared" si="23"/>
        <v>2.150668102208412</v>
      </c>
      <c r="R97">
        <f t="shared" si="24"/>
        <v>8.8954413695602934</v>
      </c>
      <c r="S97">
        <f t="shared" si="25"/>
        <v>122.5173322561793</v>
      </c>
      <c r="T97" s="10">
        <f t="shared" si="26"/>
        <v>120.39819000000001</v>
      </c>
      <c r="U97" s="18">
        <f t="shared" si="28"/>
        <v>122.51733225617937</v>
      </c>
      <c r="V97" s="10">
        <f t="shared" si="29"/>
        <v>120.39819000000008</v>
      </c>
    </row>
    <row r="98" spans="1:22" x14ac:dyDescent="0.35">
      <c r="A98" t="str">
        <f>'US Raw Data'!A101</f>
        <v>2022-Q2</v>
      </c>
      <c r="B98" s="7">
        <f>'US Raw Data'!B101</f>
        <v>25861.292000000001</v>
      </c>
      <c r="C98" s="7">
        <f>'US Raw Data'!C101</f>
        <v>5134.7879999999996</v>
      </c>
      <c r="D98" s="7">
        <f>'US Raw Data'!D101</f>
        <v>6079.6750000000002</v>
      </c>
      <c r="E98" s="7">
        <f>'US Raw Data'!E101</f>
        <v>684.75800000000004</v>
      </c>
      <c r="F98" s="7">
        <f t="shared" si="15"/>
        <v>5394.9170000000004</v>
      </c>
      <c r="G98" s="7">
        <f>'US Raw Data'!F101*(B98*4/100)</f>
        <v>122274.32989097762</v>
      </c>
      <c r="H98" s="7">
        <f t="shared" si="27"/>
        <v>122548.73002687721</v>
      </c>
      <c r="I98" s="7">
        <f t="shared" si="16"/>
        <v>-274.40013589958835</v>
      </c>
      <c r="J98" s="7">
        <f t="shared" si="17"/>
        <v>96130.258550401588</v>
      </c>
      <c r="K98" s="7">
        <f t="shared" si="18"/>
        <v>122274.32989097762</v>
      </c>
      <c r="M98">
        <f t="shared" si="19"/>
        <v>21.365714300876739</v>
      </c>
      <c r="N98">
        <f t="shared" si="20"/>
        <v>20.335514597086522</v>
      </c>
      <c r="O98" s="10">
        <f t="shared" si="21"/>
        <v>118.20207000000002</v>
      </c>
      <c r="P98">
        <f t="shared" si="22"/>
        <v>121.06202925743716</v>
      </c>
      <c r="Q98">
        <f t="shared" si="23"/>
        <v>2.2524222358619141</v>
      </c>
      <c r="R98">
        <f t="shared" si="24"/>
        <v>-1.0867182771768971</v>
      </c>
      <c r="S98">
        <f t="shared" si="25"/>
        <v>121.06202925743716</v>
      </c>
      <c r="T98" s="10">
        <f t="shared" si="26"/>
        <v>118.20207000000003</v>
      </c>
      <c r="U98" s="18">
        <f t="shared" si="28"/>
        <v>121.06202925743725</v>
      </c>
      <c r="V98" s="10">
        <f t="shared" si="29"/>
        <v>118.20207000000012</v>
      </c>
    </row>
    <row r="99" spans="1:22" x14ac:dyDescent="0.35">
      <c r="A99" t="str">
        <f>'US Raw Data'!A102</f>
        <v>2022-Q3</v>
      </c>
      <c r="B99" s="7">
        <f>'US Raw Data'!B102</f>
        <v>26336.304</v>
      </c>
      <c r="C99" s="7">
        <f>'US Raw Data'!C102</f>
        <v>5149.4179999999997</v>
      </c>
      <c r="D99" s="7">
        <f>'US Raw Data'!D102</f>
        <v>6178.7370000000001</v>
      </c>
      <c r="E99" s="7">
        <f>'US Raw Data'!E102</f>
        <v>752.08100000000002</v>
      </c>
      <c r="F99" s="7">
        <f t="shared" si="15"/>
        <v>5426.6559999999999</v>
      </c>
      <c r="G99" s="7">
        <f>'US Raw Data'!F102*(B99*4/100)</f>
        <v>123715.65187077121</v>
      </c>
      <c r="H99" s="7">
        <f t="shared" si="27"/>
        <v>123303.64889097762</v>
      </c>
      <c r="I99" s="7">
        <f t="shared" si="16"/>
        <v>412.00297979358584</v>
      </c>
      <c r="J99" s="7">
        <f t="shared" si="17"/>
        <v>97159.577550401591</v>
      </c>
      <c r="K99" s="7">
        <f t="shared" si="18"/>
        <v>123715.65187077121</v>
      </c>
      <c r="M99">
        <f t="shared" si="19"/>
        <v>20.983700272979398</v>
      </c>
      <c r="N99">
        <f t="shared" si="20"/>
        <v>19.911681133332394</v>
      </c>
      <c r="O99" s="10">
        <f t="shared" si="21"/>
        <v>117.43832000000002</v>
      </c>
      <c r="P99">
        <f t="shared" si="22"/>
        <v>119.59538977284198</v>
      </c>
      <c r="Q99">
        <f t="shared" si="23"/>
        <v>2.4603070838190528</v>
      </c>
      <c r="R99">
        <f t="shared" si="24"/>
        <v>1.5931260502900852</v>
      </c>
      <c r="S99">
        <f t="shared" si="25"/>
        <v>119.59538977284198</v>
      </c>
      <c r="T99" s="10">
        <f t="shared" si="26"/>
        <v>117.43832000000002</v>
      </c>
      <c r="U99" s="18">
        <f t="shared" si="28"/>
        <v>119.59538977284208</v>
      </c>
      <c r="V99" s="10">
        <f t="shared" si="29"/>
        <v>117.43832000000012</v>
      </c>
    </row>
    <row r="100" spans="1:22" x14ac:dyDescent="0.35">
      <c r="A100" t="str">
        <f>'US Raw Data'!A103</f>
        <v>2022-Q4</v>
      </c>
      <c r="B100" s="7">
        <f>'US Raw Data'!B103</f>
        <v>26770.513999999999</v>
      </c>
      <c r="C100" s="7">
        <f>'US Raw Data'!C103</f>
        <v>5102.7640000000001</v>
      </c>
      <c r="D100" s="7">
        <f>'US Raw Data'!D103</f>
        <v>6318.34</v>
      </c>
      <c r="E100" s="7">
        <f>'US Raw Data'!E103</f>
        <v>823.10599999999999</v>
      </c>
      <c r="F100" s="7">
        <f t="shared" si="15"/>
        <v>5495.2340000000004</v>
      </c>
      <c r="G100" s="7">
        <f>'US Raw Data'!F103*(B100*4/100)</f>
        <v>125678.76108499679</v>
      </c>
      <c r="H100" s="7">
        <f t="shared" si="27"/>
        <v>124931.22787077121</v>
      </c>
      <c r="I100" s="7">
        <f t="shared" si="16"/>
        <v>747.53321422557929</v>
      </c>
      <c r="J100" s="7">
        <f t="shared" si="17"/>
        <v>98375.153550401592</v>
      </c>
      <c r="K100" s="7">
        <f t="shared" si="18"/>
        <v>125678.76108499679</v>
      </c>
      <c r="M100">
        <f t="shared" si="19"/>
        <v>20.865623361577235</v>
      </c>
      <c r="N100">
        <f t="shared" si="20"/>
        <v>19.375399068905036</v>
      </c>
      <c r="O100" s="10">
        <f t="shared" si="21"/>
        <v>117.36678000000001</v>
      </c>
      <c r="P100">
        <f t="shared" si="22"/>
        <v>119.30182105753791</v>
      </c>
      <c r="Q100">
        <f t="shared" si="23"/>
        <v>2.6612833139651109</v>
      </c>
      <c r="R100">
        <f t="shared" si="24"/>
        <v>2.8384135231184273</v>
      </c>
      <c r="S100">
        <f t="shared" si="25"/>
        <v>119.30182105753789</v>
      </c>
      <c r="T100" s="10">
        <f t="shared" si="26"/>
        <v>117.36677999999998</v>
      </c>
      <c r="U100" s="18">
        <f t="shared" si="28"/>
        <v>119.30182105753799</v>
      </c>
      <c r="V100" s="10">
        <f t="shared" si="29"/>
        <v>117.36678000000008</v>
      </c>
    </row>
    <row r="101" spans="1:22" x14ac:dyDescent="0.35">
      <c r="A101" t="str">
        <f>'US Raw Data'!A104</f>
        <v>2023-Q1</v>
      </c>
      <c r="B101" s="7">
        <f>'US Raw Data'!B104</f>
        <v>27216.445</v>
      </c>
      <c r="C101" s="7">
        <f>'US Raw Data'!C104</f>
        <v>4751.9949999999999</v>
      </c>
      <c r="D101" s="7">
        <f>'US Raw Data'!D104</f>
        <v>6433.6</v>
      </c>
      <c r="E101" s="7">
        <f>'US Raw Data'!E104</f>
        <v>861.26700000000005</v>
      </c>
      <c r="F101" s="7">
        <f t="shared" si="15"/>
        <v>5572.3330000000005</v>
      </c>
      <c r="G101" s="7">
        <f>'US Raw Data'!F104*(B101*4/100)</f>
        <v>125833.75288289199</v>
      </c>
      <c r="H101" s="7">
        <f t="shared" si="27"/>
        <v>127360.36608499679</v>
      </c>
      <c r="I101" s="7">
        <f t="shared" si="16"/>
        <v>-1526.6132021047961</v>
      </c>
      <c r="J101" s="7">
        <f t="shared" si="17"/>
        <v>100056.75855040159</v>
      </c>
      <c r="K101" s="7">
        <f t="shared" si="18"/>
        <v>125833.75288289199</v>
      </c>
      <c r="M101">
        <f t="shared" si="19"/>
        <v>20.815188681098917</v>
      </c>
      <c r="N101">
        <f t="shared" si="20"/>
        <v>17.750854540932611</v>
      </c>
      <c r="O101" s="10">
        <f t="shared" si="21"/>
        <v>115.58613999999999</v>
      </c>
      <c r="P101">
        <f t="shared" si="22"/>
        <v>117.51152114868992</v>
      </c>
      <c r="Q101">
        <f t="shared" si="23"/>
        <v>2.7411696059528259</v>
      </c>
      <c r="R101">
        <f t="shared" si="24"/>
        <v>-5.7025920462520672</v>
      </c>
      <c r="S101">
        <f t="shared" si="25"/>
        <v>117.51152114868994</v>
      </c>
      <c r="T101" s="10">
        <f t="shared" si="26"/>
        <v>115.58614</v>
      </c>
      <c r="U101" s="18">
        <f t="shared" si="28"/>
        <v>117.51152114869001</v>
      </c>
      <c r="V101" s="10">
        <f t="shared" si="29"/>
        <v>115.58614000000007</v>
      </c>
    </row>
    <row r="102" spans="1:22" x14ac:dyDescent="0.35">
      <c r="A102" t="str">
        <f>'US Raw Data'!A105</f>
        <v>2023-Q2</v>
      </c>
      <c r="B102" s="7">
        <f>'US Raw Data'!B105</f>
        <v>27530.055</v>
      </c>
      <c r="C102" s="7">
        <f>'US Raw Data'!C105</f>
        <v>4769.4170000000004</v>
      </c>
      <c r="D102" s="7">
        <f>'US Raw Data'!D105</f>
        <v>6491.6970000000001</v>
      </c>
      <c r="E102" s="7">
        <f>'US Raw Data'!E105</f>
        <v>894.10599999999999</v>
      </c>
      <c r="F102" s="7">
        <f t="shared" si="15"/>
        <v>5597.5910000000003</v>
      </c>
      <c r="G102" s="7">
        <f>'US Raw Data'!F105*(B102*4/100)</f>
        <v>129329.09563580999</v>
      </c>
      <c r="H102" s="7">
        <f t="shared" si="27"/>
        <v>127556.03288289199</v>
      </c>
      <c r="I102" s="7">
        <f t="shared" si="16"/>
        <v>1773.0627529180056</v>
      </c>
      <c r="J102" s="7">
        <f t="shared" si="17"/>
        <v>101779.03855040159</v>
      </c>
      <c r="K102" s="7">
        <f t="shared" si="18"/>
        <v>129329.09563580999</v>
      </c>
      <c r="M102">
        <f t="shared" si="19"/>
        <v>20.566943992869021</v>
      </c>
      <c r="N102">
        <f t="shared" si="20"/>
        <v>17.524026374495275</v>
      </c>
      <c r="O102" s="10">
        <f t="shared" si="21"/>
        <v>117.44354999999999</v>
      </c>
      <c r="P102">
        <f t="shared" si="22"/>
        <v>118.79683003769412</v>
      </c>
      <c r="Q102">
        <f t="shared" si="23"/>
        <v>2.8421817819646709</v>
      </c>
      <c r="R102">
        <f t="shared" si="24"/>
        <v>6.5146743188465859</v>
      </c>
      <c r="S102">
        <f t="shared" si="25"/>
        <v>118.79683003769411</v>
      </c>
      <c r="T102" s="10">
        <f t="shared" si="26"/>
        <v>117.44354999999999</v>
      </c>
      <c r="U102" s="18">
        <f t="shared" si="28"/>
        <v>118.79683003769419</v>
      </c>
      <c r="V102" s="10">
        <f t="shared" si="29"/>
        <v>117.44355000000006</v>
      </c>
    </row>
    <row r="103" spans="1:22" x14ac:dyDescent="0.35">
      <c r="A103" t="str">
        <f>'US Raw Data'!A106</f>
        <v>2023-Q3</v>
      </c>
      <c r="B103" s="7">
        <f>'US Raw Data'!B106</f>
        <v>28074.846000000001</v>
      </c>
      <c r="C103" s="7">
        <f>'US Raw Data'!C106</f>
        <v>4835.5469999999996</v>
      </c>
      <c r="D103" s="7">
        <f>'US Raw Data'!D106</f>
        <v>6558.6350000000002</v>
      </c>
      <c r="E103" s="7">
        <f>'US Raw Data'!E106</f>
        <v>966.899</v>
      </c>
      <c r="F103" s="7">
        <f t="shared" si="15"/>
        <v>5591.7359999999999</v>
      </c>
      <c r="G103" s="7">
        <f>'US Raw Data'!F106*(B103*4/100)</f>
        <v>132669.33557394482</v>
      </c>
      <c r="H103" s="7">
        <f t="shared" si="27"/>
        <v>131052.18363581</v>
      </c>
      <c r="I103" s="7">
        <f t="shared" si="16"/>
        <v>1617.1519381348189</v>
      </c>
      <c r="J103" s="7">
        <f t="shared" si="17"/>
        <v>103502.12655040159</v>
      </c>
      <c r="K103" s="7">
        <f t="shared" si="18"/>
        <v>132669.33557394482</v>
      </c>
      <c r="M103">
        <f t="shared" si="19"/>
        <v>20.311386955093258</v>
      </c>
      <c r="N103">
        <f t="shared" si="20"/>
        <v>17.564610749960359</v>
      </c>
      <c r="O103" s="10">
        <f t="shared" si="21"/>
        <v>118.13897000000001</v>
      </c>
      <c r="P103">
        <f t="shared" si="22"/>
        <v>120.47681667721406</v>
      </c>
      <c r="Q103">
        <f t="shared" si="23"/>
        <v>2.9905072644218653</v>
      </c>
      <c r="R103">
        <f t="shared" si="24"/>
        <v>5.874132609378437</v>
      </c>
      <c r="S103">
        <f t="shared" si="25"/>
        <v>120.47681667721406</v>
      </c>
      <c r="T103" s="10">
        <f t="shared" si="26"/>
        <v>118.13897000000001</v>
      </c>
      <c r="U103" s="18">
        <f t="shared" si="28"/>
        <v>120.47681667721413</v>
      </c>
      <c r="V103" s="10">
        <f t="shared" si="29"/>
        <v>118.13897000000007</v>
      </c>
    </row>
    <row r="104" spans="1:22" x14ac:dyDescent="0.35">
      <c r="A104" t="str">
        <f>'US Raw Data'!A107</f>
        <v>2023-Q4</v>
      </c>
      <c r="B104" s="7">
        <f>'US Raw Data'!B107</f>
        <v>28424.722000000002</v>
      </c>
      <c r="C104" s="7">
        <f>'US Raw Data'!C107</f>
        <v>4926.5460000000003</v>
      </c>
      <c r="D104" s="7">
        <f>'US Raw Data'!D107</f>
        <v>6668.1279999999997</v>
      </c>
      <c r="E104" s="7">
        <f>'US Raw Data'!E107</f>
        <v>1031.4780000000001</v>
      </c>
      <c r="F104" s="7">
        <f t="shared" si="15"/>
        <v>5636.65</v>
      </c>
      <c r="G104" s="7">
        <f>'US Raw Data'!F107*(B104*4/100)</f>
        <v>136005.97311182722</v>
      </c>
      <c r="H104" s="7">
        <f t="shared" si="27"/>
        <v>134410.91757394481</v>
      </c>
      <c r="I104" s="7">
        <f t="shared" si="16"/>
        <v>1595.0555378824065</v>
      </c>
      <c r="J104" s="7">
        <f t="shared" si="17"/>
        <v>105243.70855040158</v>
      </c>
      <c r="K104" s="7">
        <f t="shared" si="18"/>
        <v>136005.97311182722</v>
      </c>
      <c r="M104">
        <f t="shared" si="19"/>
        <v>20.077225000628676</v>
      </c>
      <c r="N104">
        <f t="shared" si="20"/>
        <v>17.547900351795342</v>
      </c>
      <c r="O104" s="10">
        <f t="shared" si="21"/>
        <v>119.61944000000001</v>
      </c>
      <c r="P104">
        <f t="shared" si="22"/>
        <v>121.11016843318323</v>
      </c>
      <c r="Q104">
        <f t="shared" si="23"/>
        <v>3.1099213560923986</v>
      </c>
      <c r="R104">
        <f t="shared" si="24"/>
        <v>5.6814400260019466</v>
      </c>
      <c r="S104">
        <f t="shared" si="25"/>
        <v>121.11016843318323</v>
      </c>
      <c r="T104" s="10">
        <f t="shared" si="26"/>
        <v>119.61944000000003</v>
      </c>
      <c r="U104" s="18">
        <f t="shared" si="28"/>
        <v>121.11016843318329</v>
      </c>
      <c r="V104" s="10">
        <f t="shared" si="29"/>
        <v>119.61944000000008</v>
      </c>
    </row>
    <row r="105" spans="1:22" x14ac:dyDescent="0.35">
      <c r="A105" t="str">
        <f>'US Raw Data'!A108</f>
        <v>2024-Q1</v>
      </c>
      <c r="B105" s="7">
        <f>'US Raw Data'!B108</f>
        <v>28708.161</v>
      </c>
      <c r="C105" s="7">
        <f>'US Raw Data'!C108</f>
        <v>5045.84</v>
      </c>
      <c r="D105" s="7">
        <f>'US Raw Data'!D108</f>
        <v>6846.1229999999996</v>
      </c>
      <c r="E105" s="7">
        <f>'US Raw Data'!E108</f>
        <v>1071.174</v>
      </c>
      <c r="F105" s="7">
        <f t="shared" si="15"/>
        <v>5774.9489999999996</v>
      </c>
      <c r="G105" s="7">
        <f>'US Raw Data'!F108*(B105*4/100)</f>
        <v>138346.13216663641</v>
      </c>
      <c r="H105" s="7">
        <f t="shared" si="27"/>
        <v>137806.25611182721</v>
      </c>
      <c r="I105" s="7">
        <f t="shared" si="16"/>
        <v>539.87605480919592</v>
      </c>
      <c r="J105" s="7">
        <f t="shared" si="17"/>
        <v>107043.99155040158</v>
      </c>
      <c r="K105" s="7">
        <f t="shared" si="18"/>
        <v>138346.13216663641</v>
      </c>
      <c r="M105">
        <f t="shared" si="19"/>
        <v>20.316641971027892</v>
      </c>
      <c r="N105">
        <f t="shared" si="20"/>
        <v>17.751589619768311</v>
      </c>
      <c r="O105" s="10">
        <f t="shared" si="21"/>
        <v>120.47631</v>
      </c>
      <c r="P105">
        <f t="shared" si="22"/>
        <v>121.67764751282034</v>
      </c>
      <c r="Q105">
        <f t="shared" si="23"/>
        <v>3.1503734004954502</v>
      </c>
      <c r="R105">
        <f t="shared" si="24"/>
        <v>1.8993186804402022</v>
      </c>
      <c r="S105">
        <f t="shared" si="25"/>
        <v>121.67764751282036</v>
      </c>
      <c r="T105" s="10">
        <f t="shared" si="26"/>
        <v>120.47631000000001</v>
      </c>
      <c r="U105" s="18">
        <f t="shared" si="28"/>
        <v>121.67764751282043</v>
      </c>
      <c r="V105" s="10">
        <f t="shared" si="29"/>
        <v>120.47631000000008</v>
      </c>
    </row>
    <row r="106" spans="1:22" x14ac:dyDescent="0.35">
      <c r="A106" t="str">
        <f>'US Raw Data'!A109</f>
        <v>2024-Q2</v>
      </c>
      <c r="B106" s="7">
        <f>'US Raw Data'!B109</f>
        <v>29147.044000000002</v>
      </c>
      <c r="C106" s="7">
        <f>'US Raw Data'!C109</f>
        <v>5146.4979999999996</v>
      </c>
      <c r="D106" s="7">
        <f>'US Raw Data'!D109</f>
        <v>6954.0209999999997</v>
      </c>
      <c r="E106" s="7">
        <f>'US Raw Data'!E109</f>
        <v>1103.5650000000001</v>
      </c>
      <c r="F106" s="7">
        <f t="shared" si="15"/>
        <v>5850.4560000000001</v>
      </c>
      <c r="G106" s="7">
        <f>'US Raw Data'!F109*(B106*4/100)</f>
        <v>139326.5311887264</v>
      </c>
      <c r="H106" s="7">
        <f t="shared" si="27"/>
        <v>140153.6551666364</v>
      </c>
      <c r="I106" s="7">
        <f t="shared" si="16"/>
        <v>-827.12397790999967</v>
      </c>
      <c r="J106" s="7">
        <f t="shared" si="17"/>
        <v>108851.51455040158</v>
      </c>
      <c r="K106" s="7">
        <f t="shared" si="18"/>
        <v>139326.5311887264</v>
      </c>
      <c r="M106">
        <f t="shared" si="19"/>
        <v>20.379069213106334</v>
      </c>
      <c r="N106">
        <f t="shared" si="20"/>
        <v>17.926951155108817</v>
      </c>
      <c r="O106" s="10">
        <f t="shared" si="21"/>
        <v>119.50313999999999</v>
      </c>
      <c r="P106">
        <f t="shared" si="22"/>
        <v>121.33007334458517</v>
      </c>
      <c r="Q106">
        <f t="shared" si="23"/>
        <v>3.1907361130147622</v>
      </c>
      <c r="R106">
        <f t="shared" si="24"/>
        <v>-2.881145810454385</v>
      </c>
      <c r="S106">
        <f t="shared" si="25"/>
        <v>121.33007334458517</v>
      </c>
      <c r="T106" s="10">
        <f t="shared" si="26"/>
        <v>119.50313999999997</v>
      </c>
      <c r="U106" s="18">
        <f t="shared" si="28"/>
        <v>121.33007334458526</v>
      </c>
      <c r="V106" s="10">
        <f t="shared" si="29"/>
        <v>119.50314000000006</v>
      </c>
    </row>
    <row r="107" spans="1:22" x14ac:dyDescent="0.35">
      <c r="A107" t="str">
        <f>'US Raw Data'!A110</f>
        <v>2024-Q3</v>
      </c>
      <c r="B107" s="7">
        <f>'US Raw Data'!B110</f>
        <v>29511.664000000001</v>
      </c>
      <c r="C107" s="7">
        <f>'US Raw Data'!C110</f>
        <v>5210.1149999999998</v>
      </c>
      <c r="D107" s="7">
        <f>'US Raw Data'!D110</f>
        <v>7165.6629999999996</v>
      </c>
      <c r="E107" s="7">
        <f>'US Raw Data'!E110</f>
        <v>1146.182</v>
      </c>
      <c r="F107" s="7">
        <f t="shared" si="15"/>
        <v>6019.4809999999998</v>
      </c>
      <c r="G107" s="7">
        <f>'US Raw Data'!F110*(B107*4/100)</f>
        <v>141858.69691768321</v>
      </c>
      <c r="H107" s="7">
        <f t="shared" si="27"/>
        <v>141282.07918872641</v>
      </c>
      <c r="I107" s="7">
        <f t="shared" si="16"/>
        <v>576.61772895680042</v>
      </c>
      <c r="J107" s="7">
        <f t="shared" si="17"/>
        <v>110807.06255040158</v>
      </c>
      <c r="K107" s="7">
        <f t="shared" si="18"/>
        <v>141858.69691768321</v>
      </c>
      <c r="M107">
        <f t="shared" si="19"/>
        <v>20.652114842246093</v>
      </c>
      <c r="N107">
        <f t="shared" si="20"/>
        <v>17.875277506700165</v>
      </c>
      <c r="O107" s="10">
        <f t="shared" si="21"/>
        <v>120.17171999999999</v>
      </c>
      <c r="P107">
        <f t="shared" si="22"/>
        <v>121.67502896492968</v>
      </c>
      <c r="Q107">
        <f t="shared" si="23"/>
        <v>3.2906352873952645</v>
      </c>
      <c r="R107">
        <f t="shared" si="24"/>
        <v>1.9783060297874473</v>
      </c>
      <c r="S107">
        <f t="shared" si="25"/>
        <v>121.67502896492968</v>
      </c>
      <c r="T107" s="10">
        <f t="shared" si="26"/>
        <v>120.17171999999999</v>
      </c>
      <c r="U107" s="18">
        <f t="shared" si="28"/>
        <v>121.67502896492975</v>
      </c>
      <c r="V107" s="10">
        <f t="shared" si="29"/>
        <v>120.17172000000006</v>
      </c>
    </row>
    <row r="108" spans="1:22" x14ac:dyDescent="0.35">
      <c r="A108" t="str">
        <f>'US Raw Data'!A111</f>
        <v>2024-Q4</v>
      </c>
      <c r="B108" s="7">
        <f>'US Raw Data'!B111</f>
        <v>29825.182000000001</v>
      </c>
      <c r="C108" s="7">
        <f>'US Raw Data'!C111</f>
        <v>5313.1930000000002</v>
      </c>
      <c r="D108" s="7">
        <f>'US Raw Data'!D111</f>
        <v>7247.6620000000003</v>
      </c>
      <c r="E108" s="7">
        <f>'US Raw Data'!E111</f>
        <v>1155.616</v>
      </c>
      <c r="F108" s="7">
        <f t="shared" si="15"/>
        <v>6092.0460000000003</v>
      </c>
      <c r="G108" s="7">
        <f>'US Raw Data'!F111*(B108*4/100)</f>
        <v>144874.42574648239</v>
      </c>
      <c r="H108" s="7">
        <f t="shared" si="27"/>
        <v>143793.16591768322</v>
      </c>
      <c r="I108" s="7">
        <f t="shared" si="16"/>
        <v>1081.2598287991714</v>
      </c>
      <c r="J108" s="7">
        <f t="shared" si="17"/>
        <v>112741.53155040157</v>
      </c>
      <c r="K108" s="7">
        <f t="shared" si="18"/>
        <v>144874.42574648239</v>
      </c>
      <c r="M108">
        <f t="shared" si="19"/>
        <v>20.642841420260137</v>
      </c>
      <c r="N108">
        <f t="shared" si="20"/>
        <v>18.003705246847485</v>
      </c>
      <c r="O108" s="10">
        <f t="shared" si="21"/>
        <v>121.43632999999998</v>
      </c>
      <c r="P108">
        <f t="shared" si="22"/>
        <v>122.72641229793277</v>
      </c>
      <c r="Q108">
        <f t="shared" si="23"/>
        <v>3.2584988445807395</v>
      </c>
      <c r="R108">
        <f t="shared" si="24"/>
        <v>3.6638389106055538</v>
      </c>
      <c r="S108">
        <f t="shared" si="25"/>
        <v>122.72641229793275</v>
      </c>
      <c r="T108" s="10">
        <f t="shared" si="26"/>
        <v>121.43632999999998</v>
      </c>
      <c r="U108" s="18">
        <f t="shared" si="28"/>
        <v>122.72641229793282</v>
      </c>
      <c r="V108" s="10">
        <f t="shared" si="29"/>
        <v>121.43633000000004</v>
      </c>
    </row>
    <row r="109" spans="1:22" x14ac:dyDescent="0.35">
      <c r="A109" t="str">
        <f>'US Raw Data'!A112</f>
        <v>2025-Q1</v>
      </c>
      <c r="B109" s="7">
        <f>'US Raw Data'!B112</f>
        <v>30042.113000000001</v>
      </c>
      <c r="C109" s="7">
        <f>'US Raw Data'!C112</f>
        <v>5392.7169999999996</v>
      </c>
      <c r="D109" s="7">
        <f>'US Raw Data'!D112</f>
        <v>7313.5969999999998</v>
      </c>
      <c r="E109" s="7">
        <f>'US Raw Data'!E112</f>
        <v>1144.212</v>
      </c>
      <c r="F109" s="7">
        <f t="shared" si="15"/>
        <v>6169.3850000000002</v>
      </c>
      <c r="G109" s="7">
        <f>'US Raw Data'!F112*(B109*4/100)</f>
        <v>144857.240716078</v>
      </c>
      <c r="H109" s="7">
        <f t="shared" si="27"/>
        <v>146795.30574648239</v>
      </c>
      <c r="I109" s="7">
        <f t="shared" si="16"/>
        <v>-1938.0650304043957</v>
      </c>
      <c r="J109" s="7">
        <f t="shared" si="17"/>
        <v>114662.41155040158</v>
      </c>
      <c r="K109" s="7">
        <f t="shared" si="18"/>
        <v>144857.240716078</v>
      </c>
      <c r="M109">
        <f t="shared" si="19"/>
        <v>20.685154578436435</v>
      </c>
      <c r="N109">
        <f t="shared" si="20"/>
        <v>18.08108664684762</v>
      </c>
      <c r="O109" s="10">
        <f t="shared" si="21"/>
        <v>120.54514999999999</v>
      </c>
      <c r="P109">
        <f t="shared" si="22"/>
        <v>121.421925200723</v>
      </c>
      <c r="Q109">
        <f t="shared" si="23"/>
        <v>3.1591828415658987</v>
      </c>
      <c r="R109">
        <f t="shared" si="24"/>
        <v>-6.4980828294841437</v>
      </c>
      <c r="S109">
        <f t="shared" si="25"/>
        <v>121.421925200723</v>
      </c>
      <c r="T109" s="10">
        <f t="shared" si="26"/>
        <v>120.54514999999999</v>
      </c>
      <c r="U109" s="18">
        <f t="shared" si="28"/>
        <v>121.42192520072305</v>
      </c>
      <c r="V109" s="10">
        <f t="shared" si="29"/>
        <v>120.54515000000005</v>
      </c>
    </row>
    <row r="110" spans="1:22" x14ac:dyDescent="0.35">
      <c r="A110" t="str">
        <f>'US Raw Data'!A113</f>
        <v>2025-Q2</v>
      </c>
      <c r="B110" s="7">
        <f>'US Raw Data'!B113</f>
        <v>30485.728999999999</v>
      </c>
      <c r="C110" s="7">
        <f>'US Raw Data'!C113</f>
        <v>5603.74</v>
      </c>
      <c r="D110" s="7">
        <f>'US Raw Data'!D113</f>
        <v>7496.3389999999999</v>
      </c>
      <c r="E110" s="7">
        <f>'US Raw Data'!E113</f>
        <v>1160.9000000000001</v>
      </c>
      <c r="F110" s="7">
        <f t="shared" si="15"/>
        <v>6335.4390000000003</v>
      </c>
      <c r="G110" s="7">
        <f>'US Raw Data'!F113*(B110*4/100)</f>
        <v>144845.8808486636</v>
      </c>
      <c r="H110" s="7">
        <f t="shared" si="27"/>
        <v>146749.83971607799</v>
      </c>
      <c r="I110" s="7">
        <f t="shared" si="16"/>
        <v>-1903.9588674143888</v>
      </c>
      <c r="J110" s="7">
        <f t="shared" si="17"/>
        <v>116555.01055040158</v>
      </c>
      <c r="K110" s="7">
        <f t="shared" si="18"/>
        <v>144845.8808486636</v>
      </c>
      <c r="M110">
        <f t="shared" si="19"/>
        <v>21.088526629268721</v>
      </c>
      <c r="N110">
        <f t="shared" si="20"/>
        <v>18.652948945368788</v>
      </c>
      <c r="O110" s="10">
        <f t="shared" si="21"/>
        <v>118.78171</v>
      </c>
      <c r="P110">
        <f t="shared" si="22"/>
        <v>120.53569671402906</v>
      </c>
      <c r="Q110">
        <f t="shared" si="23"/>
        <v>3.2056388600563741</v>
      </c>
      <c r="R110">
        <f t="shared" si="24"/>
        <v>-6.3376330000968597</v>
      </c>
      <c r="S110">
        <f t="shared" si="25"/>
        <v>120.53569671402907</v>
      </c>
      <c r="T110" s="10">
        <f t="shared" si="26"/>
        <v>118.78171000000002</v>
      </c>
      <c r="U110" s="18">
        <f t="shared" si="28"/>
        <v>120.53569671402914</v>
      </c>
      <c r="V110" s="10">
        <f t="shared" si="29"/>
        <v>118.78171000000009</v>
      </c>
    </row>
    <row r="111" spans="1:22" x14ac:dyDescent="0.35">
      <c r="A111" t="str">
        <f>'US Raw Data'!A114</f>
        <v>2025-Q3</v>
      </c>
      <c r="B111" s="7">
        <f>'US Raw Data'!B114</f>
        <v>31098.026999999998</v>
      </c>
      <c r="C111" s="7">
        <f>'US Raw Data'!C114</f>
        <v>5793.5959999999995</v>
      </c>
      <c r="D111" s="7">
        <f>'US Raw Data'!D114</f>
        <v>7580.2290000000003</v>
      </c>
      <c r="E111" s="7">
        <f>'US Raw Data'!E114</f>
        <v>1199.1890000000001</v>
      </c>
      <c r="F111" s="7">
        <f t="shared" si="15"/>
        <v>6381.04</v>
      </c>
      <c r="G111" s="7">
        <f>'US Raw Data'!F114*(B111*4/100)</f>
        <v>150550.21341104998</v>
      </c>
      <c r="H111" s="7">
        <f t="shared" si="27"/>
        <v>146632.5138486636</v>
      </c>
      <c r="I111" s="7">
        <f t="shared" si="16"/>
        <v>3917.6995623863768</v>
      </c>
      <c r="J111" s="7">
        <f t="shared" si="17"/>
        <v>118341.64355040158</v>
      </c>
      <c r="K111" s="7">
        <f t="shared" si="18"/>
        <v>150550.21341104998</v>
      </c>
      <c r="M111">
        <f t="shared" si="19"/>
        <v>20.931236382767821</v>
      </c>
      <c r="N111">
        <f t="shared" si="20"/>
        <v>19.004288859223276</v>
      </c>
      <c r="O111" s="10">
        <f t="shared" si="21"/>
        <v>121.02874999999999</v>
      </c>
      <c r="P111">
        <f t="shared" si="22"/>
        <v>123.45958121179419</v>
      </c>
      <c r="Q111">
        <f t="shared" si="23"/>
        <v>3.3116274842580431</v>
      </c>
      <c r="R111">
        <f t="shared" si="24"/>
        <v>12.850929569000554</v>
      </c>
      <c r="S111">
        <f t="shared" si="25"/>
        <v>123.4595812117942</v>
      </c>
      <c r="T111" s="10">
        <f t="shared" si="26"/>
        <v>121.02875</v>
      </c>
      <c r="U111" s="18">
        <f t="shared" si="28"/>
        <v>123.45958121179429</v>
      </c>
      <c r="V111" s="10">
        <f t="shared" si="29"/>
        <v>121.02875000000009</v>
      </c>
    </row>
    <row r="112" spans="1:22" x14ac:dyDescent="0.35">
      <c r="A112" t="str">
        <f>'US Raw Data'!A115</f>
        <v>2025-Q4</v>
      </c>
      <c r="B112" s="7">
        <f>'US Raw Data'!B115</f>
        <v>31422.526000000002</v>
      </c>
      <c r="C112" s="7">
        <f>'US Raw Data'!C115</f>
        <v>5898.4790000000003</v>
      </c>
      <c r="D112" s="7">
        <f>'US Raw Data'!D115</f>
        <v>7583.6629999999996</v>
      </c>
      <c r="E112" s="7">
        <f>'US Raw Data'!E115</f>
        <v>1227.4949999999999</v>
      </c>
      <c r="F112" s="7">
        <f t="shared" si="15"/>
        <v>6356.1679999999997</v>
      </c>
      <c r="G112" s="7">
        <f>'US Raw Data'!F115*(B112*4/100)</f>
        <v>154056.03520587599</v>
      </c>
      <c r="H112" s="7">
        <f t="shared" si="27"/>
        <v>152235.39741104998</v>
      </c>
      <c r="I112" s="7">
        <f t="shared" si="16"/>
        <v>1820.6377948260051</v>
      </c>
      <c r="J112" s="7">
        <f t="shared" si="17"/>
        <v>120026.82755040158</v>
      </c>
      <c r="K112" s="7">
        <f t="shared" si="18"/>
        <v>154056.03520587599</v>
      </c>
      <c r="M112">
        <f t="shared" si="19"/>
        <v>20.439135897592472</v>
      </c>
      <c r="N112">
        <f t="shared" si="20"/>
        <v>18.967373717953233</v>
      </c>
      <c r="O112" s="10">
        <f t="shared" si="21"/>
        <v>122.56814999999999</v>
      </c>
      <c r="P112">
        <f t="shared" si="22"/>
        <v>123.84711352096068</v>
      </c>
      <c r="Q112">
        <f t="shared" si="23"/>
        <v>3.2613570507497003</v>
      </c>
      <c r="R112">
        <f t="shared" si="24"/>
        <v>5.8545122326442289</v>
      </c>
      <c r="S112">
        <f t="shared" si="25"/>
        <v>123.84711352096065</v>
      </c>
      <c r="T112" s="10">
        <f t="shared" si="26"/>
        <v>122.56814999999996</v>
      </c>
      <c r="U112" s="18">
        <f t="shared" si="28"/>
        <v>123.84711352096075</v>
      </c>
      <c r="V112" s="10">
        <f t="shared" si="29"/>
        <v>122.56815000000006</v>
      </c>
    </row>
    <row r="113" spans="2:7" x14ac:dyDescent="0.35">
      <c r="B113" s="7"/>
      <c r="C113" s="7"/>
      <c r="D113" s="7"/>
      <c r="E113" s="7"/>
      <c r="F113" s="7"/>
      <c r="G113" s="7"/>
    </row>
    <row r="114" spans="2:7" x14ac:dyDescent="0.35">
      <c r="B114" s="7"/>
      <c r="C114" s="7"/>
      <c r="D114" s="7"/>
      <c r="E114" s="7"/>
      <c r="F114" s="7"/>
      <c r="G114" s="7"/>
    </row>
    <row r="115" spans="2:7" x14ac:dyDescent="0.35">
      <c r="B115" s="7"/>
      <c r="C115" s="7"/>
      <c r="D115" s="7"/>
      <c r="E115" s="7"/>
      <c r="F115" s="7"/>
      <c r="G115" s="7"/>
    </row>
    <row r="116" spans="2:7" x14ac:dyDescent="0.35">
      <c r="B116" s="7"/>
      <c r="C116" s="7"/>
      <c r="D116" s="7"/>
      <c r="E116" s="7"/>
      <c r="F116" s="7"/>
      <c r="G116" s="7"/>
    </row>
    <row r="117" spans="2:7" x14ac:dyDescent="0.35">
      <c r="B117" s="7"/>
      <c r="C117" s="7"/>
      <c r="D117" s="7"/>
      <c r="E117" s="7"/>
      <c r="F117" s="7"/>
      <c r="G117" s="7"/>
    </row>
    <row r="118" spans="2:7" x14ac:dyDescent="0.35">
      <c r="B118" s="7"/>
      <c r="C118" s="7"/>
      <c r="D118" s="7"/>
      <c r="E118" s="7"/>
      <c r="F118" s="7"/>
      <c r="G118" s="7"/>
    </row>
    <row r="119" spans="2:7" x14ac:dyDescent="0.35">
      <c r="B119" s="7"/>
      <c r="C119" s="7"/>
      <c r="D119" s="7"/>
      <c r="E119" s="7"/>
      <c r="F119" s="7"/>
      <c r="G119" s="7"/>
    </row>
    <row r="120" spans="2:7" x14ac:dyDescent="0.35">
      <c r="B120" s="7"/>
      <c r="C120" s="7"/>
      <c r="D120" s="7"/>
      <c r="E120" s="7"/>
      <c r="F120" s="7"/>
      <c r="G120" s="7"/>
    </row>
    <row r="121" spans="2:7" x14ac:dyDescent="0.35">
      <c r="B121" s="7"/>
      <c r="C121" s="7"/>
      <c r="D121" s="7"/>
      <c r="E121" s="7"/>
      <c r="F121" s="7"/>
      <c r="G121" s="7"/>
    </row>
    <row r="122" spans="2:7" x14ac:dyDescent="0.35">
      <c r="B122" s="7"/>
      <c r="C122" s="7"/>
      <c r="D122" s="7"/>
      <c r="E122" s="7"/>
      <c r="F122" s="7"/>
      <c r="G122" s="7"/>
    </row>
    <row r="123" spans="2:7" x14ac:dyDescent="0.35">
      <c r="B123" s="7"/>
      <c r="C123" s="7"/>
      <c r="D123" s="7"/>
      <c r="E123" s="7"/>
      <c r="F123" s="7"/>
      <c r="G123" s="7"/>
    </row>
    <row r="124" spans="2:7" x14ac:dyDescent="0.35">
      <c r="B124" s="7"/>
      <c r="C124" s="7"/>
      <c r="D124" s="7"/>
      <c r="E124" s="7"/>
      <c r="F124" s="7"/>
      <c r="G124" s="7"/>
    </row>
    <row r="125" spans="2:7" x14ac:dyDescent="0.35">
      <c r="B125" s="7"/>
      <c r="C125" s="7"/>
      <c r="D125" s="7"/>
      <c r="E125" s="7"/>
      <c r="F125" s="7"/>
      <c r="G125" s="7"/>
    </row>
    <row r="126" spans="2:7" x14ac:dyDescent="0.35">
      <c r="B126" s="7"/>
      <c r="C126" s="7"/>
      <c r="D126" s="7"/>
      <c r="E126" s="7"/>
      <c r="F126" s="7"/>
      <c r="G126" s="7"/>
    </row>
    <row r="127" spans="2:7" x14ac:dyDescent="0.35">
      <c r="B127" s="7"/>
      <c r="C127" s="7"/>
      <c r="D127" s="7"/>
      <c r="E127" s="7"/>
      <c r="F127" s="7"/>
      <c r="G127" s="7"/>
    </row>
    <row r="128" spans="2:7" x14ac:dyDescent="0.35">
      <c r="B128" s="7"/>
      <c r="C128" s="7"/>
      <c r="D128" s="7"/>
      <c r="E128" s="7"/>
      <c r="F128" s="7"/>
      <c r="G128" s="7"/>
    </row>
    <row r="129" spans="2:7" x14ac:dyDescent="0.35">
      <c r="B129" s="7"/>
      <c r="C129" s="7"/>
      <c r="D129" s="7"/>
      <c r="E129" s="7"/>
      <c r="F129" s="7"/>
      <c r="G129" s="7"/>
    </row>
    <row r="130" spans="2:7" x14ac:dyDescent="0.35">
      <c r="B130" s="7"/>
      <c r="C130" s="7"/>
      <c r="D130" s="7"/>
      <c r="E130" s="7"/>
      <c r="F130" s="7"/>
      <c r="G130" s="7"/>
    </row>
    <row r="131" spans="2:7" x14ac:dyDescent="0.35">
      <c r="B131" s="7"/>
      <c r="C131" s="7"/>
      <c r="D131" s="7"/>
      <c r="E131" s="7"/>
      <c r="F131" s="7"/>
      <c r="G131" s="7"/>
    </row>
    <row r="132" spans="2:7" x14ac:dyDescent="0.35">
      <c r="B132" s="7"/>
      <c r="C132" s="7"/>
      <c r="D132" s="7"/>
      <c r="E132" s="7"/>
      <c r="F132" s="7"/>
      <c r="G132" s="7"/>
    </row>
    <row r="133" spans="2:7" x14ac:dyDescent="0.35">
      <c r="B133" s="7"/>
      <c r="C133" s="7"/>
      <c r="D133" s="7"/>
      <c r="E133" s="7"/>
      <c r="F133" s="7"/>
      <c r="G133" s="7"/>
    </row>
    <row r="134" spans="2:7" x14ac:dyDescent="0.35">
      <c r="B134" s="7"/>
      <c r="C134" s="7"/>
      <c r="D134" s="7"/>
      <c r="E134" s="7"/>
      <c r="F134" s="7"/>
      <c r="G134" s="7"/>
    </row>
    <row r="135" spans="2:7" x14ac:dyDescent="0.35">
      <c r="B135" s="7"/>
      <c r="C135" s="7"/>
      <c r="D135" s="7"/>
      <c r="E135" s="7"/>
      <c r="F135" s="7"/>
      <c r="G135" s="7"/>
    </row>
    <row r="136" spans="2:7" x14ac:dyDescent="0.35">
      <c r="B136" s="7"/>
      <c r="C136" s="7"/>
      <c r="D136" s="7"/>
      <c r="E136" s="7"/>
      <c r="F136" s="7"/>
      <c r="G136" s="7"/>
    </row>
    <row r="137" spans="2:7" x14ac:dyDescent="0.35">
      <c r="B137" s="7"/>
      <c r="C137" s="7"/>
      <c r="D137" s="7"/>
      <c r="E137" s="7"/>
      <c r="F137" s="7"/>
      <c r="G137" s="7"/>
    </row>
    <row r="138" spans="2:7" x14ac:dyDescent="0.35">
      <c r="B138" s="7"/>
      <c r="C138" s="7"/>
      <c r="D138" s="7"/>
      <c r="E138" s="7"/>
      <c r="F138" s="7"/>
      <c r="G138" s="7"/>
    </row>
    <row r="139" spans="2:7" x14ac:dyDescent="0.35">
      <c r="B139" s="7"/>
      <c r="C139" s="7"/>
      <c r="D139" s="7"/>
      <c r="E139" s="7"/>
      <c r="F139" s="7"/>
      <c r="G139" s="7"/>
    </row>
    <row r="140" spans="2:7" x14ac:dyDescent="0.35">
      <c r="B140" s="7"/>
      <c r="C140" s="7"/>
      <c r="D140" s="7"/>
      <c r="E140" s="7"/>
      <c r="F140" s="7"/>
      <c r="G140" s="7"/>
    </row>
    <row r="141" spans="2:7" x14ac:dyDescent="0.35">
      <c r="B141" s="7"/>
      <c r="C141" s="7"/>
      <c r="D141" s="7"/>
      <c r="E141" s="7"/>
      <c r="F141" s="7"/>
      <c r="G141" s="7"/>
    </row>
    <row r="142" spans="2:7" x14ac:dyDescent="0.35">
      <c r="B142" s="7"/>
      <c r="C142" s="7"/>
      <c r="D142" s="7"/>
      <c r="E142" s="7"/>
      <c r="F142" s="7"/>
      <c r="G142" s="7"/>
    </row>
    <row r="143" spans="2:7" x14ac:dyDescent="0.35">
      <c r="B143" s="7"/>
      <c r="C143" s="7"/>
      <c r="D143" s="7"/>
      <c r="E143" s="7"/>
      <c r="F143" s="7"/>
      <c r="G143" s="7"/>
    </row>
    <row r="144" spans="2:7" x14ac:dyDescent="0.35">
      <c r="B144" s="7"/>
      <c r="C144" s="7"/>
      <c r="D144" s="7"/>
      <c r="E144" s="7"/>
      <c r="F144" s="7"/>
      <c r="G144" s="7"/>
    </row>
    <row r="145" spans="2:7" x14ac:dyDescent="0.35">
      <c r="B145" s="7"/>
      <c r="C145" s="7"/>
      <c r="D145" s="7"/>
      <c r="E145" s="7"/>
      <c r="F145" s="7"/>
      <c r="G145" s="7"/>
    </row>
    <row r="146" spans="2:7" x14ac:dyDescent="0.35">
      <c r="B146" s="7"/>
      <c r="C146" s="7"/>
      <c r="D146" s="7"/>
      <c r="E146" s="7"/>
      <c r="F146" s="7"/>
      <c r="G146" s="7"/>
    </row>
    <row r="147" spans="2:7" x14ac:dyDescent="0.35">
      <c r="B147" s="7"/>
      <c r="C147" s="7"/>
      <c r="D147" s="7"/>
      <c r="E147" s="7"/>
      <c r="F147" s="7"/>
      <c r="G147" s="7"/>
    </row>
    <row r="148" spans="2:7" x14ac:dyDescent="0.35">
      <c r="B148" s="7"/>
      <c r="C148" s="7"/>
      <c r="D148" s="7"/>
      <c r="E148" s="7"/>
      <c r="F148" s="7"/>
      <c r="G148" s="7"/>
    </row>
    <row r="149" spans="2:7" x14ac:dyDescent="0.35">
      <c r="B149" s="7"/>
      <c r="C149" s="7"/>
      <c r="D149" s="7"/>
      <c r="E149" s="7"/>
      <c r="F149" s="7"/>
      <c r="G149" s="7"/>
    </row>
    <row r="150" spans="2:7" x14ac:dyDescent="0.35">
      <c r="B150" s="7"/>
      <c r="C150" s="7"/>
      <c r="D150" s="7"/>
      <c r="E150" s="7"/>
      <c r="F150" s="7"/>
      <c r="G150" s="7"/>
    </row>
    <row r="151" spans="2:7" x14ac:dyDescent="0.35">
      <c r="B151" s="7"/>
      <c r="C151" s="7"/>
      <c r="D151" s="7"/>
      <c r="E151" s="7"/>
      <c r="F151" s="7"/>
      <c r="G151" s="7"/>
    </row>
    <row r="152" spans="2:7" x14ac:dyDescent="0.35">
      <c r="B152" s="7"/>
      <c r="C152" s="7"/>
      <c r="D152" s="7"/>
      <c r="E152" s="7"/>
      <c r="F152" s="7"/>
      <c r="G152" s="7"/>
    </row>
    <row r="153" spans="2:7" x14ac:dyDescent="0.35">
      <c r="B153" s="7"/>
      <c r="C153" s="7"/>
      <c r="D153" s="7"/>
      <c r="E153" s="7"/>
      <c r="F153" s="7"/>
      <c r="G153" s="7"/>
    </row>
    <row r="154" spans="2:7" x14ac:dyDescent="0.35">
      <c r="B154" s="7"/>
      <c r="C154" s="7"/>
      <c r="D154" s="7"/>
      <c r="E154" s="7"/>
      <c r="F154" s="7"/>
      <c r="G154" s="7"/>
    </row>
    <row r="155" spans="2:7" x14ac:dyDescent="0.35">
      <c r="B155" s="7"/>
      <c r="C155" s="7"/>
      <c r="D155" s="7"/>
      <c r="E155" s="7"/>
      <c r="F155" s="7"/>
      <c r="G155" s="7"/>
    </row>
    <row r="156" spans="2:7" x14ac:dyDescent="0.35">
      <c r="B156" s="7"/>
      <c r="C156" s="7"/>
      <c r="D156" s="7"/>
      <c r="E156" s="7"/>
      <c r="F156" s="7"/>
      <c r="G156" s="7"/>
    </row>
    <row r="157" spans="2:7" x14ac:dyDescent="0.35">
      <c r="B157" s="7"/>
      <c r="C157" s="7"/>
      <c r="D157" s="7"/>
      <c r="E157" s="7"/>
      <c r="F157" s="7"/>
      <c r="G157" s="7"/>
    </row>
    <row r="158" spans="2:7" x14ac:dyDescent="0.35">
      <c r="B158" s="7"/>
      <c r="C158" s="7"/>
      <c r="D158" s="7"/>
      <c r="E158" s="7"/>
      <c r="F158" s="7"/>
      <c r="G158" s="7"/>
    </row>
    <row r="159" spans="2:7" x14ac:dyDescent="0.35">
      <c r="B159" s="7"/>
      <c r="C159" s="7"/>
      <c r="D159" s="7"/>
      <c r="E159" s="7"/>
      <c r="F159" s="7"/>
      <c r="G159" s="7"/>
    </row>
    <row r="160" spans="2:7" x14ac:dyDescent="0.35">
      <c r="B160" s="7"/>
      <c r="C160" s="7"/>
      <c r="D160" s="7"/>
      <c r="E160" s="7"/>
      <c r="F160" s="7"/>
      <c r="G160" s="7"/>
    </row>
    <row r="161" spans="2:7" x14ac:dyDescent="0.35">
      <c r="B161" s="7"/>
      <c r="C161" s="7"/>
      <c r="D161" s="7"/>
      <c r="E161" s="7"/>
      <c r="F161" s="7"/>
      <c r="G161" s="7"/>
    </row>
    <row r="162" spans="2:7" x14ac:dyDescent="0.35">
      <c r="B162" s="7"/>
      <c r="C162" s="7"/>
      <c r="D162" s="7"/>
      <c r="E162" s="7"/>
      <c r="F162" s="7"/>
      <c r="G162" s="7"/>
    </row>
    <row r="163" spans="2:7" x14ac:dyDescent="0.35">
      <c r="B163" s="7"/>
      <c r="C163" s="7"/>
      <c r="D163" s="7"/>
      <c r="E163" s="7"/>
      <c r="F163" s="7"/>
      <c r="G163" s="7"/>
    </row>
    <row r="164" spans="2:7" x14ac:dyDescent="0.35">
      <c r="B164" s="7"/>
      <c r="C164" s="7"/>
      <c r="D164" s="7"/>
      <c r="E164" s="7"/>
      <c r="F164" s="7"/>
      <c r="G164" s="7"/>
    </row>
    <row r="165" spans="2:7" x14ac:dyDescent="0.35">
      <c r="B165" s="7"/>
      <c r="C165" s="7"/>
      <c r="D165" s="7"/>
      <c r="E165" s="7"/>
      <c r="F165" s="7"/>
      <c r="G165" s="7"/>
    </row>
    <row r="166" spans="2:7" x14ac:dyDescent="0.35">
      <c r="B166" s="7"/>
      <c r="C166" s="7"/>
      <c r="D166" s="7"/>
      <c r="E166" s="7"/>
      <c r="F166" s="7"/>
      <c r="G166" s="7"/>
    </row>
    <row r="167" spans="2:7" x14ac:dyDescent="0.35">
      <c r="B167" s="7"/>
      <c r="C167" s="7"/>
      <c r="D167" s="7"/>
      <c r="E167" s="7"/>
      <c r="F167" s="7"/>
      <c r="G167" s="7"/>
    </row>
    <row r="168" spans="2:7" x14ac:dyDescent="0.35">
      <c r="B168" s="7"/>
      <c r="C168" s="7"/>
      <c r="D168" s="7"/>
      <c r="E168" s="7"/>
      <c r="F168" s="7"/>
      <c r="G168" s="7"/>
    </row>
    <row r="169" spans="2:7" x14ac:dyDescent="0.35">
      <c r="B169" s="7"/>
      <c r="C169" s="7"/>
      <c r="D169" s="7"/>
      <c r="E169" s="7"/>
      <c r="F169" s="7"/>
      <c r="G169" s="7"/>
    </row>
    <row r="170" spans="2:7" x14ac:dyDescent="0.35">
      <c r="B170" s="7"/>
      <c r="C170" s="7"/>
      <c r="D170" s="7"/>
      <c r="E170" s="7"/>
      <c r="F170" s="7"/>
      <c r="G170" s="7"/>
    </row>
    <row r="171" spans="2:7" x14ac:dyDescent="0.35">
      <c r="B171" s="7"/>
      <c r="C171" s="7"/>
      <c r="D171" s="7"/>
      <c r="E171" s="7"/>
      <c r="F171" s="7"/>
      <c r="G171" s="7"/>
    </row>
    <row r="172" spans="2:7" x14ac:dyDescent="0.35">
      <c r="B172" s="7"/>
      <c r="C172" s="7"/>
      <c r="D172" s="7"/>
      <c r="E172" s="7"/>
      <c r="F172" s="7"/>
      <c r="G172" s="7"/>
    </row>
    <row r="173" spans="2:7" x14ac:dyDescent="0.35">
      <c r="B173" s="7"/>
      <c r="C173" s="7"/>
      <c r="D173" s="7"/>
      <c r="E173" s="7"/>
      <c r="F173" s="7"/>
      <c r="G173" s="7"/>
    </row>
    <row r="174" spans="2:7" x14ac:dyDescent="0.35">
      <c r="B174" s="7"/>
      <c r="C174" s="7"/>
      <c r="D174" s="7"/>
      <c r="E174" s="7"/>
      <c r="F174" s="7"/>
      <c r="G174" s="7"/>
    </row>
    <row r="175" spans="2:7" x14ac:dyDescent="0.35">
      <c r="B175" s="7"/>
      <c r="C175" s="7"/>
      <c r="D175" s="7"/>
      <c r="E175" s="7"/>
      <c r="F175" s="7"/>
      <c r="G175" s="7"/>
    </row>
    <row r="176" spans="2:7" x14ac:dyDescent="0.35">
      <c r="B176" s="7"/>
      <c r="C176" s="7"/>
      <c r="D176" s="7"/>
      <c r="E176" s="7"/>
      <c r="F176" s="7"/>
      <c r="G176" s="7"/>
    </row>
    <row r="177" spans="2:7" x14ac:dyDescent="0.35">
      <c r="B177" s="7"/>
      <c r="C177" s="7"/>
      <c r="D177" s="7"/>
      <c r="E177" s="7"/>
      <c r="F177" s="7"/>
      <c r="G177" s="7"/>
    </row>
    <row r="178" spans="2:7" x14ac:dyDescent="0.35">
      <c r="B178" s="7"/>
      <c r="C178" s="7"/>
      <c r="D178" s="7"/>
      <c r="E178" s="7"/>
      <c r="F178" s="7"/>
      <c r="G178" s="7"/>
    </row>
    <row r="179" spans="2:7" x14ac:dyDescent="0.35">
      <c r="B179" s="7"/>
      <c r="C179" s="7"/>
      <c r="D179" s="7"/>
      <c r="E179" s="7"/>
      <c r="F179" s="7"/>
      <c r="G179" s="7"/>
    </row>
    <row r="180" spans="2:7" x14ac:dyDescent="0.35">
      <c r="B180" s="7"/>
      <c r="C180" s="7"/>
      <c r="D180" s="7"/>
      <c r="E180" s="7"/>
      <c r="F180" s="7"/>
      <c r="G180" s="7"/>
    </row>
    <row r="181" spans="2:7" x14ac:dyDescent="0.35">
      <c r="B181" s="7"/>
      <c r="C181" s="7"/>
      <c r="D181" s="7"/>
      <c r="E181" s="7"/>
      <c r="F181" s="7"/>
      <c r="G181" s="7"/>
    </row>
    <row r="182" spans="2:7" x14ac:dyDescent="0.35">
      <c r="B182" s="7"/>
      <c r="C182" s="7"/>
      <c r="D182" s="7"/>
      <c r="E182" s="7"/>
      <c r="F182" s="7"/>
      <c r="G182" s="7"/>
    </row>
    <row r="183" spans="2:7" x14ac:dyDescent="0.35">
      <c r="B183" s="7"/>
      <c r="C183" s="7"/>
      <c r="D183" s="7"/>
      <c r="E183" s="7"/>
      <c r="F183" s="7"/>
      <c r="G183" s="7"/>
    </row>
    <row r="184" spans="2:7" x14ac:dyDescent="0.35">
      <c r="B184" s="7"/>
      <c r="C184" s="7"/>
      <c r="D184" s="7"/>
      <c r="E184" s="7"/>
      <c r="F184" s="7"/>
      <c r="G184" s="7"/>
    </row>
    <row r="185" spans="2:7" x14ac:dyDescent="0.35">
      <c r="B185" s="7"/>
      <c r="C185" s="7"/>
      <c r="D185" s="7"/>
      <c r="E185" s="7"/>
      <c r="F185" s="7"/>
      <c r="G185" s="7"/>
    </row>
    <row r="186" spans="2:7" x14ac:dyDescent="0.35">
      <c r="B186" s="7"/>
      <c r="C186" s="7"/>
      <c r="D186" s="7"/>
      <c r="E186" s="7"/>
      <c r="F186" s="7"/>
      <c r="G186" s="7"/>
    </row>
    <row r="187" spans="2:7" x14ac:dyDescent="0.35">
      <c r="B187" s="7"/>
      <c r="C187" s="7"/>
      <c r="D187" s="7"/>
      <c r="E187" s="7"/>
      <c r="F187" s="7"/>
      <c r="G187" s="7"/>
    </row>
    <row r="188" spans="2:7" x14ac:dyDescent="0.35">
      <c r="B188" s="7"/>
      <c r="C188" s="7"/>
      <c r="D188" s="7"/>
      <c r="E188" s="7"/>
      <c r="F188" s="7"/>
      <c r="G188" s="7"/>
    </row>
    <row r="189" spans="2:7" x14ac:dyDescent="0.35">
      <c r="B189" s="7"/>
      <c r="C189" s="7"/>
      <c r="D189" s="7"/>
      <c r="E189" s="7"/>
      <c r="F189" s="7"/>
      <c r="G189" s="7"/>
    </row>
    <row r="190" spans="2:7" x14ac:dyDescent="0.35">
      <c r="B190" s="7"/>
      <c r="C190" s="7"/>
      <c r="D190" s="7"/>
      <c r="E190" s="7"/>
      <c r="F190" s="7"/>
      <c r="G190" s="7"/>
    </row>
  </sheetData>
  <mergeCells count="2">
    <mergeCell ref="U1:V1"/>
    <mergeCell ref="S1:T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5"/>
  <sheetViews>
    <sheetView showGridLines="0" zoomScaleNormal="100" workbookViewId="0">
      <selection activeCell="C6" sqref="C6"/>
    </sheetView>
  </sheetViews>
  <sheetFormatPr defaultColWidth="8.54296875" defaultRowHeight="14.5" x14ac:dyDescent="0.35"/>
  <cols>
    <col min="1" max="1" width="10" customWidth="1"/>
    <col min="2" max="8" width="18" customWidth="1"/>
  </cols>
  <sheetData>
    <row r="1" spans="1:8" ht="20" x14ac:dyDescent="0.4">
      <c r="A1" s="17" t="s">
        <v>175</v>
      </c>
      <c r="B1" s="17"/>
      <c r="C1" s="17"/>
      <c r="D1" s="17"/>
      <c r="E1" s="17"/>
      <c r="F1" s="17"/>
      <c r="G1" s="17"/>
      <c r="H1" s="17"/>
    </row>
    <row r="2" spans="1:8" ht="69.75" customHeight="1" x14ac:dyDescent="0.35">
      <c r="A2" s="16" t="s">
        <v>176</v>
      </c>
      <c r="B2" s="16"/>
      <c r="C2" s="16"/>
      <c r="D2" s="16"/>
      <c r="E2" s="16"/>
      <c r="F2" s="16"/>
      <c r="G2" s="16"/>
      <c r="H2" s="16"/>
    </row>
    <row r="4" spans="1:8" ht="25" x14ac:dyDescent="0.35">
      <c r="A4" s="4" t="s">
        <v>53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  <c r="G4" s="4" t="s">
        <v>182</v>
      </c>
      <c r="H4" s="4" t="s">
        <v>183</v>
      </c>
    </row>
    <row r="5" spans="1:8" ht="46" x14ac:dyDescent="0.35">
      <c r="B5" s="1" t="s">
        <v>184</v>
      </c>
      <c r="C5" s="1" t="s">
        <v>185</v>
      </c>
      <c r="D5" s="1" t="s">
        <v>186</v>
      </c>
      <c r="E5" s="1" t="s">
        <v>187</v>
      </c>
      <c r="F5" s="1" t="s">
        <v>188</v>
      </c>
      <c r="G5" s="1" t="s">
        <v>189</v>
      </c>
      <c r="H5" s="1" t="s">
        <v>190</v>
      </c>
    </row>
    <row r="6" spans="1:8" x14ac:dyDescent="0.35">
      <c r="A6" t="str">
        <f>'US Raw Data'!A6</f>
        <v>1998-Q3</v>
      </c>
      <c r="B6" s="8">
        <f>'US Raw Data'!C6/'US Raw Data'!B6*100</f>
        <v>19.827077817503749</v>
      </c>
      <c r="C6" s="8">
        <f>('US Raw Data'!D6-'US Raw Data'!E6)/'US Raw Data'!B6*100</f>
        <v>15.593891831212847</v>
      </c>
      <c r="D6" s="8">
        <f t="shared" ref="D6:D37" si="0">C6</f>
        <v>15.593891831212847</v>
      </c>
      <c r="E6" s="7">
        <f>'US Raw Data'!E6</f>
        <v>366.20400000000001</v>
      </c>
      <c r="F6" s="8">
        <f>'US Raw Data'!E6/(('US Raw Data'!F5/100)*'US Raw Data'!B5)*100</f>
        <v>6.6007266473202559</v>
      </c>
      <c r="G6" s="8">
        <f>'US Raw Data'!F5</f>
        <v>61.851959999999998</v>
      </c>
      <c r="H6" s="8">
        <f>'US Raw Data'!E6/'US Raw Data'!B5*100</f>
        <v>4.0826788056098646</v>
      </c>
    </row>
    <row r="7" spans="1:8" x14ac:dyDescent="0.35">
      <c r="A7" t="str">
        <f>'US Raw Data'!A7</f>
        <v>1998-Q4</v>
      </c>
      <c r="B7" s="8">
        <f>'US Raw Data'!C7/'US Raw Data'!B7*100</f>
        <v>19.744854497922368</v>
      </c>
      <c r="C7" s="8">
        <f>('US Raw Data'!D7-'US Raw Data'!E7)/'US Raw Data'!B7*100</f>
        <v>15.649143624090017</v>
      </c>
      <c r="D7" s="8">
        <f t="shared" si="0"/>
        <v>15.649143624090017</v>
      </c>
      <c r="E7" s="7">
        <f>'US Raw Data'!E7</f>
        <v>360.08800000000002</v>
      </c>
      <c r="F7" s="8">
        <f>'US Raw Data'!E7/(('US Raw Data'!F6/100)*'US Raw Data'!B6)*100</f>
        <v>6.5160232823012949</v>
      </c>
      <c r="G7" s="8">
        <f>'US Raw Data'!F6</f>
        <v>60.586930000000002</v>
      </c>
      <c r="H7" s="8">
        <f>'US Raw Data'!E7/'US Raw Data'!B6*100</f>
        <v>3.9478584648315875</v>
      </c>
    </row>
    <row r="8" spans="1:8" x14ac:dyDescent="0.35">
      <c r="A8" t="str">
        <f>'US Raw Data'!A8</f>
        <v>1999-Q1</v>
      </c>
      <c r="B8" s="8">
        <f>'US Raw Data'!C8/'US Raw Data'!B8*100</f>
        <v>19.76269491468156</v>
      </c>
      <c r="C8" s="8">
        <f>('US Raw Data'!D8-'US Raw Data'!E8)/'US Raw Data'!B8*100</f>
        <v>15.506176260523889</v>
      </c>
      <c r="D8" s="8">
        <f t="shared" si="0"/>
        <v>15.506176260523889</v>
      </c>
      <c r="E8" s="7">
        <f>'US Raw Data'!E8</f>
        <v>352.596</v>
      </c>
      <c r="F8" s="8">
        <f>'US Raw Data'!E8/(('US Raw Data'!F7/100)*'US Raw Data'!B7)*100</f>
        <v>6.2804122687039454</v>
      </c>
      <c r="G8" s="8">
        <f>'US Raw Data'!F7</f>
        <v>60.406959999999998</v>
      </c>
      <c r="H8" s="8">
        <f>'US Raw Data'!E8/'US Raw Data'!B7*100</f>
        <v>3.7938061269910852</v>
      </c>
    </row>
    <row r="9" spans="1:8" x14ac:dyDescent="0.35">
      <c r="A9" t="str">
        <f>'US Raw Data'!A9</f>
        <v>1999-Q2</v>
      </c>
      <c r="B9" s="8">
        <f>'US Raw Data'!C9/'US Raw Data'!B9*100</f>
        <v>19.789444070622</v>
      </c>
      <c r="C9" s="8">
        <f>('US Raw Data'!D9-'US Raw Data'!E9)/'US Raw Data'!B9*100</f>
        <v>15.376734294121167</v>
      </c>
      <c r="D9" s="8">
        <f t="shared" si="0"/>
        <v>15.376734294121167</v>
      </c>
      <c r="E9" s="7">
        <f>'US Raw Data'!E9</f>
        <v>352.14100000000002</v>
      </c>
      <c r="F9" s="8">
        <f>'US Raw Data'!E9/(('US Raw Data'!F8/100)*'US Raw Data'!B8)*100</f>
        <v>6.2308027480646526</v>
      </c>
      <c r="G9" s="8">
        <f>'US Raw Data'!F8</f>
        <v>60.048940000000002</v>
      </c>
      <c r="H9" s="8">
        <f>'US Raw Data'!E9/'US Raw Data'!B8*100</f>
        <v>3.7415310037036948</v>
      </c>
    </row>
    <row r="10" spans="1:8" x14ac:dyDescent="0.35">
      <c r="A10" t="str">
        <f>'US Raw Data'!A10</f>
        <v>1999-Q3</v>
      </c>
      <c r="B10" s="8">
        <f>'US Raw Data'!C10/'US Raw Data'!B10*100</f>
        <v>19.768100884663038</v>
      </c>
      <c r="C10" s="8">
        <f>('US Raw Data'!D10-'US Raw Data'!E10)/'US Raw Data'!B10*100</f>
        <v>15.404042646015236</v>
      </c>
      <c r="D10" s="8">
        <f t="shared" si="0"/>
        <v>15.404042646015236</v>
      </c>
      <c r="E10" s="7">
        <f>'US Raw Data'!E10</f>
        <v>351.07299999999998</v>
      </c>
      <c r="F10" s="8">
        <f>'US Raw Data'!E10/(('US Raw Data'!F9/100)*'US Raw Data'!B9)*100</f>
        <v>6.2260454121040372</v>
      </c>
      <c r="G10" s="8">
        <f>'US Raw Data'!F9</f>
        <v>59.192270000000001</v>
      </c>
      <c r="H10" s="8">
        <f>'US Raw Data'!E10/'US Raw Data'!B9*100</f>
        <v>3.6853376106552345</v>
      </c>
    </row>
    <row r="11" spans="1:8" x14ac:dyDescent="0.35">
      <c r="A11" t="str">
        <f>'US Raw Data'!A11</f>
        <v>1999-Q4</v>
      </c>
      <c r="B11" s="8">
        <f>'US Raw Data'!C11/'US Raw Data'!B11*100</f>
        <v>19.835580584533457</v>
      </c>
      <c r="C11" s="8">
        <f>('US Raw Data'!D11-'US Raw Data'!E11)/'US Raw Data'!B11*100</f>
        <v>15.375788029477071</v>
      </c>
      <c r="D11" s="8">
        <f t="shared" si="0"/>
        <v>15.375788029477071</v>
      </c>
      <c r="E11" s="7">
        <f>'US Raw Data'!E11</f>
        <v>352.92500000000001</v>
      </c>
      <c r="F11" s="8">
        <f>'US Raw Data'!E11/(('US Raw Data'!F10/100)*'US Raw Data'!B10)*100</f>
        <v>6.2395350260082854</v>
      </c>
      <c r="G11" s="8">
        <f>'US Raw Data'!F10</f>
        <v>58.392580000000002</v>
      </c>
      <c r="H11" s="8">
        <f>'US Raw Data'!E11/'US Raw Data'!B10*100</f>
        <v>3.6434254816899094</v>
      </c>
    </row>
    <row r="12" spans="1:8" x14ac:dyDescent="0.35">
      <c r="A12" t="str">
        <f>'US Raw Data'!A12</f>
        <v>2000-Q1</v>
      </c>
      <c r="B12" s="8">
        <f>'US Raw Data'!C12/'US Raw Data'!B12*100</f>
        <v>20.413191965470723</v>
      </c>
      <c r="C12" s="8">
        <f>('US Raw Data'!D12-'US Raw Data'!E12)/'US Raw Data'!B12*100</f>
        <v>15.111567189509403</v>
      </c>
      <c r="D12" s="8">
        <f t="shared" si="0"/>
        <v>15.111567189509403</v>
      </c>
      <c r="E12" s="7">
        <f>'US Raw Data'!E12</f>
        <v>354.822</v>
      </c>
      <c r="F12" s="8">
        <f>'US Raw Data'!E12/(('US Raw Data'!F11/100)*'US Raw Data'!B11)*100</f>
        <v>6.142943129528855</v>
      </c>
      <c r="G12" s="8">
        <f>'US Raw Data'!F11</f>
        <v>58.343359999999997</v>
      </c>
      <c r="H12" s="8">
        <f>'US Raw Data'!E12/'US Raw Data'!B11*100</f>
        <v>3.5839994246562861</v>
      </c>
    </row>
    <row r="13" spans="1:8" x14ac:dyDescent="0.35">
      <c r="A13" t="str">
        <f>'US Raw Data'!A13</f>
        <v>2000-Q2</v>
      </c>
      <c r="B13" s="8">
        <f>'US Raw Data'!C13/'US Raw Data'!B13*100</f>
        <v>20.065721936196539</v>
      </c>
      <c r="C13" s="8">
        <f>('US Raw Data'!D13-'US Raw Data'!E13)/'US Raw Data'!B13*100</f>
        <v>15.169579184442981</v>
      </c>
      <c r="D13" s="8">
        <f t="shared" si="0"/>
        <v>15.169579184442981</v>
      </c>
      <c r="E13" s="7">
        <f>'US Raw Data'!E13</f>
        <v>354.10899999999998</v>
      </c>
      <c r="F13" s="8">
        <f>'US Raw Data'!E13/(('US Raw Data'!F12/100)*'US Raw Data'!B12)*100</f>
        <v>6.133465655136864</v>
      </c>
      <c r="G13" s="8">
        <f>'US Raw Data'!F12</f>
        <v>57.721339999999998</v>
      </c>
      <c r="H13" s="8">
        <f>'US Raw Data'!E13/'US Raw Data'!B12*100</f>
        <v>3.5403185645847768</v>
      </c>
    </row>
    <row r="14" spans="1:8" x14ac:dyDescent="0.35">
      <c r="A14" t="str">
        <f>'US Raw Data'!A14</f>
        <v>2000-Q3</v>
      </c>
      <c r="B14" s="8">
        <f>'US Raw Data'!C14/'US Raw Data'!B14*100</f>
        <v>20.122453944087926</v>
      </c>
      <c r="C14" s="8">
        <f>('US Raw Data'!D14-'US Raw Data'!E14)/'US Raw Data'!B14*100</f>
        <v>15.174597421149979</v>
      </c>
      <c r="D14" s="8">
        <f t="shared" si="0"/>
        <v>15.174597421149979</v>
      </c>
      <c r="E14" s="7">
        <f>'US Raw Data'!E14</f>
        <v>352.87700000000001</v>
      </c>
      <c r="F14" s="8">
        <f>'US Raw Data'!E14/(('US Raw Data'!F13/100)*'US Raw Data'!B13)*100</f>
        <v>6.2061349667431713</v>
      </c>
      <c r="G14" s="8">
        <f>'US Raw Data'!F13</f>
        <v>55.484909999999999</v>
      </c>
      <c r="H14" s="8">
        <f>'US Raw Data'!E14/'US Raw Data'!B13*100</f>
        <v>3.4434684007759779</v>
      </c>
    </row>
    <row r="15" spans="1:8" x14ac:dyDescent="0.35">
      <c r="A15" t="str">
        <f>'US Raw Data'!A15</f>
        <v>2000-Q4</v>
      </c>
      <c r="B15" s="8">
        <f>'US Raw Data'!C15/'US Raw Data'!B15*100</f>
        <v>20.092443816176399</v>
      </c>
      <c r="C15" s="8">
        <f>('US Raw Data'!D15-'US Raw Data'!E15)/'US Raw Data'!B15*100</f>
        <v>15.194805468589493</v>
      </c>
      <c r="D15" s="8">
        <f t="shared" si="0"/>
        <v>15.194805468589493</v>
      </c>
      <c r="E15" s="7">
        <f>'US Raw Data'!E15</f>
        <v>353.10500000000002</v>
      </c>
      <c r="F15" s="8">
        <f>'US Raw Data'!E15/(('US Raw Data'!F14/100)*'US Raw Data'!B14)*100</f>
        <v>6.2230151361271728</v>
      </c>
      <c r="G15" s="8">
        <f>'US Raw Data'!F14</f>
        <v>54.992130000000003</v>
      </c>
      <c r="H15" s="8">
        <f>'US Raw Data'!E15/'US Raw Data'!B14*100</f>
        <v>3.4221685735787322</v>
      </c>
    </row>
    <row r="16" spans="1:8" x14ac:dyDescent="0.35">
      <c r="A16" t="str">
        <f>'US Raw Data'!A16</f>
        <v>2001-Q1</v>
      </c>
      <c r="B16" s="8">
        <f>'US Raw Data'!C16/'US Raw Data'!B16*100</f>
        <v>20.162477790604623</v>
      </c>
      <c r="C16" s="8">
        <f>('US Raw Data'!D16-'US Raw Data'!E16)/'US Raw Data'!B16*100</f>
        <v>15.6362070712671</v>
      </c>
      <c r="D16" s="8">
        <f t="shared" si="0"/>
        <v>15.6362070712671</v>
      </c>
      <c r="E16" s="7">
        <f>'US Raw Data'!E16</f>
        <v>345.47899999999998</v>
      </c>
      <c r="F16" s="8">
        <f>'US Raw Data'!E16/(('US Raw Data'!F15/100)*'US Raw Data'!B15)*100</f>
        <v>6.1014809014071556</v>
      </c>
      <c r="G16" s="8">
        <f>'US Raw Data'!F15</f>
        <v>54.257899999999999</v>
      </c>
      <c r="H16" s="8">
        <f>'US Raw Data'!E16/'US Raw Data'!B15*100</f>
        <v>3.3105354060045928</v>
      </c>
    </row>
    <row r="17" spans="1:8" x14ac:dyDescent="0.35">
      <c r="A17" t="str">
        <f>'US Raw Data'!A17</f>
        <v>2001-Q2</v>
      </c>
      <c r="B17" s="8">
        <f>'US Raw Data'!C17/'US Raw Data'!B17*100</f>
        <v>19.797707330880272</v>
      </c>
      <c r="C17" s="8">
        <f>('US Raw Data'!D17-'US Raw Data'!E17)/'US Raw Data'!B17*100</f>
        <v>15.744928766864795</v>
      </c>
      <c r="D17" s="8">
        <f t="shared" si="0"/>
        <v>15.744928766864795</v>
      </c>
      <c r="E17" s="7">
        <f>'US Raw Data'!E17</f>
        <v>334.77600000000001</v>
      </c>
      <c r="F17" s="8">
        <f>'US Raw Data'!E17/(('US Raw Data'!F16/100)*'US Raw Data'!B16)*100</f>
        <v>5.7982523056720048</v>
      </c>
      <c r="G17" s="8">
        <f>'US Raw Data'!F16</f>
        <v>55.14434</v>
      </c>
      <c r="H17" s="8">
        <f>'US Raw Data'!E17/'US Raw Data'!B16*100</f>
        <v>3.1974079654976095</v>
      </c>
    </row>
    <row r="18" spans="1:8" x14ac:dyDescent="0.35">
      <c r="A18" t="str">
        <f>'US Raw Data'!A18</f>
        <v>2001-Q3</v>
      </c>
      <c r="B18" s="8">
        <f>'US Raw Data'!C18/'US Raw Data'!B18*100</f>
        <v>18.000334024657434</v>
      </c>
      <c r="C18" s="8">
        <f>('US Raw Data'!D18-'US Raw Data'!E18)/'US Raw Data'!B18*100</f>
        <v>16.143364515258511</v>
      </c>
      <c r="D18" s="8">
        <f t="shared" si="0"/>
        <v>16.143364515258511</v>
      </c>
      <c r="E18" s="7">
        <f>'US Raw Data'!E18</f>
        <v>326.82600000000002</v>
      </c>
      <c r="F18" s="8">
        <f>'US Raw Data'!E18/(('US Raw Data'!F17/100)*'US Raw Data'!B17)*100</f>
        <v>5.7069422317538532</v>
      </c>
      <c r="G18" s="8">
        <f>'US Raw Data'!F17</f>
        <v>54.031649999999999</v>
      </c>
      <c r="H18" s="8">
        <f>'US Raw Data'!E18/'US Raw Data'!B17*100</f>
        <v>3.0835550523634305</v>
      </c>
    </row>
    <row r="19" spans="1:8" x14ac:dyDescent="0.35">
      <c r="A19" t="str">
        <f>'US Raw Data'!A19</f>
        <v>2001-Q4</v>
      </c>
      <c r="B19" s="8">
        <f>'US Raw Data'!C19/'US Raw Data'!B19*100</f>
        <v>18.876990825447105</v>
      </c>
      <c r="C19" s="8">
        <f>('US Raw Data'!D19-'US Raw Data'!E19)/'US Raw Data'!B19*100</f>
        <v>16.205512611316674</v>
      </c>
      <c r="D19" s="8">
        <f t="shared" si="0"/>
        <v>16.205512611316674</v>
      </c>
      <c r="E19" s="7">
        <f>'US Raw Data'!E19</f>
        <v>317.82100000000003</v>
      </c>
      <c r="F19" s="8">
        <f>'US Raw Data'!E19/(('US Raw Data'!F18/100)*'US Raw Data'!B18)*100</f>
        <v>5.4726299062852819</v>
      </c>
      <c r="G19" s="8">
        <f>'US Raw Data'!F18</f>
        <v>54.797629999999998</v>
      </c>
      <c r="H19" s="8">
        <f>'US Raw Data'!E19/'US Raw Data'!B18*100</f>
        <v>2.9988714873155553</v>
      </c>
    </row>
    <row r="20" spans="1:8" x14ac:dyDescent="0.35">
      <c r="A20" t="str">
        <f>'US Raw Data'!A20</f>
        <v>2002-Q1</v>
      </c>
      <c r="B20" s="8">
        <f>'US Raw Data'!C20/'US Raw Data'!B20*100</f>
        <v>17.300848518570035</v>
      </c>
      <c r="C20" s="8">
        <f>('US Raw Data'!D20-'US Raw Data'!E20)/'US Raw Data'!B20*100</f>
        <v>16.567329716696804</v>
      </c>
      <c r="D20" s="8">
        <f t="shared" si="0"/>
        <v>16.567329716696804</v>
      </c>
      <c r="E20" s="7">
        <f>'US Raw Data'!E20</f>
        <v>304.93099999999998</v>
      </c>
      <c r="F20" s="8">
        <f>'US Raw Data'!E20/(('US Raw Data'!F19/100)*'US Raw Data'!B19)*100</f>
        <v>5.1305477210321282</v>
      </c>
      <c r="G20" s="8">
        <f>'US Raw Data'!F19</f>
        <v>55.752160000000003</v>
      </c>
      <c r="H20" s="8">
        <f>'US Raw Data'!E20/'US Raw Data'!B19*100</f>
        <v>2.8603911743061863</v>
      </c>
    </row>
    <row r="21" spans="1:8" x14ac:dyDescent="0.35">
      <c r="A21" t="str">
        <f>'US Raw Data'!A21</f>
        <v>2002-Q2</v>
      </c>
      <c r="B21" s="8">
        <f>'US Raw Data'!C21/'US Raw Data'!B21*100</f>
        <v>17.157647421896385</v>
      </c>
      <c r="C21" s="8">
        <f>('US Raw Data'!D21-'US Raw Data'!E21)/'US Raw Data'!B21*100</f>
        <v>16.792052508114843</v>
      </c>
      <c r="D21" s="8">
        <f t="shared" si="0"/>
        <v>16.792052508114843</v>
      </c>
      <c r="E21" s="7">
        <f>'US Raw Data'!E21</f>
        <v>301.95800000000003</v>
      </c>
      <c r="F21" s="8">
        <f>'US Raw Data'!E21/(('US Raw Data'!F20/100)*'US Raw Data'!B20)*100</f>
        <v>5.0275788757640054</v>
      </c>
      <c r="G21" s="8">
        <f>'US Raw Data'!F20</f>
        <v>55.6965</v>
      </c>
      <c r="H21" s="8">
        <f>'US Raw Data'!E21/'US Raw Data'!B20*100</f>
        <v>2.8001854685398992</v>
      </c>
    </row>
    <row r="22" spans="1:8" x14ac:dyDescent="0.35">
      <c r="A22" t="str">
        <f>'US Raw Data'!A22</f>
        <v>2002-Q3</v>
      </c>
      <c r="B22" s="8">
        <f>'US Raw Data'!C22/'US Raw Data'!B22*100</f>
        <v>17.022680179606045</v>
      </c>
      <c r="C22" s="8">
        <f>('US Raw Data'!D22-'US Raw Data'!E22)/'US Raw Data'!B22*100</f>
        <v>16.826750448833032</v>
      </c>
      <c r="D22" s="8">
        <f t="shared" si="0"/>
        <v>16.826750448833032</v>
      </c>
      <c r="E22" s="7">
        <f>'US Raw Data'!E22</f>
        <v>300.19</v>
      </c>
      <c r="F22" s="8">
        <f>'US Raw Data'!E22/(('US Raw Data'!F21/100)*'US Raw Data'!B21)*100</f>
        <v>4.8998864813841756</v>
      </c>
      <c r="G22" s="8">
        <f>'US Raw Data'!F21</f>
        <v>56.270870000000002</v>
      </c>
      <c r="H22" s="8">
        <f>'US Raw Data'!E22/'US Raw Data'!B21*100</f>
        <v>2.7572087520872639</v>
      </c>
    </row>
    <row r="23" spans="1:8" x14ac:dyDescent="0.35">
      <c r="A23" t="str">
        <f>'US Raw Data'!A23</f>
        <v>2002-Q4</v>
      </c>
      <c r="B23" s="8">
        <f>'US Raw Data'!C23/'US Raw Data'!B23*100</f>
        <v>16.996875540447608</v>
      </c>
      <c r="C23" s="8">
        <f>('US Raw Data'!D23-'US Raw Data'!E23)/'US Raw Data'!B23*100</f>
        <v>17.056479029434975</v>
      </c>
      <c r="D23" s="8">
        <f t="shared" si="0"/>
        <v>17.056479029434975</v>
      </c>
      <c r="E23" s="7">
        <f>'US Raw Data'!E23</f>
        <v>298.00599999999997</v>
      </c>
      <c r="F23" s="8">
        <f>'US Raw Data'!E23/(('US Raw Data'!F22/100)*'US Raw Data'!B22)*100</f>
        <v>4.7847574709513054</v>
      </c>
      <c r="G23" s="8">
        <f>'US Raw Data'!F22</f>
        <v>56.702599999999997</v>
      </c>
      <c r="H23" s="8">
        <f>'US Raw Data'!E23/'US Raw Data'!B22*100</f>
        <v>2.7130818897236351</v>
      </c>
    </row>
    <row r="24" spans="1:8" x14ac:dyDescent="0.35">
      <c r="A24" t="str">
        <f>'US Raw Data'!A24</f>
        <v>2003-Q1</v>
      </c>
      <c r="B24" s="8">
        <f>'US Raw Data'!C24/'US Raw Data'!B24*100</f>
        <v>16.912423330713292</v>
      </c>
      <c r="C24" s="8">
        <f>('US Raw Data'!D24-'US Raw Data'!E24)/'US Raw Data'!B24*100</f>
        <v>17.267278729286197</v>
      </c>
      <c r="D24" s="8">
        <f t="shared" si="0"/>
        <v>17.267278729286197</v>
      </c>
      <c r="E24" s="7">
        <f>'US Raw Data'!E24</f>
        <v>290.79399999999998</v>
      </c>
      <c r="F24" s="8">
        <f>'US Raw Data'!E24/(('US Raw Data'!F23/100)*'US Raw Data'!B23)*100</f>
        <v>4.5396083221777239</v>
      </c>
      <c r="G24" s="8">
        <f>'US Raw Data'!F23</f>
        <v>57.91028</v>
      </c>
      <c r="H24" s="8">
        <f>'US Raw Data'!E24/'US Raw Data'!B23*100</f>
        <v>2.628899890276422</v>
      </c>
    </row>
    <row r="25" spans="1:8" x14ac:dyDescent="0.35">
      <c r="A25" t="str">
        <f>'US Raw Data'!A25</f>
        <v>2003-Q2</v>
      </c>
      <c r="B25" s="8">
        <f>'US Raw Data'!C25/'US Raw Data'!B25*100</f>
        <v>16.907129520755579</v>
      </c>
      <c r="C25" s="8">
        <f>('US Raw Data'!D25-'US Raw Data'!E25)/'US Raw Data'!B25*100</f>
        <v>17.763975671378688</v>
      </c>
      <c r="D25" s="8">
        <f t="shared" si="0"/>
        <v>17.763975671378688</v>
      </c>
      <c r="E25" s="7">
        <f>'US Raw Data'!E25</f>
        <v>290.322</v>
      </c>
      <c r="F25" s="8">
        <f>'US Raw Data'!E25/(('US Raw Data'!F24/100)*'US Raw Data'!B24)*100</f>
        <v>4.4936085731497277</v>
      </c>
      <c r="G25" s="8">
        <f>'US Raw Data'!F24</f>
        <v>57.81906</v>
      </c>
      <c r="H25" s="8">
        <f>'US Raw Data'!E25/'US Raw Data'!B24*100</f>
        <v>2.5981622370745852</v>
      </c>
    </row>
    <row r="26" spans="1:8" x14ac:dyDescent="0.35">
      <c r="A26" t="str">
        <f>'US Raw Data'!A26</f>
        <v>2003-Q3</v>
      </c>
      <c r="B26" s="8">
        <f>'US Raw Data'!C26/'US Raw Data'!B26*100</f>
        <v>15.909385839605161</v>
      </c>
      <c r="C26" s="8">
        <f>('US Raw Data'!D26-'US Raw Data'!E26)/'US Raw Data'!B26*100</f>
        <v>17.446362474797194</v>
      </c>
      <c r="D26" s="8">
        <f t="shared" si="0"/>
        <v>17.446362474797194</v>
      </c>
      <c r="E26" s="7">
        <f>'US Raw Data'!E26</f>
        <v>291.65899999999999</v>
      </c>
      <c r="F26" s="8">
        <f>'US Raw Data'!E26/(('US Raw Data'!F25/100)*'US Raw Data'!B25)*100</f>
        <v>4.3726192666328965</v>
      </c>
      <c r="G26" s="8">
        <f>'US Raw Data'!F25</f>
        <v>58.961010000000002</v>
      </c>
      <c r="H26" s="8">
        <f>'US Raw Data'!E26/'US Raw Data'!B25*100</f>
        <v>2.5781404830613486</v>
      </c>
    </row>
    <row r="27" spans="1:8" x14ac:dyDescent="0.35">
      <c r="A27" t="str">
        <f>'US Raw Data'!A27</f>
        <v>2003-Q4</v>
      </c>
      <c r="B27" s="8">
        <f>'US Raw Data'!C27/'US Raw Data'!B27*100</f>
        <v>16.494711199250712</v>
      </c>
      <c r="C27" s="8">
        <f>('US Raw Data'!D27-'US Raw Data'!E27)/'US Raw Data'!B27*100</f>
        <v>17.414468655651934</v>
      </c>
      <c r="D27" s="8">
        <f t="shared" si="0"/>
        <v>17.414468655651934</v>
      </c>
      <c r="E27" s="7">
        <f>'US Raw Data'!E27</f>
        <v>294.108</v>
      </c>
      <c r="F27" s="8">
        <f>'US Raw Data'!E27/(('US Raw Data'!F26/100)*'US Raw Data'!B26)*100</f>
        <v>4.3357527011141661</v>
      </c>
      <c r="G27" s="8">
        <f>'US Raw Data'!F26</f>
        <v>58.645409999999998</v>
      </c>
      <c r="H27" s="8">
        <f>'US Raw Data'!E27/'US Raw Data'!B26*100</f>
        <v>2.5427199481544775</v>
      </c>
    </row>
    <row r="28" spans="1:8" x14ac:dyDescent="0.35">
      <c r="A28" t="str">
        <f>'US Raw Data'!A28</f>
        <v>2004-Q1</v>
      </c>
      <c r="B28" s="8">
        <f>'US Raw Data'!C28/'US Raw Data'!B28*100</f>
        <v>16.371658296464101</v>
      </c>
      <c r="C28" s="8">
        <f>('US Raw Data'!D28-'US Raw Data'!E28)/'US Raw Data'!B28*100</f>
        <v>17.471105461365326</v>
      </c>
      <c r="D28" s="8">
        <f t="shared" si="0"/>
        <v>17.471105461365326</v>
      </c>
      <c r="E28" s="7">
        <f>'US Raw Data'!E28</f>
        <v>297.88200000000001</v>
      </c>
      <c r="F28" s="8">
        <f>'US Raw Data'!E28/(('US Raw Data'!F27/100)*'US Raw Data'!B27)*100</f>
        <v>4.2566949437109836</v>
      </c>
      <c r="G28" s="8">
        <f>'US Raw Data'!F27</f>
        <v>59.444659999999999</v>
      </c>
      <c r="H28" s="8">
        <f>'US Raw Data'!E28/'US Raw Data'!B27*100</f>
        <v>2.5303778365261853</v>
      </c>
    </row>
    <row r="29" spans="1:8" x14ac:dyDescent="0.35">
      <c r="A29" t="str">
        <f>'US Raw Data'!A29</f>
        <v>2004-Q2</v>
      </c>
      <c r="B29" s="8">
        <f>'US Raw Data'!C29/'US Raw Data'!B29*100</f>
        <v>16.540193175574792</v>
      </c>
      <c r="C29" s="8">
        <f>('US Raw Data'!D29-'US Raw Data'!E29)/'US Raw Data'!B29*100</f>
        <v>17.343111407216242</v>
      </c>
      <c r="D29" s="8">
        <f t="shared" si="0"/>
        <v>17.343111407216242</v>
      </c>
      <c r="E29" s="7">
        <f>'US Raw Data'!E29</f>
        <v>299.661</v>
      </c>
      <c r="F29" s="8">
        <f>'US Raw Data'!E29/(('US Raw Data'!F28/100)*'US Raw Data'!B28)*100</f>
        <v>4.2021897061124154</v>
      </c>
      <c r="G29" s="8">
        <f>'US Raw Data'!F28</f>
        <v>59.807099999999998</v>
      </c>
      <c r="H29" s="8">
        <f>'US Raw Data'!E29/'US Raw Data'!B28*100</f>
        <v>2.5132077997243583</v>
      </c>
    </row>
    <row r="30" spans="1:8" x14ac:dyDescent="0.35">
      <c r="A30" t="str">
        <f>'US Raw Data'!A30</f>
        <v>2004-Q3</v>
      </c>
      <c r="B30" s="8">
        <f>'US Raw Data'!C30/'US Raw Data'!B30*100</f>
        <v>16.763604516327792</v>
      </c>
      <c r="C30" s="8">
        <f>('US Raw Data'!D30-'US Raw Data'!E30)/'US Raw Data'!B30*100</f>
        <v>17.233507461455449</v>
      </c>
      <c r="D30" s="8">
        <f t="shared" si="0"/>
        <v>17.233507461455449</v>
      </c>
      <c r="E30" s="7">
        <f>'US Raw Data'!E30</f>
        <v>308.15899999999999</v>
      </c>
      <c r="F30" s="8">
        <f>'US Raw Data'!E30/(('US Raw Data'!F29/100)*'US Raw Data'!B29)*100</f>
        <v>4.2362495984014155</v>
      </c>
      <c r="G30" s="8">
        <f>'US Raw Data'!F29</f>
        <v>60.054870000000001</v>
      </c>
      <c r="H30" s="8">
        <f>'US Raw Data'!E30/'US Raw Data'!B29*100</f>
        <v>2.5440741891954923</v>
      </c>
    </row>
    <row r="31" spans="1:8" x14ac:dyDescent="0.35">
      <c r="A31" t="str">
        <f>'US Raw Data'!A31</f>
        <v>2004-Q4</v>
      </c>
      <c r="B31" s="8">
        <f>'US Raw Data'!C31/'US Raw Data'!B31*100</f>
        <v>16.715288810425047</v>
      </c>
      <c r="C31" s="8">
        <f>('US Raw Data'!D31-'US Raw Data'!E31)/'US Raw Data'!B31*100</f>
        <v>17.223813690737625</v>
      </c>
      <c r="D31" s="8">
        <f t="shared" si="0"/>
        <v>17.223813690737625</v>
      </c>
      <c r="E31" s="7">
        <f>'US Raw Data'!E31</f>
        <v>318.38600000000002</v>
      </c>
      <c r="F31" s="8">
        <f>'US Raw Data'!E31/(('US Raw Data'!F30/100)*'US Raw Data'!B30)*100</f>
        <v>4.3147269262282286</v>
      </c>
      <c r="G31" s="8">
        <f>'US Raw Data'!F30</f>
        <v>59.966430000000003</v>
      </c>
      <c r="H31" s="8">
        <f>'US Raw Data'!E31/'US Raw Data'!B30*100</f>
        <v>2.5873877019078031</v>
      </c>
    </row>
    <row r="32" spans="1:8" x14ac:dyDescent="0.35">
      <c r="A32" t="str">
        <f>'US Raw Data'!A32</f>
        <v>2005-Q1</v>
      </c>
      <c r="B32" s="8">
        <f>'US Raw Data'!C32/'US Raw Data'!B32*100</f>
        <v>17.566693500874031</v>
      </c>
      <c r="C32" s="8">
        <f>('US Raw Data'!D32-'US Raw Data'!E32)/'US Raw Data'!B32*100</f>
        <v>17.377318875757929</v>
      </c>
      <c r="D32" s="8">
        <f t="shared" si="0"/>
        <v>17.377318875757929</v>
      </c>
      <c r="E32" s="7">
        <f>'US Raw Data'!E32</f>
        <v>329.40699999999998</v>
      </c>
      <c r="F32" s="8">
        <f>'US Raw Data'!E32/(('US Raw Data'!F31/100)*'US Raw Data'!B31)*100</f>
        <v>4.3365033850458365</v>
      </c>
      <c r="G32" s="8">
        <f>'US Raw Data'!F31</f>
        <v>60.637129999999999</v>
      </c>
      <c r="H32" s="8">
        <f>'US Raw Data'!E32/'US Raw Data'!B31*100</f>
        <v>2.6295311950446441</v>
      </c>
    </row>
    <row r="33" spans="1:8" x14ac:dyDescent="0.35">
      <c r="A33" t="str">
        <f>'US Raw Data'!A33</f>
        <v>2005-Q2</v>
      </c>
      <c r="B33" s="8">
        <f>'US Raw Data'!C33/'US Raw Data'!B33*100</f>
        <v>17.581586943117571</v>
      </c>
      <c r="C33" s="8">
        <f>('US Raw Data'!D33-'US Raw Data'!E33)/'US Raw Data'!B33*100</f>
        <v>17.29601097483366</v>
      </c>
      <c r="D33" s="8">
        <f t="shared" si="0"/>
        <v>17.29601097483366</v>
      </c>
      <c r="E33" s="7">
        <f>'US Raw Data'!E33</f>
        <v>343.58199999999999</v>
      </c>
      <c r="F33" s="8">
        <f>'US Raw Data'!E33/(('US Raw Data'!F32/100)*'US Raw Data'!B32)*100</f>
        <v>4.4179590328627105</v>
      </c>
      <c r="G33" s="8">
        <f>'US Raw Data'!F32</f>
        <v>60.913020000000003</v>
      </c>
      <c r="H33" s="8">
        <f>'US Raw Data'!E33/'US Raw Data'!B32*100</f>
        <v>2.6911122692794693</v>
      </c>
    </row>
    <row r="34" spans="1:8" x14ac:dyDescent="0.35">
      <c r="A34" t="str">
        <f>'US Raw Data'!A34</f>
        <v>2005-Q3</v>
      </c>
      <c r="B34" s="8">
        <f>'US Raw Data'!C34/'US Raw Data'!B34*100</f>
        <v>17.627650513496448</v>
      </c>
      <c r="C34" s="8">
        <f>('US Raw Data'!D34-'US Raw Data'!E34)/'US Raw Data'!B34*100</f>
        <v>17.257580325173581</v>
      </c>
      <c r="D34" s="8">
        <f t="shared" si="0"/>
        <v>17.257580325173581</v>
      </c>
      <c r="E34" s="7">
        <f>'US Raw Data'!E34</f>
        <v>349.22800000000001</v>
      </c>
      <c r="F34" s="8">
        <f>'US Raw Data'!E34/(('US Raw Data'!F33/100)*'US Raw Data'!B33)*100</f>
        <v>4.4564303479591443</v>
      </c>
      <c r="G34" s="8">
        <f>'US Raw Data'!F33</f>
        <v>60.641530000000003</v>
      </c>
      <c r="H34" s="8">
        <f>'US Raw Data'!E34/'US Raw Data'!B33*100</f>
        <v>2.702447546386749</v>
      </c>
    </row>
    <row r="35" spans="1:8" x14ac:dyDescent="0.35">
      <c r="A35" t="str">
        <f>'US Raw Data'!A35</f>
        <v>2005-Q4</v>
      </c>
      <c r="B35" s="8">
        <f>'US Raw Data'!C35/'US Raw Data'!B35*100</f>
        <v>17.916912710132628</v>
      </c>
      <c r="C35" s="8">
        <f>('US Raw Data'!D35-'US Raw Data'!E35)/'US Raw Data'!B35*100</f>
        <v>17.220818594491647</v>
      </c>
      <c r="D35" s="8">
        <f t="shared" si="0"/>
        <v>17.220818594491647</v>
      </c>
      <c r="E35" s="7">
        <f>'US Raw Data'!E35</f>
        <v>355.28199999999998</v>
      </c>
      <c r="F35" s="8">
        <f>'US Raw Data'!E35/(('US Raw Data'!F34/100)*'US Raw Data'!B34)*100</f>
        <v>4.4786967418747494</v>
      </c>
      <c r="G35" s="8">
        <f>'US Raw Data'!F34</f>
        <v>60.358559999999997</v>
      </c>
      <c r="H35" s="8">
        <f>'US Raw Data'!E35/'US Raw Data'!B34*100</f>
        <v>2.7032768601625152</v>
      </c>
    </row>
    <row r="36" spans="1:8" x14ac:dyDescent="0.35">
      <c r="A36" t="str">
        <f>'US Raw Data'!A36</f>
        <v>2006-Q1</v>
      </c>
      <c r="B36" s="8">
        <f>'US Raw Data'!C36/'US Raw Data'!B36*100</f>
        <v>18.257708564352505</v>
      </c>
      <c r="C36" s="8">
        <f>('US Raw Data'!D36-'US Raw Data'!E36)/'US Raw Data'!B36*100</f>
        <v>17.427363160665809</v>
      </c>
      <c r="D36" s="8">
        <f t="shared" si="0"/>
        <v>17.427363160665809</v>
      </c>
      <c r="E36" s="7">
        <f>'US Raw Data'!E36</f>
        <v>358.209</v>
      </c>
      <c r="F36" s="8">
        <f>'US Raw Data'!E36/(('US Raw Data'!F35/100)*'US Raw Data'!B35)*100</f>
        <v>4.3842216988805607</v>
      </c>
      <c r="G36" s="8">
        <f>'US Raw Data'!F35</f>
        <v>61.320079999999997</v>
      </c>
      <c r="H36" s="8">
        <f>'US Raw Data'!E36/'US Raw Data'!B35*100</f>
        <v>2.6884082531309188</v>
      </c>
    </row>
    <row r="37" spans="1:8" x14ac:dyDescent="0.35">
      <c r="A37" t="str">
        <f>'US Raw Data'!A37</f>
        <v>2006-Q2</v>
      </c>
      <c r="B37" s="8">
        <f>'US Raw Data'!C37/'US Raw Data'!B37*100</f>
        <v>18.311840018892749</v>
      </c>
      <c r="C37" s="8">
        <f>('US Raw Data'!D37-'US Raw Data'!E37)/'US Raw Data'!B37*100</f>
        <v>17.316924134673663</v>
      </c>
      <c r="D37" s="8">
        <f t="shared" si="0"/>
        <v>17.316924134673663</v>
      </c>
      <c r="E37" s="7">
        <f>'US Raw Data'!E37</f>
        <v>367.41500000000002</v>
      </c>
      <c r="F37" s="8">
        <f>'US Raw Data'!E37/(('US Raw Data'!F36/100)*'US Raw Data'!B36)*100</f>
        <v>4.3890592646687345</v>
      </c>
      <c r="G37" s="8">
        <f>'US Raw Data'!F36</f>
        <v>61.556420000000003</v>
      </c>
      <c r="H37" s="8">
        <f>'US Raw Data'!E37/'US Raw Data'!B36*100</f>
        <v>2.7017477550083977</v>
      </c>
    </row>
    <row r="38" spans="1:8" x14ac:dyDescent="0.35">
      <c r="A38" t="str">
        <f>'US Raw Data'!A38</f>
        <v>2006-Q3</v>
      </c>
      <c r="B38" s="8">
        <f>'US Raw Data'!C38/'US Raw Data'!B38*100</f>
        <v>18.477478459556568</v>
      </c>
      <c r="C38" s="8">
        <f>('US Raw Data'!D38-'US Raw Data'!E38)/'US Raw Data'!B38*100</f>
        <v>17.299066169831296</v>
      </c>
      <c r="D38" s="8">
        <f t="shared" ref="D38:D69" si="1">C38</f>
        <v>17.299066169831296</v>
      </c>
      <c r="E38" s="7">
        <f>'US Raw Data'!E38</f>
        <v>376.29899999999998</v>
      </c>
      <c r="F38" s="8">
        <f>'US Raw Data'!E38/(('US Raw Data'!F37/100)*'US Raw Data'!B37)*100</f>
        <v>4.4690872518529661</v>
      </c>
      <c r="G38" s="8">
        <f>'US Raw Data'!F37</f>
        <v>61.221420000000002</v>
      </c>
      <c r="H38" s="8">
        <f>'US Raw Data'!E38/'US Raw Data'!B37*100</f>
        <v>2.7360386766233624</v>
      </c>
    </row>
    <row r="39" spans="1:8" x14ac:dyDescent="0.35">
      <c r="A39" t="str">
        <f>'US Raw Data'!A39</f>
        <v>2006-Q4</v>
      </c>
      <c r="B39" s="8">
        <f>'US Raw Data'!C39/'US Raw Data'!B39*100</f>
        <v>18.453925906509891</v>
      </c>
      <c r="C39" s="8">
        <f>('US Raw Data'!D39-'US Raw Data'!E39)/'US Raw Data'!B39*100</f>
        <v>17.115785679893101</v>
      </c>
      <c r="D39" s="8">
        <f t="shared" si="1"/>
        <v>17.115785679893101</v>
      </c>
      <c r="E39" s="7">
        <f>'US Raw Data'!E39</f>
        <v>386.92500000000001</v>
      </c>
      <c r="F39" s="8">
        <f>'US Raw Data'!E39/(('US Raw Data'!F38/100)*'US Raw Data'!B38)*100</f>
        <v>4.5483266990521729</v>
      </c>
      <c r="G39" s="8">
        <f>'US Raw Data'!F38</f>
        <v>61.332799999999999</v>
      </c>
      <c r="H39" s="8">
        <f>'US Raw Data'!E39/'US Raw Data'!B38*100</f>
        <v>2.7896161176762706</v>
      </c>
    </row>
    <row r="40" spans="1:8" x14ac:dyDescent="0.35">
      <c r="A40" t="str">
        <f>'US Raw Data'!A40</f>
        <v>2007-Q1</v>
      </c>
      <c r="B40" s="8">
        <f>'US Raw Data'!C40/'US Raw Data'!B40*100</f>
        <v>18.708154835821446</v>
      </c>
      <c r="C40" s="8">
        <f>('US Raw Data'!D40-'US Raw Data'!E40)/'US Raw Data'!B40*100</f>
        <v>17.398548965502879</v>
      </c>
      <c r="D40" s="8">
        <f t="shared" si="1"/>
        <v>17.398548965502879</v>
      </c>
      <c r="E40" s="7">
        <f>'US Raw Data'!E40</f>
        <v>396.00900000000001</v>
      </c>
      <c r="F40" s="8">
        <f>'US Raw Data'!E40/(('US Raw Data'!F39/100)*'US Raw Data'!B39)*100</f>
        <v>4.5621982926778033</v>
      </c>
      <c r="G40" s="8">
        <f>'US Raw Data'!F39</f>
        <v>61.826889999999999</v>
      </c>
      <c r="H40" s="8">
        <f>'US Raw Data'!E40/'US Raw Data'!B39*100</f>
        <v>2.8206653199957836</v>
      </c>
    </row>
    <row r="41" spans="1:8" x14ac:dyDescent="0.35">
      <c r="A41" t="str">
        <f>'US Raw Data'!A41</f>
        <v>2007-Q2</v>
      </c>
      <c r="B41" s="8">
        <f>'US Raw Data'!C41/'US Raw Data'!B41*100</f>
        <v>18.568190349145354</v>
      </c>
      <c r="C41" s="8">
        <f>('US Raw Data'!D41-'US Raw Data'!E41)/'US Raw Data'!B41*100</f>
        <v>17.339770735925544</v>
      </c>
      <c r="D41" s="8">
        <f t="shared" si="1"/>
        <v>17.339770735925544</v>
      </c>
      <c r="E41" s="7">
        <f>'US Raw Data'!E41</f>
        <v>407.91399999999999</v>
      </c>
      <c r="F41" s="8">
        <f>'US Raw Data'!E41/(('US Raw Data'!F40/100)*'US Raw Data'!B40)*100</f>
        <v>4.6093722440010003</v>
      </c>
      <c r="G41" s="8">
        <f>'US Raw Data'!F40</f>
        <v>62.252969999999998</v>
      </c>
      <c r="H41" s="8">
        <f>'US Raw Data'!E41/'US Raw Data'!B40*100</f>
        <v>2.8694711202462693</v>
      </c>
    </row>
    <row r="42" spans="1:8" x14ac:dyDescent="0.35">
      <c r="A42" t="str">
        <f>'US Raw Data'!A42</f>
        <v>2007-Q3</v>
      </c>
      <c r="B42" s="8">
        <f>'US Raw Data'!C42/'US Raw Data'!B42*100</f>
        <v>18.310289597371401</v>
      </c>
      <c r="C42" s="8">
        <f>('US Raw Data'!D42-'US Raw Data'!E42)/'US Raw Data'!B42*100</f>
        <v>17.38215231311311</v>
      </c>
      <c r="D42" s="8">
        <f t="shared" si="1"/>
        <v>17.38215231311311</v>
      </c>
      <c r="E42" s="7">
        <f>'US Raw Data'!E42</f>
        <v>414.16399999999999</v>
      </c>
      <c r="F42" s="8">
        <f>'US Raw Data'!E42/(('US Raw Data'!F41/100)*'US Raw Data'!B41)*100</f>
        <v>4.6704902119874214</v>
      </c>
      <c r="G42" s="8">
        <f>'US Raw Data'!F41</f>
        <v>61.572189999999999</v>
      </c>
      <c r="H42" s="8">
        <f>'US Raw Data'!E42/'US Raw Data'!B41*100</f>
        <v>2.8757231072562979</v>
      </c>
    </row>
    <row r="43" spans="1:8" x14ac:dyDescent="0.35">
      <c r="A43" t="str">
        <f>'US Raw Data'!A43</f>
        <v>2007-Q4</v>
      </c>
      <c r="B43" s="8">
        <f>'US Raw Data'!C43/'US Raw Data'!B43*100</f>
        <v>18.164277707909815</v>
      </c>
      <c r="C43" s="8">
        <f>('US Raw Data'!D43-'US Raw Data'!E43)/'US Raw Data'!B43*100</f>
        <v>17.519061086949165</v>
      </c>
      <c r="D43" s="8">
        <f t="shared" si="1"/>
        <v>17.519061086949165</v>
      </c>
      <c r="E43" s="7">
        <f>'US Raw Data'!E43</f>
        <v>413.82499999999999</v>
      </c>
      <c r="F43" s="8">
        <f>'US Raw Data'!E43/(('US Raw Data'!F42/100)*'US Raw Data'!B42)*100</f>
        <v>4.594149023605314</v>
      </c>
      <c r="G43" s="8">
        <f>'US Raw Data'!F42</f>
        <v>61.848260000000003</v>
      </c>
      <c r="H43" s="8">
        <f>'US Raw Data'!E43/'US Raw Data'!B42*100</f>
        <v>2.8414012329068763</v>
      </c>
    </row>
    <row r="44" spans="1:8" x14ac:dyDescent="0.35">
      <c r="A44" t="str">
        <f>'US Raw Data'!A44</f>
        <v>2008-Q1</v>
      </c>
      <c r="B44" s="8">
        <f>'US Raw Data'!C44/'US Raw Data'!B44*100</f>
        <v>17.944053182332919</v>
      </c>
      <c r="C44" s="8">
        <f>('US Raw Data'!D44-'US Raw Data'!E44)/'US Raw Data'!B44*100</f>
        <v>17.951532848859468</v>
      </c>
      <c r="D44" s="8">
        <f t="shared" si="1"/>
        <v>17.951532848859468</v>
      </c>
      <c r="E44" s="7">
        <f>'US Raw Data'!E44</f>
        <v>403.47300000000001</v>
      </c>
      <c r="F44" s="8">
        <f>'US Raw Data'!E44/(('US Raw Data'!F43/100)*'US Raw Data'!B43)*100</f>
        <v>4.3717136949515609</v>
      </c>
      <c r="G44" s="8">
        <f>'US Raw Data'!F43</f>
        <v>62.719239999999999</v>
      </c>
      <c r="H44" s="8">
        <f>'US Raw Data'!E44/'US Raw Data'!B43*100</f>
        <v>2.7419056044495371</v>
      </c>
    </row>
    <row r="45" spans="1:8" x14ac:dyDescent="0.35">
      <c r="A45" t="str">
        <f>'US Raw Data'!A45</f>
        <v>2008-Q2</v>
      </c>
      <c r="B45" s="8">
        <f>'US Raw Data'!C45/'US Raw Data'!B45*100</f>
        <v>17.63123044113426</v>
      </c>
      <c r="C45" s="8">
        <f>('US Raw Data'!D45-'US Raw Data'!E45)/'US Raw Data'!B45*100</f>
        <v>20.241904502182575</v>
      </c>
      <c r="D45" s="8">
        <f t="shared" si="1"/>
        <v>20.241904502182575</v>
      </c>
      <c r="E45" s="7">
        <f>'US Raw Data'!E45</f>
        <v>388.351</v>
      </c>
      <c r="F45" s="8">
        <f>'US Raw Data'!E45/(('US Raw Data'!F44/100)*'US Raw Data'!B44)*100</f>
        <v>4.1149363770904941</v>
      </c>
      <c r="G45" s="8">
        <f>'US Raw Data'!F44</f>
        <v>64.172780000000003</v>
      </c>
      <c r="H45" s="8">
        <f>'US Raw Data'!E45/'US Raw Data'!B44*100</f>
        <v>2.6406690684102538</v>
      </c>
    </row>
    <row r="46" spans="1:8" x14ac:dyDescent="0.35">
      <c r="A46" t="str">
        <f>'US Raw Data'!A46</f>
        <v>2008-Q3</v>
      </c>
      <c r="B46" s="8">
        <f>'US Raw Data'!C46/'US Raw Data'!B46*100</f>
        <v>17.280154190224458</v>
      </c>
      <c r="C46" s="8">
        <f>('US Raw Data'!D46-'US Raw Data'!E46)/'US Raw Data'!B46*100</f>
        <v>18.873469284748591</v>
      </c>
      <c r="D46" s="8">
        <f t="shared" si="1"/>
        <v>18.873469284748591</v>
      </c>
      <c r="E46" s="7">
        <f>'US Raw Data'!E46</f>
        <v>382.15199999999999</v>
      </c>
      <c r="F46" s="8">
        <f>'US Raw Data'!E46/(('US Raw Data'!F45/100)*'US Raw Data'!B45)*100</f>
        <v>4.026040532584755</v>
      </c>
      <c r="G46" s="8">
        <f>'US Raw Data'!F45</f>
        <v>63.85172</v>
      </c>
      <c r="H46" s="8">
        <f>'US Raw Data'!E46/'US Raw Data'!B45*100</f>
        <v>2.5706961279525267</v>
      </c>
    </row>
    <row r="47" spans="1:8" x14ac:dyDescent="0.35">
      <c r="A47" t="str">
        <f>'US Raw Data'!A47</f>
        <v>2008-Q4</v>
      </c>
      <c r="B47" s="8">
        <f>'US Raw Data'!C47/'US Raw Data'!B47*100</f>
        <v>17.070381454701259</v>
      </c>
      <c r="C47" s="8">
        <f>('US Raw Data'!D47-'US Raw Data'!E47)/'US Raw Data'!B47*100</f>
        <v>19.258021294739141</v>
      </c>
      <c r="D47" s="8">
        <f t="shared" si="1"/>
        <v>19.258021294739141</v>
      </c>
      <c r="E47" s="7">
        <f>'US Raw Data'!E47</f>
        <v>379.61399999999998</v>
      </c>
      <c r="F47" s="8">
        <f>'US Raw Data'!E47/(('US Raw Data'!F46/100)*'US Raw Data'!B46)*100</f>
        <v>3.7867774080783159</v>
      </c>
      <c r="G47" s="8">
        <f>'US Raw Data'!F46</f>
        <v>67.284549999999996</v>
      </c>
      <c r="H47" s="8">
        <f>'US Raw Data'!E47/'US Raw Data'!B46*100</f>
        <v>2.5479161385271585</v>
      </c>
    </row>
    <row r="48" spans="1:8" x14ac:dyDescent="0.35">
      <c r="A48" t="str">
        <f>'US Raw Data'!A48</f>
        <v>2009-Q1</v>
      </c>
      <c r="B48" s="8">
        <f>'US Raw Data'!C48/'US Raw Data'!B48*100</f>
        <v>15.400589651291375</v>
      </c>
      <c r="C48" s="8">
        <f>('US Raw Data'!D48-'US Raw Data'!E48)/'US Raw Data'!B48*100</f>
        <v>20.517761121238294</v>
      </c>
      <c r="D48" s="8">
        <f t="shared" si="1"/>
        <v>20.517761121238294</v>
      </c>
      <c r="E48" s="7">
        <f>'US Raw Data'!E48</f>
        <v>361.86900000000003</v>
      </c>
      <c r="F48" s="8">
        <f>'US Raw Data'!E48/(('US Raw Data'!F47/100)*'US Raw Data'!B47)*100</f>
        <v>3.3820150340934947</v>
      </c>
      <c r="G48" s="8">
        <f>'US Raw Data'!F47</f>
        <v>73.245149999999995</v>
      </c>
      <c r="H48" s="8">
        <f>'US Raw Data'!E48/'US Raw Data'!B47*100</f>
        <v>2.4771619847443311</v>
      </c>
    </row>
    <row r="49" spans="1:8" x14ac:dyDescent="0.35">
      <c r="A49" t="str">
        <f>'US Raw Data'!A49</f>
        <v>2009-Q2</v>
      </c>
      <c r="B49" s="8">
        <f>'US Raw Data'!C49/'US Raw Data'!B49*100</f>
        <v>15.463371854825272</v>
      </c>
      <c r="C49" s="8">
        <f>('US Raw Data'!D49-'US Raw Data'!E49)/'US Raw Data'!B49*100</f>
        <v>22.060252679255104</v>
      </c>
      <c r="D49" s="8">
        <f t="shared" si="1"/>
        <v>22.060252679255104</v>
      </c>
      <c r="E49" s="7">
        <f>'US Raw Data'!E49</f>
        <v>352.13400000000001</v>
      </c>
      <c r="F49" s="8">
        <f>'US Raw Data'!E49/(('US Raw Data'!F48/100)*'US Raw Data'!B48)*100</f>
        <v>3.164697226345988</v>
      </c>
      <c r="G49" s="8">
        <f>'US Raw Data'!F48</f>
        <v>77.104960000000005</v>
      </c>
      <c r="H49" s="8">
        <f>'US Raw Data'!E49/'US Raw Data'!B48*100</f>
        <v>2.440138530495183</v>
      </c>
    </row>
    <row r="50" spans="1:8" x14ac:dyDescent="0.35">
      <c r="A50" t="str">
        <f>'US Raw Data'!A50</f>
        <v>2009-Q3</v>
      </c>
      <c r="B50" s="8">
        <f>'US Raw Data'!C50/'US Raw Data'!B50*100</f>
        <v>15.402582705014826</v>
      </c>
      <c r="C50" s="8">
        <f>('US Raw Data'!D50-'US Raw Data'!E50)/'US Raw Data'!B50*100</f>
        <v>22.026520806246459</v>
      </c>
      <c r="D50" s="8">
        <f t="shared" si="1"/>
        <v>22.026520806246459</v>
      </c>
      <c r="E50" s="7">
        <f>'US Raw Data'!E50</f>
        <v>350.31700000000001</v>
      </c>
      <c r="F50" s="8">
        <f>'US Raw Data'!E50/(('US Raw Data'!F49/100)*'US Raw Data'!B49)*100</f>
        <v>3.0342889305169742</v>
      </c>
      <c r="G50" s="8">
        <f>'US Raw Data'!F49</f>
        <v>80.28013</v>
      </c>
      <c r="H50" s="8">
        <f>'US Raw Data'!E50/'US Raw Data'!B49*100</f>
        <v>2.4359310979946369</v>
      </c>
    </row>
    <row r="51" spans="1:8" x14ac:dyDescent="0.35">
      <c r="A51" t="str">
        <f>'US Raw Data'!A51</f>
        <v>2009-Q4</v>
      </c>
      <c r="B51" s="8">
        <f>'US Raw Data'!C51/'US Raw Data'!B51*100</f>
        <v>15.674376976324684</v>
      </c>
      <c r="C51" s="8">
        <f>('US Raw Data'!D51-'US Raw Data'!E51)/'US Raw Data'!B51*100</f>
        <v>21.887608353390213</v>
      </c>
      <c r="D51" s="8">
        <f t="shared" si="1"/>
        <v>21.887608353390213</v>
      </c>
      <c r="E51" s="7">
        <f>'US Raw Data'!E51</f>
        <v>353.81099999999998</v>
      </c>
      <c r="F51" s="8">
        <f>'US Raw Data'!E51/(('US Raw Data'!F50/100)*'US Raw Data'!B50)*100</f>
        <v>2.9707482801040892</v>
      </c>
      <c r="G51" s="8">
        <f>'US Raw Data'!F50</f>
        <v>82.427329999999998</v>
      </c>
      <c r="H51" s="8">
        <f>'US Raw Data'!E51/'US Raw Data'!B50*100</f>
        <v>2.448708488310722</v>
      </c>
    </row>
    <row r="52" spans="1:8" x14ac:dyDescent="0.35">
      <c r="A52" t="str">
        <f>'US Raw Data'!A52</f>
        <v>2010-Q1</v>
      </c>
      <c r="B52" s="8">
        <f>'US Raw Data'!C52/'US Raw Data'!B52*100</f>
        <v>16.025699290397782</v>
      </c>
      <c r="C52" s="8">
        <f>('US Raw Data'!D52-'US Raw Data'!E52)/'US Raw Data'!B52*100</f>
        <v>22.691354529513479</v>
      </c>
      <c r="D52" s="8">
        <f t="shared" si="1"/>
        <v>22.691354529513479</v>
      </c>
      <c r="E52" s="7">
        <f>'US Raw Data'!E52</f>
        <v>360.25799999999998</v>
      </c>
      <c r="F52" s="8">
        <f>'US Raw Data'!E52/(('US Raw Data'!F51/100)*'US Raw Data'!B51)*100</f>
        <v>2.9262267780325408</v>
      </c>
      <c r="G52" s="8">
        <f>'US Raw Data'!F51</f>
        <v>84.029349999999994</v>
      </c>
      <c r="H52" s="8">
        <f>'US Raw Data'!E52/'US Raw Data'!B51*100</f>
        <v>2.4588893411066866</v>
      </c>
    </row>
    <row r="53" spans="1:8" x14ac:dyDescent="0.35">
      <c r="A53" t="str">
        <f>'US Raw Data'!A53</f>
        <v>2010-Q2</v>
      </c>
      <c r="B53" s="8">
        <f>'US Raw Data'!C53/'US Raw Data'!B53*100</f>
        <v>16.159157629010519</v>
      </c>
      <c r="C53" s="8">
        <f>('US Raw Data'!D53-'US Raw Data'!E53)/'US Raw Data'!B53*100</f>
        <v>22.488234964663008</v>
      </c>
      <c r="D53" s="8">
        <f t="shared" si="1"/>
        <v>22.488234964663008</v>
      </c>
      <c r="E53" s="7">
        <f>'US Raw Data'!E53</f>
        <v>376.93</v>
      </c>
      <c r="F53" s="8">
        <f>'US Raw Data'!E53/(('US Raw Data'!F52/100)*'US Raw Data'!B52)*100</f>
        <v>2.9509620709084059</v>
      </c>
      <c r="G53" s="8">
        <f>'US Raw Data'!F52</f>
        <v>86.511750000000006</v>
      </c>
      <c r="H53" s="8">
        <f>'US Raw Data'!E53/'US Raw Data'!B52*100</f>
        <v>2.5529289293791031</v>
      </c>
    </row>
    <row r="54" spans="1:8" x14ac:dyDescent="0.35">
      <c r="A54" t="str">
        <f>'US Raw Data'!A54</f>
        <v>2010-Q3</v>
      </c>
      <c r="B54" s="8">
        <f>'US Raw Data'!C54/'US Raw Data'!B54*100</f>
        <v>16.400438870193899</v>
      </c>
      <c r="C54" s="8">
        <f>('US Raw Data'!D54-'US Raw Data'!E54)/'US Raw Data'!B54*100</f>
        <v>22.475758352465498</v>
      </c>
      <c r="D54" s="8">
        <f t="shared" si="1"/>
        <v>22.475758352465498</v>
      </c>
      <c r="E54" s="7">
        <f>'US Raw Data'!E54</f>
        <v>389.24700000000001</v>
      </c>
      <c r="F54" s="8">
        <f>'US Raw Data'!E54/(('US Raw Data'!F53/100)*'US Raw Data'!B53)*100</f>
        <v>2.948440541319751</v>
      </c>
      <c r="G54" s="8">
        <f>'US Raw Data'!F53</f>
        <v>88.128320000000002</v>
      </c>
      <c r="H54" s="8">
        <f>'US Raw Data'!E54/'US Raw Data'!B53*100</f>
        <v>2.5984111152640028</v>
      </c>
    </row>
    <row r="55" spans="1:8" x14ac:dyDescent="0.35">
      <c r="A55" t="str">
        <f>'US Raw Data'!A55</f>
        <v>2010-Q4</v>
      </c>
      <c r="B55" s="8">
        <f>'US Raw Data'!C55/'US Raw Data'!B55*100</f>
        <v>16.427487972480311</v>
      </c>
      <c r="C55" s="8">
        <f>('US Raw Data'!D55-'US Raw Data'!E55)/'US Raw Data'!B55*100</f>
        <v>22.275683671431167</v>
      </c>
      <c r="D55" s="8">
        <f t="shared" si="1"/>
        <v>22.275683671431167</v>
      </c>
      <c r="E55" s="7">
        <f>'US Raw Data'!E55</f>
        <v>399.51400000000001</v>
      </c>
      <c r="F55" s="8">
        <f>'US Raw Data'!E55/(('US Raw Data'!F54/100)*'US Raw Data'!B54)*100</f>
        <v>2.945915902982494</v>
      </c>
      <c r="G55" s="8">
        <f>'US Raw Data'!F54</f>
        <v>89.565280000000001</v>
      </c>
      <c r="H55" s="8">
        <f>'US Raw Data'!E55/'US Raw Data'!B54*100</f>
        <v>2.6385178270707987</v>
      </c>
    </row>
    <row r="56" spans="1:8" x14ac:dyDescent="0.35">
      <c r="A56" t="str">
        <f>'US Raw Data'!A56</f>
        <v>2011-Q1</v>
      </c>
      <c r="B56" s="8">
        <f>'US Raw Data'!C56/'US Raw Data'!B56*100</f>
        <v>16.720605118162144</v>
      </c>
      <c r="C56" s="8">
        <f>('US Raw Data'!D56-'US Raw Data'!E56)/'US Raw Data'!B56*100</f>
        <v>22.15073131863522</v>
      </c>
      <c r="D56" s="8">
        <f t="shared" si="1"/>
        <v>22.15073131863522</v>
      </c>
      <c r="E56" s="7">
        <f>'US Raw Data'!E56</f>
        <v>410.80500000000001</v>
      </c>
      <c r="F56" s="8">
        <f>'US Raw Data'!E56/(('US Raw Data'!F55/100)*'US Raw Data'!B55)*100</f>
        <v>2.9290461582044536</v>
      </c>
      <c r="G56" s="8">
        <f>'US Raw Data'!F55</f>
        <v>91.611339999999998</v>
      </c>
      <c r="H56" s="8">
        <f>'US Raw Data'!E56/'US Raw Data'!B55*100</f>
        <v>2.6833384347496199</v>
      </c>
    </row>
    <row r="57" spans="1:8" x14ac:dyDescent="0.35">
      <c r="A57" t="str">
        <f>'US Raw Data'!A57</f>
        <v>2011-Q2</v>
      </c>
      <c r="B57" s="8">
        <f>'US Raw Data'!C57/'US Raw Data'!B57*100</f>
        <v>16.551281022017687</v>
      </c>
      <c r="C57" s="8">
        <f>('US Raw Data'!D57-'US Raw Data'!E57)/'US Raw Data'!B57*100</f>
        <v>22.011129138098255</v>
      </c>
      <c r="D57" s="8">
        <f t="shared" si="1"/>
        <v>22.011129138098255</v>
      </c>
      <c r="E57" s="7">
        <f>'US Raw Data'!E57</f>
        <v>424.98700000000002</v>
      </c>
      <c r="F57" s="8">
        <f>'US Raw Data'!E57/(('US Raw Data'!F56/100)*'US Raw Data'!B56)*100</f>
        <v>2.9781613170187593</v>
      </c>
      <c r="G57" s="8">
        <f>'US Raw Data'!F56</f>
        <v>92.956140000000005</v>
      </c>
      <c r="H57" s="8">
        <f>'US Raw Data'!E57/'US Raw Data'!B56*100</f>
        <v>2.7683838032738017</v>
      </c>
    </row>
    <row r="58" spans="1:8" x14ac:dyDescent="0.35">
      <c r="A58" t="str">
        <f>'US Raw Data'!A58</f>
        <v>2011-Q3</v>
      </c>
      <c r="B58" s="8">
        <f>'US Raw Data'!C58/'US Raw Data'!B58*100</f>
        <v>16.394590124542425</v>
      </c>
      <c r="C58" s="8">
        <f>('US Raw Data'!D58-'US Raw Data'!E58)/'US Raw Data'!B58*100</f>
        <v>21.416644512157713</v>
      </c>
      <c r="D58" s="8">
        <f t="shared" si="1"/>
        <v>21.416644512157713</v>
      </c>
      <c r="E58" s="7">
        <f>'US Raw Data'!E58</f>
        <v>432.625</v>
      </c>
      <c r="F58" s="8">
        <f>'US Raw Data'!E58/(('US Raw Data'!F57/100)*'US Raw Data'!B57)*100</f>
        <v>3.0162615508198538</v>
      </c>
      <c r="G58" s="8">
        <f>'US Raw Data'!F57</f>
        <v>92.193799999999996</v>
      </c>
      <c r="H58" s="8">
        <f>'US Raw Data'!E58/'US Raw Data'!B57*100</f>
        <v>2.7808061416397538</v>
      </c>
    </row>
    <row r="59" spans="1:8" x14ac:dyDescent="0.35">
      <c r="A59" t="str">
        <f>'US Raw Data'!A59</f>
        <v>2011-Q4</v>
      </c>
      <c r="B59" s="8">
        <f>'US Raw Data'!C59/'US Raw Data'!B59*100</f>
        <v>16.331250486436311</v>
      </c>
      <c r="C59" s="8">
        <f>('US Raw Data'!D59-'US Raw Data'!E59)/'US Raw Data'!B59*100</f>
        <v>21.166034465160553</v>
      </c>
      <c r="D59" s="8">
        <f t="shared" si="1"/>
        <v>21.166034465160553</v>
      </c>
      <c r="E59" s="7">
        <f>'US Raw Data'!E59</f>
        <v>433.35</v>
      </c>
      <c r="F59" s="8">
        <f>'US Raw Data'!E59/(('US Raw Data'!F58/100)*'US Raw Data'!B58)*100</f>
        <v>2.9299528330017615</v>
      </c>
      <c r="G59" s="8">
        <f>'US Raw Data'!F58</f>
        <v>94.520979999999994</v>
      </c>
      <c r="H59" s="8">
        <f>'US Raw Data'!E59/'US Raw Data'!B58*100</f>
        <v>2.7694201312910285</v>
      </c>
    </row>
    <row r="60" spans="1:8" x14ac:dyDescent="0.35">
      <c r="A60" t="str">
        <f>'US Raw Data'!A60</f>
        <v>2012-Q1</v>
      </c>
      <c r="B60" s="8">
        <f>'US Raw Data'!C60/'US Raw Data'!B60*100</f>
        <v>16.578388996568194</v>
      </c>
      <c r="C60" s="8">
        <f>('US Raw Data'!D60-'US Raw Data'!E60)/'US Raw Data'!B60*100</f>
        <v>20.822961010479624</v>
      </c>
      <c r="D60" s="8">
        <f t="shared" si="1"/>
        <v>20.822961010479624</v>
      </c>
      <c r="E60" s="7">
        <f>'US Raw Data'!E60</f>
        <v>428.34300000000002</v>
      </c>
      <c r="F60" s="8">
        <f>'US Raw Data'!E60/(('US Raw Data'!F59/100)*'US Raw Data'!B59)*100</f>
        <v>2.813799300608387</v>
      </c>
      <c r="G60" s="8">
        <f>'US Raw Data'!F59</f>
        <v>96.090720000000005</v>
      </c>
      <c r="H60" s="8">
        <f>'US Raw Data'!E60/'US Raw Data'!B59*100</f>
        <v>2.7038000073095638</v>
      </c>
    </row>
    <row r="61" spans="1:8" x14ac:dyDescent="0.35">
      <c r="A61" t="str">
        <f>'US Raw Data'!A61</f>
        <v>2012-Q2</v>
      </c>
      <c r="B61" s="8">
        <f>'US Raw Data'!C61/'US Raw Data'!B61*100</f>
        <v>16.534386286516757</v>
      </c>
      <c r="C61" s="8">
        <f>('US Raw Data'!D61-'US Raw Data'!E61)/'US Raw Data'!B61*100</f>
        <v>20.66081471008258</v>
      </c>
      <c r="D61" s="8">
        <f t="shared" si="1"/>
        <v>20.66081471008258</v>
      </c>
      <c r="E61" s="7">
        <f>'US Raw Data'!E61</f>
        <v>424.34500000000003</v>
      </c>
      <c r="F61" s="8">
        <f>'US Raw Data'!E61/(('US Raw Data'!F60/100)*'US Raw Data'!B60)*100</f>
        <v>2.7190241339291328</v>
      </c>
      <c r="G61" s="8">
        <f>'US Raw Data'!F60</f>
        <v>97.123080000000002</v>
      </c>
      <c r="H61" s="8">
        <f>'US Raw Data'!E61/'US Raw Data'!B60*100</f>
        <v>2.640799984815299</v>
      </c>
    </row>
    <row r="62" spans="1:8" x14ac:dyDescent="0.35">
      <c r="A62" t="str">
        <f>'US Raw Data'!A62</f>
        <v>2012-Q3</v>
      </c>
      <c r="B62" s="8">
        <f>'US Raw Data'!C62/'US Raw Data'!B62*100</f>
        <v>16.486707561199179</v>
      </c>
      <c r="C62" s="8">
        <f>('US Raw Data'!D62-'US Raw Data'!E62)/'US Raw Data'!B62*100</f>
        <v>20.56629533882111</v>
      </c>
      <c r="D62" s="8">
        <f t="shared" si="1"/>
        <v>20.56629533882111</v>
      </c>
      <c r="E62" s="7">
        <f>'US Raw Data'!E62</f>
        <v>420.97399999999999</v>
      </c>
      <c r="F62" s="8">
        <f>'US Raw Data'!E62/(('US Raw Data'!F61/100)*'US Raw Data'!B61)*100</f>
        <v>2.6551436832676982</v>
      </c>
      <c r="G62" s="8">
        <f>'US Raw Data'!F61</f>
        <v>97.827629999999999</v>
      </c>
      <c r="H62" s="8">
        <f>'US Raw Data'!E62/'US Raw Data'!B61*100</f>
        <v>2.5974641384354955</v>
      </c>
    </row>
    <row r="63" spans="1:8" x14ac:dyDescent="0.35">
      <c r="A63" t="str">
        <f>'US Raw Data'!A63</f>
        <v>2012-Q4</v>
      </c>
      <c r="B63" s="8">
        <f>'US Raw Data'!C63/'US Raw Data'!B63*100</f>
        <v>16.863260310227162</v>
      </c>
      <c r="C63" s="8">
        <f>('US Raw Data'!D63-'US Raw Data'!E63)/'US Raw Data'!B63*100</f>
        <v>20.417682398969234</v>
      </c>
      <c r="D63" s="8">
        <f t="shared" si="1"/>
        <v>20.417682398969234</v>
      </c>
      <c r="E63" s="7">
        <f>'US Raw Data'!E63</f>
        <v>416.834</v>
      </c>
      <c r="F63" s="8">
        <f>'US Raw Data'!E63/(('US Raw Data'!F62/100)*'US Raw Data'!B62)*100</f>
        <v>2.5944713063722871</v>
      </c>
      <c r="G63" s="8">
        <f>'US Raw Data'!F62</f>
        <v>98.447869999999995</v>
      </c>
      <c r="H63" s="8">
        <f>'US Raw Data'!E63/'US Raw Data'!B62*100</f>
        <v>2.5542017388846907</v>
      </c>
    </row>
    <row r="64" spans="1:8" x14ac:dyDescent="0.35">
      <c r="A64" t="str">
        <f>'US Raw Data'!A64</f>
        <v>2013-Q1</v>
      </c>
      <c r="B64" s="8">
        <f>'US Raw Data'!C64/'US Raw Data'!B64*100</f>
        <v>17.927103062080807</v>
      </c>
      <c r="C64" s="8">
        <f>('US Raw Data'!D64-'US Raw Data'!E64)/'US Raw Data'!B64*100</f>
        <v>20.108769788713957</v>
      </c>
      <c r="D64" s="8">
        <f t="shared" si="1"/>
        <v>20.108769788713957</v>
      </c>
      <c r="E64" s="7">
        <f>'US Raw Data'!E64</f>
        <v>411.05200000000002</v>
      </c>
      <c r="F64" s="8">
        <f>'US Raw Data'!E64/(('US Raw Data'!F63/100)*'US Raw Data'!B63)*100</f>
        <v>2.5014225591584407</v>
      </c>
      <c r="G64" s="8">
        <f>'US Raw Data'!F63</f>
        <v>100.07496999999999</v>
      </c>
      <c r="H64" s="8">
        <f>'US Raw Data'!E64/'US Raw Data'!B63*100</f>
        <v>2.5032978756510413</v>
      </c>
    </row>
    <row r="65" spans="1:8" x14ac:dyDescent="0.35">
      <c r="A65" t="str">
        <f>'US Raw Data'!A65</f>
        <v>2013-Q2</v>
      </c>
      <c r="B65" s="8">
        <f>'US Raw Data'!C65/'US Raw Data'!B65*100</f>
        <v>19.396298107556198</v>
      </c>
      <c r="C65" s="8">
        <f>('US Raw Data'!D65-'US Raw Data'!E65)/'US Raw Data'!B65*100</f>
        <v>20.106341878474979</v>
      </c>
      <c r="D65" s="8">
        <f t="shared" si="1"/>
        <v>20.106341878474979</v>
      </c>
      <c r="E65" s="7">
        <f>'US Raw Data'!E65</f>
        <v>412.50799999999998</v>
      </c>
      <c r="F65" s="8">
        <f>'US Raw Data'!E65/(('US Raw Data'!F64/100)*'US Raw Data'!B64)*100</f>
        <v>2.4595947688295356</v>
      </c>
      <c r="G65" s="8">
        <f>'US Raw Data'!F64</f>
        <v>100.73997</v>
      </c>
      <c r="H65" s="8">
        <f>'US Raw Data'!E65/'US Raw Data'!B64*100</f>
        <v>2.4777950322404436</v>
      </c>
    </row>
    <row r="66" spans="1:8" x14ac:dyDescent="0.35">
      <c r="A66" t="str">
        <f>'US Raw Data'!A66</f>
        <v>2013-Q3</v>
      </c>
      <c r="B66" s="8">
        <f>'US Raw Data'!C66/'US Raw Data'!B66*100</f>
        <v>18.109934753416898</v>
      </c>
      <c r="C66" s="8">
        <f>('US Raw Data'!D66-'US Raw Data'!E66)/'US Raw Data'!B66*100</f>
        <v>19.800720049348119</v>
      </c>
      <c r="D66" s="8">
        <f t="shared" si="1"/>
        <v>19.800720049348119</v>
      </c>
      <c r="E66" s="7">
        <f>'US Raw Data'!E66</f>
        <v>416.74200000000002</v>
      </c>
      <c r="F66" s="8">
        <f>'US Raw Data'!E66/(('US Raw Data'!F65/100)*'US Raw Data'!B65)*100</f>
        <v>2.4897481675990538</v>
      </c>
      <c r="G66" s="8">
        <f>'US Raw Data'!F65</f>
        <v>100.05758</v>
      </c>
      <c r="H66" s="8">
        <f>'US Raw Data'!E66/'US Raw Data'!B65*100</f>
        <v>2.4911817645939576</v>
      </c>
    </row>
    <row r="67" spans="1:8" x14ac:dyDescent="0.35">
      <c r="A67" t="str">
        <f>'US Raw Data'!A67</f>
        <v>2013-Q4</v>
      </c>
      <c r="B67" s="8">
        <f>'US Raw Data'!C67/'US Raw Data'!B67*100</f>
        <v>18.878905380455898</v>
      </c>
      <c r="C67" s="8">
        <f>('US Raw Data'!D67-'US Raw Data'!E67)/'US Raw Data'!B67*100</f>
        <v>19.471023153243376</v>
      </c>
      <c r="D67" s="8">
        <f t="shared" si="1"/>
        <v>19.471023153243376</v>
      </c>
      <c r="E67" s="7">
        <f>'US Raw Data'!E67</f>
        <v>425.00099999999998</v>
      </c>
      <c r="F67" s="8">
        <f>'US Raw Data'!E67/(('US Raw Data'!F66/100)*'US Raw Data'!B66)*100</f>
        <v>2.5391111674078632</v>
      </c>
      <c r="G67" s="8">
        <f>'US Raw Data'!F66</f>
        <v>98.727969999999999</v>
      </c>
      <c r="H67" s="8">
        <f>'US Raw Data'!E67/'US Raw Data'!B66*100</f>
        <v>2.5068129116250844</v>
      </c>
    </row>
    <row r="68" spans="1:8" x14ac:dyDescent="0.35">
      <c r="A68" t="str">
        <f>'US Raw Data'!A68</f>
        <v>2014-Q1</v>
      </c>
      <c r="B68" s="8">
        <f>'US Raw Data'!C68/'US Raw Data'!B68*100</f>
        <v>18.972483474280164</v>
      </c>
      <c r="C68" s="8">
        <f>('US Raw Data'!D68-'US Raw Data'!E68)/'US Raw Data'!B68*100</f>
        <v>19.697067137550299</v>
      </c>
      <c r="D68" s="8">
        <f t="shared" si="1"/>
        <v>19.697067137550299</v>
      </c>
      <c r="E68" s="7">
        <f>'US Raw Data'!E68</f>
        <v>431.952</v>
      </c>
      <c r="F68" s="8">
        <f>'US Raw Data'!E68/(('US Raw Data'!F67/100)*'US Raw Data'!B67)*100</f>
        <v>2.5177722853191726</v>
      </c>
      <c r="G68" s="8">
        <f>'US Raw Data'!F67</f>
        <v>99.791179999999997</v>
      </c>
      <c r="H68" s="8">
        <f>'US Raw Data'!E68/'US Raw Data'!B67*100</f>
        <v>2.5125146732329693</v>
      </c>
    </row>
    <row r="69" spans="1:8" x14ac:dyDescent="0.35">
      <c r="A69" t="str">
        <f>'US Raw Data'!A69</f>
        <v>2014-Q2</v>
      </c>
      <c r="B69" s="8">
        <f>'US Raw Data'!C69/'US Raw Data'!B69*100</f>
        <v>18.813422923915667</v>
      </c>
      <c r="C69" s="8">
        <f>('US Raw Data'!D69-'US Raw Data'!E69)/'US Raw Data'!B69*100</f>
        <v>19.613799303000004</v>
      </c>
      <c r="D69" s="8">
        <f t="shared" si="1"/>
        <v>19.613799303000004</v>
      </c>
      <c r="E69" s="7">
        <f>'US Raw Data'!E69</f>
        <v>440.02699999999999</v>
      </c>
      <c r="F69" s="8">
        <f>'US Raw Data'!E69/(('US Raw Data'!F68/100)*'US Raw Data'!B68)*100</f>
        <v>2.499979238714225</v>
      </c>
      <c r="G69" s="8">
        <f>'US Raw Data'!F68</f>
        <v>102.34617</v>
      </c>
      <c r="H69" s="8">
        <f>'US Raw Data'!E69/'US Raw Data'!B68*100</f>
        <v>2.5586330016191661</v>
      </c>
    </row>
    <row r="70" spans="1:8" x14ac:dyDescent="0.35">
      <c r="A70" t="str">
        <f>'US Raw Data'!A70</f>
        <v>2014-Q3</v>
      </c>
      <c r="B70" s="8">
        <f>'US Raw Data'!C70/'US Raw Data'!B70*100</f>
        <v>18.555693625132189</v>
      </c>
      <c r="C70" s="8">
        <f>('US Raw Data'!D70-'US Raw Data'!E70)/'US Raw Data'!B70*100</f>
        <v>19.599367071686569</v>
      </c>
      <c r="D70" s="8">
        <f t="shared" ref="D70:D92" si="2">C70</f>
        <v>19.599367071686569</v>
      </c>
      <c r="E70" s="7">
        <f>'US Raw Data'!E70</f>
        <v>442.10700000000003</v>
      </c>
      <c r="F70" s="8">
        <f>'US Raw Data'!E70/(('US Raw Data'!F69/100)*'US Raw Data'!B69)*100</f>
        <v>2.5073264776164033</v>
      </c>
      <c r="G70" s="8">
        <f>'US Raw Data'!F69</f>
        <v>100.65130000000001</v>
      </c>
      <c r="H70" s="8">
        <f>'US Raw Data'!E70/'US Raw Data'!B69*100</f>
        <v>2.5236566949651191</v>
      </c>
    </row>
    <row r="71" spans="1:8" x14ac:dyDescent="0.35">
      <c r="A71" t="str">
        <f>'US Raw Data'!A71</f>
        <v>2014-Q4</v>
      </c>
      <c r="B71" s="8">
        <f>'US Raw Data'!C71/'US Raw Data'!B71*100</f>
        <v>18.508728104649379</v>
      </c>
      <c r="C71" s="8">
        <f>('US Raw Data'!D71-'US Raw Data'!E71)/'US Raw Data'!B71*100</f>
        <v>19.452616304338541</v>
      </c>
      <c r="D71" s="8">
        <f t="shared" si="2"/>
        <v>19.452616304338541</v>
      </c>
      <c r="E71" s="7">
        <f>'US Raw Data'!E71</f>
        <v>442.28300000000002</v>
      </c>
      <c r="F71" s="8">
        <f>'US Raw Data'!E71/(('US Raw Data'!F70/100)*'US Raw Data'!B70)*100</f>
        <v>2.4813804021671864</v>
      </c>
      <c r="G71" s="8">
        <f>'US Raw Data'!F70</f>
        <v>100.11145</v>
      </c>
      <c r="H71" s="8">
        <f>'US Raw Data'!E71/'US Raw Data'!B70*100</f>
        <v>2.4841459006254021</v>
      </c>
    </row>
    <row r="72" spans="1:8" x14ac:dyDescent="0.35">
      <c r="A72" t="str">
        <f>'US Raw Data'!A72</f>
        <v>2015-Q1</v>
      </c>
      <c r="B72" s="8">
        <f>'US Raw Data'!C72/'US Raw Data'!B72*100</f>
        <v>18.775561519567965</v>
      </c>
      <c r="C72" s="8">
        <f>('US Raw Data'!D72-'US Raw Data'!E72)/'US Raw Data'!B72*100</f>
        <v>19.605919751339844</v>
      </c>
      <c r="D72" s="8">
        <f t="shared" si="2"/>
        <v>19.605919751339844</v>
      </c>
      <c r="E72" s="7">
        <f>'US Raw Data'!E72</f>
        <v>428.68900000000002</v>
      </c>
      <c r="F72" s="8">
        <f>'US Raw Data'!E72/(('US Raw Data'!F71/100)*'US Raw Data'!B71)*100</f>
        <v>2.3630369201895722</v>
      </c>
      <c r="G72" s="8">
        <f>'US Raw Data'!F71</f>
        <v>101.2805</v>
      </c>
      <c r="H72" s="8">
        <f>'US Raw Data'!E72/'US Raw Data'!B71*100</f>
        <v>2.3932956079526</v>
      </c>
    </row>
    <row r="73" spans="1:8" x14ac:dyDescent="0.35">
      <c r="A73" t="str">
        <f>'US Raw Data'!A73</f>
        <v>2015-Q2</v>
      </c>
      <c r="B73" s="8">
        <f>'US Raw Data'!C73/'US Raw Data'!B73*100</f>
        <v>18.848149409205273</v>
      </c>
      <c r="C73" s="8">
        <f>('US Raw Data'!D73-'US Raw Data'!E73)/'US Raw Data'!B73*100</f>
        <v>19.501877046249561</v>
      </c>
      <c r="D73" s="8">
        <f t="shared" si="2"/>
        <v>19.501877046249561</v>
      </c>
      <c r="E73" s="7">
        <f>'US Raw Data'!E73</f>
        <v>425.87700000000001</v>
      </c>
      <c r="F73" s="8">
        <f>'US Raw Data'!E73/(('US Raw Data'!F72/100)*'US Raw Data'!B72)*100</f>
        <v>2.3461639117523787</v>
      </c>
      <c r="G73" s="8">
        <f>'US Raw Data'!F72</f>
        <v>100.49009</v>
      </c>
      <c r="H73" s="8">
        <f>'US Raw Data'!E73/'US Raw Data'!B72*100</f>
        <v>2.357662226467486</v>
      </c>
    </row>
    <row r="74" spans="1:8" x14ac:dyDescent="0.35">
      <c r="A74" t="str">
        <f>'US Raw Data'!A74</f>
        <v>2015-Q3</v>
      </c>
      <c r="B74" s="8">
        <f>'US Raw Data'!C74/'US Raw Data'!B74*100</f>
        <v>18.730208950013438</v>
      </c>
      <c r="C74" s="8">
        <f>('US Raw Data'!D74-'US Raw Data'!E74)/'US Raw Data'!B74*100</f>
        <v>19.476697330985861</v>
      </c>
      <c r="D74" s="8">
        <f t="shared" si="2"/>
        <v>19.476697330985861</v>
      </c>
      <c r="E74" s="7">
        <f>'US Raw Data'!E74</f>
        <v>427.88099999999997</v>
      </c>
      <c r="F74" s="8">
        <f>'US Raw Data'!E74/(('US Raw Data'!F73/100)*'US Raw Data'!B73)*100</f>
        <v>2.3572116717463794</v>
      </c>
      <c r="G74" s="8">
        <f>'US Raw Data'!F73</f>
        <v>99.300939999999997</v>
      </c>
      <c r="H74" s="8">
        <f>'US Raw Data'!E74/'US Raw Data'!B73*100</f>
        <v>2.3407333478338694</v>
      </c>
    </row>
    <row r="75" spans="1:8" x14ac:dyDescent="0.35">
      <c r="A75" t="str">
        <f>'US Raw Data'!A75</f>
        <v>2015-Q4</v>
      </c>
      <c r="B75" s="8">
        <f>'US Raw Data'!C75/'US Raw Data'!B75*100</f>
        <v>19.039457097606601</v>
      </c>
      <c r="C75" s="8">
        <f>('US Raw Data'!D75-'US Raw Data'!E75)/'US Raw Data'!B75*100</f>
        <v>19.613203850885402</v>
      </c>
      <c r="D75" s="8">
        <f t="shared" si="2"/>
        <v>19.613203850885402</v>
      </c>
      <c r="E75" s="7">
        <f>'US Raw Data'!E75</f>
        <v>434.68200000000002</v>
      </c>
      <c r="F75" s="8">
        <f>'US Raw Data'!E75/(('US Raw Data'!F74/100)*'US Raw Data'!B74)*100</f>
        <v>2.3948605228690556</v>
      </c>
      <c r="G75" s="8">
        <f>'US Raw Data'!F74</f>
        <v>98.635949999999994</v>
      </c>
      <c r="H75" s="8">
        <f>'US Raw Data'!E75/'US Raw Data'!B74*100</f>
        <v>2.3621934279068597</v>
      </c>
    </row>
    <row r="76" spans="1:8" x14ac:dyDescent="0.35">
      <c r="A76" t="str">
        <f>'US Raw Data'!A76</f>
        <v>2016-Q1</v>
      </c>
      <c r="B76" s="8">
        <f>'US Raw Data'!C76/'US Raw Data'!B76*100</f>
        <v>18.598420927032393</v>
      </c>
      <c r="C76" s="8">
        <f>('US Raw Data'!D76-'US Raw Data'!E76)/'US Raw Data'!B76*100</f>
        <v>19.637699218711411</v>
      </c>
      <c r="D76" s="8">
        <f t="shared" si="2"/>
        <v>19.637699218711411</v>
      </c>
      <c r="E76" s="7">
        <f>'US Raw Data'!E76</f>
        <v>446.22500000000002</v>
      </c>
      <c r="F76" s="8">
        <f>'US Raw Data'!E76/(('US Raw Data'!F75/100)*'US Raw Data'!B75)*100</f>
        <v>2.3582115469184486</v>
      </c>
      <c r="G76" s="8">
        <f>'US Raw Data'!F75</f>
        <v>102.64192</v>
      </c>
      <c r="H76" s="8">
        <f>'US Raw Data'!E76/'US Raw Data'!B75*100</f>
        <v>2.4205136094187965</v>
      </c>
    </row>
    <row r="77" spans="1:8" x14ac:dyDescent="0.35">
      <c r="A77" t="str">
        <f>'US Raw Data'!A77</f>
        <v>2016-Q2</v>
      </c>
      <c r="B77" s="8">
        <f>'US Raw Data'!C77/'US Raw Data'!B77*100</f>
        <v>18.42208154020409</v>
      </c>
      <c r="C77" s="8">
        <f>('US Raw Data'!D77-'US Raw Data'!E77)/'US Raw Data'!B77*100</f>
        <v>19.497723937672799</v>
      </c>
      <c r="D77" s="8">
        <f t="shared" si="2"/>
        <v>19.497723937672799</v>
      </c>
      <c r="E77" s="7">
        <f>'US Raw Data'!E77</f>
        <v>453.291</v>
      </c>
      <c r="F77" s="8">
        <f>'US Raw Data'!E77/(('US Raw Data'!F76/100)*'US Raw Data'!B76)*100</f>
        <v>2.3529323365482568</v>
      </c>
      <c r="G77" s="8">
        <f>'US Raw Data'!F76</f>
        <v>103.98904</v>
      </c>
      <c r="H77" s="8">
        <f>'US Raw Data'!E77/'US Raw Data'!B76*100</f>
        <v>2.4467917486261013</v>
      </c>
    </row>
    <row r="78" spans="1:8" x14ac:dyDescent="0.35">
      <c r="A78" t="str">
        <f>'US Raw Data'!A78</f>
        <v>2016-Q3</v>
      </c>
      <c r="B78" s="8">
        <f>'US Raw Data'!C78/'US Raw Data'!B78*100</f>
        <v>18.360224847359866</v>
      </c>
      <c r="C78" s="8">
        <f>('US Raw Data'!D78-'US Raw Data'!E78)/'US Raw Data'!B78*100</f>
        <v>19.547221539563637</v>
      </c>
      <c r="D78" s="8">
        <f t="shared" si="2"/>
        <v>19.547221539563637</v>
      </c>
      <c r="E78" s="7">
        <f>'US Raw Data'!E78</f>
        <v>457.51400000000001</v>
      </c>
      <c r="F78" s="8">
        <f>'US Raw Data'!E78/(('US Raw Data'!F77/100)*'US Raw Data'!B77)*100</f>
        <v>2.3605596507538738</v>
      </c>
      <c r="G78" s="8">
        <f>'US Raw Data'!F77</f>
        <v>103.58005</v>
      </c>
      <c r="H78" s="8">
        <f>'US Raw Data'!E78/'US Raw Data'!B77*100</f>
        <v>2.4450688665306872</v>
      </c>
    </row>
    <row r="79" spans="1:8" x14ac:dyDescent="0.35">
      <c r="A79" t="str">
        <f>'US Raw Data'!A79</f>
        <v>2016-Q4</v>
      </c>
      <c r="B79" s="8">
        <f>'US Raw Data'!C79/'US Raw Data'!B79*100</f>
        <v>18.237067848042621</v>
      </c>
      <c r="C79" s="8">
        <f>('US Raw Data'!D79-'US Raw Data'!E79)/'US Raw Data'!B79*100</f>
        <v>19.462529399201511</v>
      </c>
      <c r="D79" s="8">
        <f t="shared" si="2"/>
        <v>19.462529399201511</v>
      </c>
      <c r="E79" s="7">
        <f>'US Raw Data'!E79</f>
        <v>460.18400000000003</v>
      </c>
      <c r="F79" s="8">
        <f>'US Raw Data'!E79/(('US Raw Data'!F78/100)*'US Raw Data'!B78)*100</f>
        <v>2.3510629182812779</v>
      </c>
      <c r="G79" s="8">
        <f>'US Raw Data'!F78</f>
        <v>103.60355</v>
      </c>
      <c r="H79" s="8">
        <f>'US Raw Data'!E79/'US Raw Data'!B78*100</f>
        <v>2.4357846460730026</v>
      </c>
    </row>
    <row r="80" spans="1:8" x14ac:dyDescent="0.35">
      <c r="A80" t="str">
        <f>'US Raw Data'!A80</f>
        <v>2017-Q1</v>
      </c>
      <c r="B80" s="8">
        <f>'US Raw Data'!C80/'US Raw Data'!B80*100</f>
        <v>18.061041642764629</v>
      </c>
      <c r="C80" s="8">
        <f>('US Raw Data'!D80-'US Raw Data'!E80)/'US Raw Data'!B80*100</f>
        <v>19.354651151934814</v>
      </c>
      <c r="D80" s="8">
        <f t="shared" si="2"/>
        <v>19.354651151934814</v>
      </c>
      <c r="E80" s="7">
        <f>'US Raw Data'!E80</f>
        <v>460.66899999999998</v>
      </c>
      <c r="F80" s="8">
        <f>'US Raw Data'!E80/(('US Raw Data'!F79/100)*'US Raw Data'!B79)*100</f>
        <v>2.3060168607549678</v>
      </c>
      <c r="G80" s="8">
        <f>'US Raw Data'!F79</f>
        <v>104.64891</v>
      </c>
      <c r="H80" s="8">
        <f>'US Raw Data'!E80/'US Raw Data'!B79*100</f>
        <v>2.4132215091962914</v>
      </c>
    </row>
    <row r="81" spans="1:8" x14ac:dyDescent="0.35">
      <c r="A81" t="str">
        <f>'US Raw Data'!A81</f>
        <v>2017-Q2</v>
      </c>
      <c r="B81" s="8">
        <f>'US Raw Data'!C81/'US Raw Data'!B81*100</f>
        <v>17.839460295659528</v>
      </c>
      <c r="C81" s="8">
        <f>('US Raw Data'!D81-'US Raw Data'!E81)/'US Raw Data'!B81*100</f>
        <v>19.159439267442689</v>
      </c>
      <c r="D81" s="8">
        <f t="shared" si="2"/>
        <v>19.159439267442689</v>
      </c>
      <c r="E81" s="7">
        <f>'US Raw Data'!E81</f>
        <v>471.214</v>
      </c>
      <c r="F81" s="8">
        <f>'US Raw Data'!E81/(('US Raw Data'!F80/100)*'US Raw Data'!B80)*100</f>
        <v>2.3743023729342596</v>
      </c>
      <c r="G81" s="8">
        <f>'US Raw Data'!F80</f>
        <v>102.93741</v>
      </c>
      <c r="H81" s="8">
        <f>'US Raw Data'!E81/'US Raw Data'!B80*100</f>
        <v>2.444045368267068</v>
      </c>
    </row>
    <row r="82" spans="1:8" x14ac:dyDescent="0.35">
      <c r="A82" t="str">
        <f>'US Raw Data'!A82</f>
        <v>2017-Q3</v>
      </c>
      <c r="B82" s="8">
        <f>'US Raw Data'!C82/'US Raw Data'!B82*100</f>
        <v>17.835023774164856</v>
      </c>
      <c r="C82" s="8">
        <f>('US Raw Data'!D82-'US Raw Data'!E82)/'US Raw Data'!B82*100</f>
        <v>19.157089251061123</v>
      </c>
      <c r="D82" s="8">
        <f t="shared" si="2"/>
        <v>19.157089251061123</v>
      </c>
      <c r="E82" s="7">
        <f>'US Raw Data'!E82</f>
        <v>481.45699999999999</v>
      </c>
      <c r="F82" s="8">
        <f>'US Raw Data'!E82/(('US Raw Data'!F81/100)*'US Raw Data'!B81)*100</f>
        <v>2.4261415897022243</v>
      </c>
      <c r="G82" s="8">
        <f>'US Raw Data'!F81</f>
        <v>102.08817000000001</v>
      </c>
      <c r="H82" s="8">
        <f>'US Raw Data'!E82/'US Raw Data'!B81*100</f>
        <v>2.4768035505359092</v>
      </c>
    </row>
    <row r="83" spans="1:8" x14ac:dyDescent="0.35">
      <c r="A83" t="str">
        <f>'US Raw Data'!A83</f>
        <v>2017-Q4</v>
      </c>
      <c r="B83" s="8">
        <f>'US Raw Data'!C83/'US Raw Data'!B83*100</f>
        <v>17.731508690284738</v>
      </c>
      <c r="C83" s="8">
        <f>('US Raw Data'!D83-'US Raw Data'!E83)/'US Raw Data'!B83*100</f>
        <v>19.099292272410043</v>
      </c>
      <c r="D83" s="8">
        <f t="shared" si="2"/>
        <v>19.099292272410043</v>
      </c>
      <c r="E83" s="7">
        <f>'US Raw Data'!E83</f>
        <v>493.44099999999997</v>
      </c>
      <c r="F83" s="8">
        <f>'US Raw Data'!E83/(('US Raw Data'!F82/100)*'US Raw Data'!B82)*100</f>
        <v>2.4373596014919858</v>
      </c>
      <c r="G83" s="8">
        <f>'US Raw Data'!F82</f>
        <v>102.80463</v>
      </c>
      <c r="H83" s="8">
        <f>'US Raw Data'!E83/'US Raw Data'!B82*100</f>
        <v>2.5057185200833101</v>
      </c>
    </row>
    <row r="84" spans="1:8" x14ac:dyDescent="0.35">
      <c r="A84" t="str">
        <f>'US Raw Data'!A84</f>
        <v>2018-Q1</v>
      </c>
      <c r="B84" s="8">
        <f>'US Raw Data'!C84/'US Raw Data'!B84*100</f>
        <v>17.287137948283874</v>
      </c>
      <c r="C84" s="8">
        <f>('US Raw Data'!D84-'US Raw Data'!E84)/'US Raw Data'!B84*100</f>
        <v>19.139985025003995</v>
      </c>
      <c r="D84" s="8">
        <f t="shared" si="2"/>
        <v>19.139985025003995</v>
      </c>
      <c r="E84" s="7">
        <f>'US Raw Data'!E84</f>
        <v>507.61900000000003</v>
      </c>
      <c r="F84" s="8">
        <f>'US Raw Data'!E84/(('US Raw Data'!F83/100)*'US Raw Data'!B83)*100</f>
        <v>2.4770665925092827</v>
      </c>
      <c r="G84" s="8">
        <f>'US Raw Data'!F83</f>
        <v>102.27408</v>
      </c>
      <c r="H84" s="8">
        <f>'US Raw Data'!E84/'US Raw Data'!B83*100</f>
        <v>2.5333970684762179</v>
      </c>
    </row>
    <row r="85" spans="1:8" x14ac:dyDescent="0.35">
      <c r="A85" t="str">
        <f>'US Raw Data'!A85</f>
        <v>2018-Q2</v>
      </c>
      <c r="B85" s="8">
        <f>'US Raw Data'!C85/'US Raw Data'!B85*100</f>
        <v>17.262218506157552</v>
      </c>
      <c r="C85" s="8">
        <f>('US Raw Data'!D85-'US Raw Data'!E85)/'US Raw Data'!B85*100</f>
        <v>19.056517028982974</v>
      </c>
      <c r="D85" s="8">
        <f t="shared" si="2"/>
        <v>19.056517028982974</v>
      </c>
      <c r="E85" s="7">
        <f>'US Raw Data'!E85</f>
        <v>531.77800000000002</v>
      </c>
      <c r="F85" s="8">
        <f>'US Raw Data'!E85/(('US Raw Data'!F84/100)*'US Raw Data'!B84)*100</f>
        <v>2.521512470902878</v>
      </c>
      <c r="G85" s="8">
        <f>'US Raw Data'!F84</f>
        <v>103.74395</v>
      </c>
      <c r="H85" s="8">
        <f>'US Raw Data'!E85/'US Raw Data'!B84*100</f>
        <v>2.6159166370572464</v>
      </c>
    </row>
    <row r="86" spans="1:8" x14ac:dyDescent="0.35">
      <c r="A86" t="str">
        <f>'US Raw Data'!A86</f>
        <v>2018-Q3</v>
      </c>
      <c r="B86" s="8">
        <f>'US Raw Data'!C86/'US Raw Data'!B86*100</f>
        <v>17.464600002019353</v>
      </c>
      <c r="C86" s="8">
        <f>('US Raw Data'!D86-'US Raw Data'!E86)/'US Raw Data'!B86*100</f>
        <v>19.041229921250004</v>
      </c>
      <c r="D86" s="8">
        <f t="shared" si="2"/>
        <v>19.041229921250004</v>
      </c>
      <c r="E86" s="7">
        <f>'US Raw Data'!E86</f>
        <v>551.89099999999996</v>
      </c>
      <c r="F86" s="8">
        <f>'US Raw Data'!E86/(('US Raw Data'!F85/100)*'US Raw Data'!B85)*100</f>
        <v>2.6038650717192051</v>
      </c>
      <c r="G86" s="8">
        <f>'US Raw Data'!F85</f>
        <v>102.98411</v>
      </c>
      <c r="H86" s="8">
        <f>'US Raw Data'!E86/'US Raw Data'!B85*100</f>
        <v>2.681567269710885</v>
      </c>
    </row>
    <row r="87" spans="1:8" x14ac:dyDescent="0.35">
      <c r="A87" t="str">
        <f>'US Raw Data'!A87</f>
        <v>2018-Q4</v>
      </c>
      <c r="B87" s="8">
        <f>'US Raw Data'!C87/'US Raw Data'!B87*100</f>
        <v>17.368004108640715</v>
      </c>
      <c r="C87" s="8">
        <f>('US Raw Data'!D87-'US Raw Data'!E87)/'US Raw Data'!B87*100</f>
        <v>19.228432803401994</v>
      </c>
      <c r="D87" s="8">
        <f t="shared" si="2"/>
        <v>19.228432803401994</v>
      </c>
      <c r="E87" s="7">
        <f>'US Raw Data'!E87</f>
        <v>571.22900000000004</v>
      </c>
      <c r="F87" s="8">
        <f>'US Raw Data'!E87/(('US Raw Data'!F86/100)*'US Raw Data'!B86)*100</f>
        <v>2.6548962451984606</v>
      </c>
      <c r="G87" s="8">
        <f>'US Raw Data'!F86</f>
        <v>103.44889999999999</v>
      </c>
      <c r="H87" s="8">
        <f>'US Raw Data'!E87/'US Raw Data'!B86*100</f>
        <v>2.74646096179911</v>
      </c>
    </row>
    <row r="88" spans="1:8" x14ac:dyDescent="0.35">
      <c r="A88" t="str">
        <f>'US Raw Data'!A88</f>
        <v>2019-Q1</v>
      </c>
      <c r="B88" s="8">
        <f>'US Raw Data'!C88/'US Raw Data'!B88*100</f>
        <v>17.300195153375398</v>
      </c>
      <c r="C88" s="8">
        <f>('US Raw Data'!D88-'US Raw Data'!E88)/'US Raw Data'!B88*100</f>
        <v>19.459837245874308</v>
      </c>
      <c r="D88" s="8">
        <f t="shared" si="2"/>
        <v>19.459837245874308</v>
      </c>
      <c r="E88" s="7">
        <f>'US Raw Data'!E88</f>
        <v>579.71400000000006</v>
      </c>
      <c r="F88" s="8">
        <f>'US Raw Data'!E88/(('US Raw Data'!F87/100)*'US Raw Data'!B87)*100</f>
        <v>2.6381699774140879</v>
      </c>
      <c r="G88" s="8">
        <f>'US Raw Data'!F87</f>
        <v>105.04940999999999</v>
      </c>
      <c r="H88" s="8">
        <f>'US Raw Data'!E88/'US Raw Data'!B87*100</f>
        <v>2.7713819960706325</v>
      </c>
    </row>
    <row r="89" spans="1:8" x14ac:dyDescent="0.35">
      <c r="A89" t="str">
        <f>'US Raw Data'!A89</f>
        <v>2019-Q2</v>
      </c>
      <c r="B89" s="8">
        <f>'US Raw Data'!C89/'US Raw Data'!B89*100</f>
        <v>17.195666236625232</v>
      </c>
      <c r="C89" s="8">
        <f>('US Raw Data'!D89-'US Raw Data'!E89)/'US Raw Data'!B89*100</f>
        <v>19.387573699858372</v>
      </c>
      <c r="D89" s="8">
        <f t="shared" si="2"/>
        <v>19.387573699858372</v>
      </c>
      <c r="E89" s="7">
        <f>'US Raw Data'!E89</f>
        <v>586.40899999999999</v>
      </c>
      <c r="F89" s="8">
        <f>'US Raw Data'!E89/(('US Raw Data'!F88/100)*'US Raw Data'!B88)*100</f>
        <v>2.6621219011710191</v>
      </c>
      <c r="G89" s="8">
        <f>'US Raw Data'!F88</f>
        <v>104.34017</v>
      </c>
      <c r="H89" s="8">
        <f>'US Raw Data'!E89/'US Raw Data'!B88*100</f>
        <v>2.7776625172890737</v>
      </c>
    </row>
    <row r="90" spans="1:8" x14ac:dyDescent="0.35">
      <c r="A90" t="str">
        <f>'US Raw Data'!A90</f>
        <v>2019-Q3</v>
      </c>
      <c r="B90" s="8">
        <f>'US Raw Data'!C90/'US Raw Data'!B90*100</f>
        <v>17.076782238349555</v>
      </c>
      <c r="C90" s="8">
        <f>('US Raw Data'!D90-'US Raw Data'!E90)/'US Raw Data'!B90*100</f>
        <v>19.316567521616882</v>
      </c>
      <c r="D90" s="8">
        <f t="shared" si="2"/>
        <v>19.316567521616882</v>
      </c>
      <c r="E90" s="7">
        <f>'US Raw Data'!E90</f>
        <v>578.25599999999997</v>
      </c>
      <c r="F90" s="8">
        <f>'US Raw Data'!E90/(('US Raw Data'!F89/100)*'US Raw Data'!B89)*100</f>
        <v>2.6256576970401904</v>
      </c>
      <c r="G90" s="8">
        <f>'US Raw Data'!F89</f>
        <v>102.92245</v>
      </c>
      <c r="H90" s="8">
        <f>'US Raw Data'!E90/'US Raw Data'!B89*100</f>
        <v>2.7023912304073412</v>
      </c>
    </row>
    <row r="91" spans="1:8" x14ac:dyDescent="0.35">
      <c r="A91" t="str">
        <f>'US Raw Data'!A91</f>
        <v>2019-Q4</v>
      </c>
      <c r="B91" s="8">
        <f>'US Raw Data'!C91/'US Raw Data'!B91*100</f>
        <v>17.219817776845048</v>
      </c>
      <c r="C91" s="8">
        <f>('US Raw Data'!D91-'US Raw Data'!E91)/'US Raw Data'!B91*100</f>
        <v>19.295085622870552</v>
      </c>
      <c r="D91" s="8">
        <f t="shared" si="2"/>
        <v>19.295085622870552</v>
      </c>
      <c r="E91" s="7">
        <f>'US Raw Data'!E91</f>
        <v>564.24099999999999</v>
      </c>
      <c r="F91" s="8">
        <f>'US Raw Data'!E91/(('US Raw Data'!F90/100)*'US Raw Data'!B90)*100</f>
        <v>2.4835205748310081</v>
      </c>
      <c r="G91" s="8">
        <f>'US Raw Data'!F90</f>
        <v>104.61492</v>
      </c>
      <c r="H91" s="8">
        <f>'US Raw Data'!E91/'US Raw Data'!B90*100</f>
        <v>2.598133062542999</v>
      </c>
    </row>
    <row r="92" spans="1:8" x14ac:dyDescent="0.35">
      <c r="A92" t="str">
        <f>'US Raw Data'!A92</f>
        <v>2020-Q1</v>
      </c>
      <c r="B92" s="8">
        <f>'US Raw Data'!C92/'US Raw Data'!B92*100</f>
        <v>17.429895254697687</v>
      </c>
      <c r="C92" s="8">
        <f>('US Raw Data'!D92-'US Raw Data'!E92)/'US Raw Data'!B92*100</f>
        <v>19.872436686132527</v>
      </c>
      <c r="D92" s="8">
        <f t="shared" si="2"/>
        <v>19.872436686132527</v>
      </c>
      <c r="E92" s="7">
        <f>'US Raw Data'!E92</f>
        <v>544.12199999999996</v>
      </c>
      <c r="F92" s="8">
        <f>'US Raw Data'!E92/(('US Raw Data'!F91/100)*'US Raw Data'!B91)*100</f>
        <v>2.3452139228376558</v>
      </c>
      <c r="G92" s="8">
        <f>'US Raw Data'!F91</f>
        <v>105.78193</v>
      </c>
      <c r="H92" s="8">
        <f>'US Raw Data'!E92/'US Raw Data'!B91*100</f>
        <v>2.4808125502063834</v>
      </c>
    </row>
    <row r="93" spans="1:8" x14ac:dyDescent="0.35">
      <c r="A93" t="str">
        <f>'US Raw Data'!A93</f>
        <v>2020-Q2</v>
      </c>
      <c r="B93" s="8">
        <f>'US Raw Data'!C93/'US Raw Data'!B93*100</f>
        <v>17.709487250185898</v>
      </c>
      <c r="C93" s="8">
        <f>('US Raw Data'!D93-'US Raw Data'!E93)/'US Raw Data'!B93*100</f>
        <v>41.970707812607806</v>
      </c>
      <c r="D93" s="8">
        <f>C92+(C100-C92)*0.125</f>
        <v>20.044705496634535</v>
      </c>
      <c r="E93" s="7">
        <f>'US Raw Data'!E93</f>
        <v>514.73699999999997</v>
      </c>
      <c r="F93" s="8">
        <f>'US Raw Data'!E93/(('US Raw Data'!F92/100)*'US Raw Data'!B92)*100</f>
        <v>2.2164190751605242</v>
      </c>
      <c r="G93" s="8">
        <f>'US Raw Data'!F92</f>
        <v>106.77007</v>
      </c>
      <c r="H93" s="8">
        <f>'US Raw Data'!E93/'US Raw Data'!B92*100</f>
        <v>2.3664721980422443</v>
      </c>
    </row>
    <row r="94" spans="1:8" x14ac:dyDescent="0.35">
      <c r="A94" t="str">
        <f>'US Raw Data'!A94</f>
        <v>2020-Q3</v>
      </c>
      <c r="B94" s="8">
        <f>'US Raw Data'!C94/'US Raw Data'!B94*100</f>
        <v>17.496768057148866</v>
      </c>
      <c r="C94" s="8">
        <f>('US Raw Data'!D94-'US Raw Data'!E94)/'US Raw Data'!B94*100</f>
        <v>30.713074934862394</v>
      </c>
      <c r="D94" s="8">
        <f>C92+(C100-C92)*0.25</f>
        <v>20.216974307136542</v>
      </c>
      <c r="E94" s="7">
        <f>'US Raw Data'!E94</f>
        <v>508.01100000000002</v>
      </c>
      <c r="F94" s="8">
        <f>'US Raw Data'!E94/(('US Raw Data'!F93/100)*'US Raw Data'!B93)*100</f>
        <v>1.9186704069822231</v>
      </c>
      <c r="G94" s="8">
        <f>'US Raw Data'!F93</f>
        <v>132.66287</v>
      </c>
      <c r="H94" s="8">
        <f>'US Raw Data'!E94/'US Raw Data'!B93*100</f>
        <v>2.5453632277432972</v>
      </c>
    </row>
    <row r="95" spans="1:8" x14ac:dyDescent="0.35">
      <c r="A95" t="str">
        <f>'US Raw Data'!A95</f>
        <v>2020-Q4</v>
      </c>
      <c r="B95" s="8">
        <f>'US Raw Data'!C95/'US Raw Data'!B95*100</f>
        <v>17.853617214707548</v>
      </c>
      <c r="C95" s="8">
        <f>('US Raw Data'!D95-'US Raw Data'!E95)/'US Raw Data'!B95*100</f>
        <v>24.501257744318416</v>
      </c>
      <c r="D95" s="8">
        <f>C92+(C100-C92)*0.375</f>
        <v>20.38924311763855</v>
      </c>
      <c r="E95" s="7">
        <f>'US Raw Data'!E95</f>
        <v>516.71100000000001</v>
      </c>
      <c r="F95" s="8">
        <f>'US Raw Data'!E95/(('US Raw Data'!F94/100)*'US Raw Data'!B94)*100</f>
        <v>1.9176230117849007</v>
      </c>
      <c r="G95" s="8">
        <f>'US Raw Data'!F94</f>
        <v>124.14691999999999</v>
      </c>
      <c r="H95" s="8">
        <f>'US Raw Data'!E95/'US Raw Data'!B94*100</f>
        <v>2.3806699063421912</v>
      </c>
    </row>
    <row r="96" spans="1:8" x14ac:dyDescent="0.35">
      <c r="A96" t="str">
        <f>'US Raw Data'!A96</f>
        <v>2021-Q1</v>
      </c>
      <c r="B96" s="8">
        <f>'US Raw Data'!C96/'US Raw Data'!B96*100</f>
        <v>18.232873219526404</v>
      </c>
      <c r="C96" s="8">
        <f>('US Raw Data'!D96-'US Raw Data'!E96)/'US Raw Data'!B96*100</f>
        <v>34.446800192569071</v>
      </c>
      <c r="D96" s="8">
        <f>C92+(C100-C92)*0.5</f>
        <v>20.561511928140561</v>
      </c>
      <c r="E96" s="7">
        <f>'US Raw Data'!E96</f>
        <v>533.51800000000003</v>
      </c>
      <c r="F96" s="8">
        <f>'US Raw Data'!E96/(('US Raw Data'!F95/100)*'US Raw Data'!B95)*100</f>
        <v>1.9227399093283728</v>
      </c>
      <c r="G96" s="8">
        <f>'US Raw Data'!F95</f>
        <v>125.62864</v>
      </c>
      <c r="H96" s="8">
        <f>'US Raw Data'!E96/'US Raw Data'!B95*100</f>
        <v>2.4155119988264677</v>
      </c>
    </row>
    <row r="97" spans="1:8" x14ac:dyDescent="0.35">
      <c r="A97" t="str">
        <f>'US Raw Data'!A97</f>
        <v>2021-Q2</v>
      </c>
      <c r="B97" s="8">
        <f>'US Raw Data'!C97/'US Raw Data'!B97*100</f>
        <v>18.649580742007458</v>
      </c>
      <c r="C97" s="8">
        <f>('US Raw Data'!D97-'US Raw Data'!E97)/'US Raw Data'!B97*100</f>
        <v>30.708267042774434</v>
      </c>
      <c r="D97" s="8">
        <f>C92+(C100-C92)*0.625</f>
        <v>20.733780738642569</v>
      </c>
      <c r="E97" s="7">
        <f>'US Raw Data'!E97</f>
        <v>560.63400000000001</v>
      </c>
      <c r="F97" s="8">
        <f>'US Raw Data'!E97/(('US Raw Data'!F96/100)*'US Raw Data'!B96)*100</f>
        <v>1.992829014968549</v>
      </c>
      <c r="G97" s="8">
        <f>'US Raw Data'!F96</f>
        <v>124.03752</v>
      </c>
      <c r="H97" s="8">
        <f>'US Raw Data'!E97/'US Raw Data'!B96*100</f>
        <v>2.471855688007417</v>
      </c>
    </row>
    <row r="98" spans="1:8" x14ac:dyDescent="0.35">
      <c r="A98" t="str">
        <f>'US Raw Data'!A98</f>
        <v>2021-Q3</v>
      </c>
      <c r="B98" s="8">
        <f>'US Raw Data'!C98/'US Raw Data'!B98*100</f>
        <v>18.860264029686132</v>
      </c>
      <c r="C98" s="8">
        <f>('US Raw Data'!D98-'US Raw Data'!E98)/'US Raw Data'!B98*100</f>
        <v>25.884379527151996</v>
      </c>
      <c r="D98" s="8">
        <f>C92+(C100-C92)*0.75</f>
        <v>20.906049549144576</v>
      </c>
      <c r="E98" s="7">
        <f>'US Raw Data'!E98</f>
        <v>587.91999999999996</v>
      </c>
      <c r="F98" s="8">
        <f>'US Raw Data'!E98/(('US Raw Data'!F97/100)*'US Raw Data'!B97)*100</f>
        <v>2.060748722564286</v>
      </c>
      <c r="G98" s="8">
        <f>'US Raw Data'!F97</f>
        <v>121.78582</v>
      </c>
      <c r="H98" s="8">
        <f>'US Raw Data'!E98/'US Raw Data'!B97*100</f>
        <v>2.5096997299144408</v>
      </c>
    </row>
    <row r="99" spans="1:8" x14ac:dyDescent="0.35">
      <c r="A99" t="str">
        <f>'US Raw Data'!A99</f>
        <v>2021-Q4</v>
      </c>
      <c r="B99" s="8">
        <f>'US Raw Data'!C99/'US Raw Data'!B99*100</f>
        <v>18.89706048296096</v>
      </c>
      <c r="C99" s="8">
        <f>('US Raw Data'!D99-'US Raw Data'!E99)/'US Raw Data'!B99*100</f>
        <v>22.679998065576942</v>
      </c>
      <c r="D99" s="8">
        <f>C92+(C100-C92)*0.875</f>
        <v>21.078318359646584</v>
      </c>
      <c r="E99" s="7">
        <f>'US Raw Data'!E99</f>
        <v>612.28200000000004</v>
      </c>
      <c r="F99" s="8">
        <f>'US Raw Data'!E99/(('US Raw Data'!F98/100)*'US Raw Data'!B98)*100</f>
        <v>2.1537294990068663</v>
      </c>
      <c r="G99" s="8">
        <f>'US Raw Data'!F98</f>
        <v>118.54086</v>
      </c>
      <c r="H99" s="8">
        <f>'US Raw Data'!E99/'US Raw Data'!B98*100</f>
        <v>2.5530494701964308</v>
      </c>
    </row>
    <row r="100" spans="1:8" x14ac:dyDescent="0.35">
      <c r="A100" t="str">
        <f>'US Raw Data'!A100</f>
        <v>2022-Q1</v>
      </c>
      <c r="B100" s="8">
        <f>'US Raw Data'!C100/'US Raw Data'!B100*100</f>
        <v>20.09917725091065</v>
      </c>
      <c r="C100" s="8">
        <f>('US Raw Data'!D100-'US Raw Data'!E100)/'US Raw Data'!B100*100</f>
        <v>21.250587170148592</v>
      </c>
      <c r="D100" s="8">
        <f t="shared" ref="D100:D115" si="3">C100</f>
        <v>21.250587170148592</v>
      </c>
      <c r="E100" s="7">
        <f>'US Raw Data'!E100</f>
        <v>636.96799999999996</v>
      </c>
      <c r="F100" s="8">
        <f>'US Raw Data'!E100/(('US Raw Data'!F99/100)*'US Raw Data'!B99)*100</f>
        <v>2.150668102208412</v>
      </c>
      <c r="G100" s="8">
        <f>'US Raw Data'!F99</f>
        <v>119.3588</v>
      </c>
      <c r="H100" s="8">
        <f>'US Raw Data'!E100/'US Raw Data'!B99*100</f>
        <v>2.5670116387787343</v>
      </c>
    </row>
    <row r="101" spans="1:8" x14ac:dyDescent="0.35">
      <c r="A101" t="str">
        <f>'US Raw Data'!A101</f>
        <v>2022-Q2</v>
      </c>
      <c r="B101" s="8">
        <f>'US Raw Data'!C101/'US Raw Data'!B101*100</f>
        <v>19.855110100454375</v>
      </c>
      <c r="C101" s="8">
        <f>('US Raw Data'!D101-'US Raw Data'!E101)/'US Raw Data'!B101*100</f>
        <v>20.860972452575069</v>
      </c>
      <c r="D101" s="8">
        <f t="shared" si="3"/>
        <v>20.860972452575069</v>
      </c>
      <c r="E101" s="7">
        <f>'US Raw Data'!E101</f>
        <v>684.75800000000004</v>
      </c>
      <c r="F101" s="8">
        <f>'US Raw Data'!E101/(('US Raw Data'!F100/100)*'US Raw Data'!B100)*100</f>
        <v>2.2524222358619146</v>
      </c>
      <c r="G101" s="8">
        <f>'US Raw Data'!F100</f>
        <v>120.39819</v>
      </c>
      <c r="H101" s="8">
        <f>'US Raw Data'!E101/'US Raw Data'!B100*100</f>
        <v>2.711875603135276</v>
      </c>
    </row>
    <row r="102" spans="1:8" x14ac:dyDescent="0.35">
      <c r="A102" t="str">
        <f>'US Raw Data'!A102</f>
        <v>2022-Q3</v>
      </c>
      <c r="B102" s="8">
        <f>'US Raw Data'!C102/'US Raw Data'!B102*100</f>
        <v>19.552546173525336</v>
      </c>
      <c r="C102" s="8">
        <f>('US Raw Data'!D102-'US Raw Data'!E102)/'US Raw Data'!B102*100</f>
        <v>20.605229951780629</v>
      </c>
      <c r="D102" s="8">
        <f t="shared" si="3"/>
        <v>20.605229951780629</v>
      </c>
      <c r="E102" s="7">
        <f>'US Raw Data'!E102</f>
        <v>752.08100000000002</v>
      </c>
      <c r="F102" s="8">
        <f>'US Raw Data'!E102/(('US Raw Data'!F101/100)*'US Raw Data'!B101)*100</f>
        <v>2.4603070838190533</v>
      </c>
      <c r="G102" s="8">
        <f>'US Raw Data'!F101</f>
        <v>118.20207000000001</v>
      </c>
      <c r="H102" s="8">
        <f>'US Raw Data'!E102/'US Raw Data'!B101*100</f>
        <v>2.9081339014307561</v>
      </c>
    </row>
    <row r="103" spans="1:8" x14ac:dyDescent="0.35">
      <c r="A103" t="str">
        <f>'US Raw Data'!A103</f>
        <v>2022-Q4</v>
      </c>
      <c r="B103" s="8">
        <f>'US Raw Data'!C103/'US Raw Data'!B103*100</f>
        <v>19.061135695788284</v>
      </c>
      <c r="C103" s="8">
        <f>('US Raw Data'!D103-'US Raw Data'!E103)/'US Raw Data'!B103*100</f>
        <v>20.527188981130511</v>
      </c>
      <c r="D103" s="8">
        <f t="shared" si="3"/>
        <v>20.527188981130511</v>
      </c>
      <c r="E103" s="7">
        <f>'US Raw Data'!E103</f>
        <v>823.10599999999999</v>
      </c>
      <c r="F103" s="8">
        <f>'US Raw Data'!E103/(('US Raw Data'!F102/100)*'US Raw Data'!B102)*100</f>
        <v>2.6612833139651109</v>
      </c>
      <c r="G103" s="8">
        <f>'US Raw Data'!F102</f>
        <v>117.43832</v>
      </c>
      <c r="H103" s="8">
        <f>'US Raw Data'!E103/'US Raw Data'!B102*100</f>
        <v>3.1253664143609519</v>
      </c>
    </row>
    <row r="104" spans="1:8" x14ac:dyDescent="0.35">
      <c r="A104" t="str">
        <f>'US Raw Data'!A104</f>
        <v>2023-Q1</v>
      </c>
      <c r="B104" s="8">
        <f>'US Raw Data'!C104/'US Raw Data'!B104*100</f>
        <v>17.460013605744614</v>
      </c>
      <c r="C104" s="8">
        <f>('US Raw Data'!D104-'US Raw Data'!E104)/'US Raw Data'!B104*100</f>
        <v>20.474139807752266</v>
      </c>
      <c r="D104" s="8">
        <f t="shared" si="3"/>
        <v>20.474139807752266</v>
      </c>
      <c r="E104" s="7">
        <f>'US Raw Data'!E104</f>
        <v>861.26700000000005</v>
      </c>
      <c r="F104" s="8">
        <f>'US Raw Data'!E104/(('US Raw Data'!F103/100)*'US Raw Data'!B103)*100</f>
        <v>2.7411696059528259</v>
      </c>
      <c r="G104" s="8">
        <f>'US Raw Data'!F103</f>
        <v>117.36678000000001</v>
      </c>
      <c r="H104" s="8">
        <f>'US Raw Data'!E104/'US Raw Data'!B103*100</f>
        <v>3.2172225008455202</v>
      </c>
    </row>
    <row r="105" spans="1:8" x14ac:dyDescent="0.35">
      <c r="A105" t="str">
        <f>'US Raw Data'!A105</f>
        <v>2023-Q2</v>
      </c>
      <c r="B105" s="8">
        <f>'US Raw Data'!C105/'US Raw Data'!B105*100</f>
        <v>17.324400550598249</v>
      </c>
      <c r="C105" s="8">
        <f>('US Raw Data'!D105-'US Raw Data'!E105)/'US Raw Data'!B105*100</f>
        <v>20.332654620559239</v>
      </c>
      <c r="D105" s="8">
        <f t="shared" si="3"/>
        <v>20.332654620559239</v>
      </c>
      <c r="E105" s="7">
        <f>'US Raw Data'!E105</f>
        <v>894.10599999999999</v>
      </c>
      <c r="F105" s="8">
        <f>'US Raw Data'!E105/(('US Raw Data'!F104/100)*'US Raw Data'!B104)*100</f>
        <v>2.8421817819646709</v>
      </c>
      <c r="G105" s="8">
        <f>'US Raw Data'!F104</f>
        <v>115.58614</v>
      </c>
      <c r="H105" s="8">
        <f>'US Raw Data'!E105/'US Raw Data'!B104*100</f>
        <v>3.2851682135561791</v>
      </c>
    </row>
    <row r="106" spans="1:8" x14ac:dyDescent="0.35">
      <c r="A106" t="str">
        <f>'US Raw Data'!A106</f>
        <v>2023-Q3</v>
      </c>
      <c r="B106" s="8">
        <f>'US Raw Data'!C106/'US Raw Data'!B106*100</f>
        <v>17.22377034588186</v>
      </c>
      <c r="C106" s="8">
        <f>('US Raw Data'!D106-'US Raw Data'!E106)/'US Raw Data'!B106*100</f>
        <v>19.91724549441874</v>
      </c>
      <c r="D106" s="8">
        <f t="shared" si="3"/>
        <v>19.91724549441874</v>
      </c>
      <c r="E106" s="7">
        <f>'US Raw Data'!E106</f>
        <v>966.899</v>
      </c>
      <c r="F106" s="8">
        <f>'US Raw Data'!E106/(('US Raw Data'!F105/100)*'US Raw Data'!B105)*100</f>
        <v>2.9905072644218658</v>
      </c>
      <c r="G106" s="8">
        <f>'US Raw Data'!F105</f>
        <v>117.44355</v>
      </c>
      <c r="H106" s="8">
        <f>'US Raw Data'!E106/'US Raw Data'!B105*100</f>
        <v>3.5121578943449259</v>
      </c>
    </row>
    <row r="107" spans="1:8" x14ac:dyDescent="0.35">
      <c r="A107" t="str">
        <f>'US Raw Data'!A107</f>
        <v>2023-Q4</v>
      </c>
      <c r="B107" s="8">
        <f>'US Raw Data'!C107/'US Raw Data'!B107*100</f>
        <v>17.331905655928669</v>
      </c>
      <c r="C107" s="8">
        <f>('US Raw Data'!D107-'US Raw Data'!E107)/'US Raw Data'!B107*100</f>
        <v>19.830097194969927</v>
      </c>
      <c r="D107" s="8">
        <f t="shared" si="3"/>
        <v>19.830097194969927</v>
      </c>
      <c r="E107" s="7">
        <f>'US Raw Data'!E107</f>
        <v>1031.4780000000001</v>
      </c>
      <c r="F107" s="8">
        <f>'US Raw Data'!E107/(('US Raw Data'!F106/100)*'US Raw Data'!B106)*100</f>
        <v>3.1099213560923991</v>
      </c>
      <c r="G107" s="8">
        <f>'US Raw Data'!F106</f>
        <v>118.13897</v>
      </c>
      <c r="H107" s="8">
        <f>'US Raw Data'!E107/'US Raw Data'!B106*100</f>
        <v>3.6740290578975925</v>
      </c>
    </row>
    <row r="108" spans="1:8" x14ac:dyDescent="0.35">
      <c r="A108" t="str">
        <f>'US Raw Data'!A108</f>
        <v>2024-Q1</v>
      </c>
      <c r="B108" s="8">
        <f>'US Raw Data'!C108/'US Raw Data'!B108*100</f>
        <v>17.576326118555627</v>
      </c>
      <c r="C108" s="8">
        <f>('US Raw Data'!D108-'US Raw Data'!E108)/'US Raw Data'!B108*100</f>
        <v>20.116053410735713</v>
      </c>
      <c r="D108" s="8">
        <f t="shared" si="3"/>
        <v>20.116053410735713</v>
      </c>
      <c r="E108" s="7">
        <f>'US Raw Data'!E108</f>
        <v>1071.174</v>
      </c>
      <c r="F108" s="8">
        <f>'US Raw Data'!E108/(('US Raw Data'!F107/100)*'US Raw Data'!B107)*100</f>
        <v>3.1503734004954507</v>
      </c>
      <c r="G108" s="8">
        <f>'US Raw Data'!F107</f>
        <v>119.61944</v>
      </c>
      <c r="H108" s="8">
        <f>'US Raw Data'!E108/'US Raw Data'!B107*100</f>
        <v>3.7684590195816159</v>
      </c>
    </row>
    <row r="109" spans="1:8" x14ac:dyDescent="0.35">
      <c r="A109" t="str">
        <f>'US Raw Data'!A109</f>
        <v>2024-Q2</v>
      </c>
      <c r="B109" s="8">
        <f>'US Raw Data'!C109/'US Raw Data'!B109*100</f>
        <v>17.657015236262037</v>
      </c>
      <c r="C109" s="8">
        <f>('US Raw Data'!D109-'US Raw Data'!E109)/'US Raw Data'!B109*100</f>
        <v>20.072210410084811</v>
      </c>
      <c r="D109" s="8">
        <f t="shared" si="3"/>
        <v>20.072210410084811</v>
      </c>
      <c r="E109" s="7">
        <f>'US Raw Data'!E109</f>
        <v>1103.5650000000001</v>
      </c>
      <c r="F109" s="8">
        <f>'US Raw Data'!E109/(('US Raw Data'!F108/100)*'US Raw Data'!B108)*100</f>
        <v>3.1907361130147622</v>
      </c>
      <c r="G109" s="8">
        <f>'US Raw Data'!F108</f>
        <v>120.47631</v>
      </c>
      <c r="H109" s="8">
        <f>'US Raw Data'!E109/'US Raw Data'!B108*100</f>
        <v>3.8440811307976155</v>
      </c>
    </row>
    <row r="110" spans="1:8" x14ac:dyDescent="0.35">
      <c r="A110" t="str">
        <f>'US Raw Data'!A110</f>
        <v>2024-Q3</v>
      </c>
      <c r="B110" s="8">
        <f>'US Raw Data'!C110/'US Raw Data'!B110*100</f>
        <v>17.654426398999391</v>
      </c>
      <c r="C110" s="8">
        <f>('US Raw Data'!D110-'US Raw Data'!E110)/'US Raw Data'!B110*100</f>
        <v>20.396955590169362</v>
      </c>
      <c r="D110" s="8">
        <f t="shared" si="3"/>
        <v>20.396955590169362</v>
      </c>
      <c r="E110" s="7">
        <f>'US Raw Data'!E110</f>
        <v>1146.182</v>
      </c>
      <c r="F110" s="8">
        <f>'US Raw Data'!E110/(('US Raw Data'!F109/100)*'US Raw Data'!B109)*100</f>
        <v>3.2906352873952645</v>
      </c>
      <c r="G110" s="8">
        <f>'US Raw Data'!F109</f>
        <v>119.50314</v>
      </c>
      <c r="H110" s="8">
        <f>'US Raw Data'!E110/'US Raw Data'!B109*100</f>
        <v>3.9324124943853649</v>
      </c>
    </row>
    <row r="111" spans="1:8" x14ac:dyDescent="0.35">
      <c r="A111" t="str">
        <f>'US Raw Data'!A111</f>
        <v>2024-Q4</v>
      </c>
      <c r="B111" s="8">
        <f>'US Raw Data'!C111/'US Raw Data'!B111*100</f>
        <v>17.814452900907696</v>
      </c>
      <c r="C111" s="8">
        <f>('US Raw Data'!D111-'US Raw Data'!E111)/'US Raw Data'!B111*100</f>
        <v>20.425846856525471</v>
      </c>
      <c r="D111" s="8">
        <f t="shared" si="3"/>
        <v>20.425846856525471</v>
      </c>
      <c r="E111" s="7">
        <f>'US Raw Data'!E111</f>
        <v>1155.616</v>
      </c>
      <c r="F111" s="8">
        <f>'US Raw Data'!E111/(('US Raw Data'!F110/100)*'US Raw Data'!B110)*100</f>
        <v>3.2584988445807395</v>
      </c>
      <c r="G111" s="8">
        <f>'US Raw Data'!F110</f>
        <v>120.17171999999999</v>
      </c>
      <c r="H111" s="8">
        <f>'US Raw Data'!E111/'US Raw Data'!B110*100</f>
        <v>3.9157941077128013</v>
      </c>
    </row>
    <row r="112" spans="1:8" x14ac:dyDescent="0.35">
      <c r="A112" t="str">
        <f>'US Raw Data'!A112</f>
        <v>2025-Q1</v>
      </c>
      <c r="B112" s="8">
        <f>'US Raw Data'!C112/'US Raw Data'!B112*100</f>
        <v>17.950524984710629</v>
      </c>
      <c r="C112" s="8">
        <f>('US Raw Data'!D112-'US Raw Data'!E112)/'US Raw Data'!B112*100</f>
        <v>20.535789210299555</v>
      </c>
      <c r="D112" s="8">
        <f t="shared" si="3"/>
        <v>20.535789210299555</v>
      </c>
      <c r="E112" s="7">
        <f>'US Raw Data'!E112</f>
        <v>1144.212</v>
      </c>
      <c r="F112" s="8">
        <f>'US Raw Data'!E112/(('US Raw Data'!F111/100)*'US Raw Data'!B111)*100</f>
        <v>3.1591828415658973</v>
      </c>
      <c r="G112" s="8">
        <f>'US Raw Data'!F111</f>
        <v>121.43633</v>
      </c>
      <c r="H112" s="8">
        <f>'US Raw Data'!E112/'US Raw Data'!B111*100</f>
        <v>3.8363957007873415</v>
      </c>
    </row>
    <row r="113" spans="1:8" x14ac:dyDescent="0.35">
      <c r="A113" t="str">
        <f>'US Raw Data'!A113</f>
        <v>2025-Q2</v>
      </c>
      <c r="B113" s="8">
        <f>'US Raw Data'!C113/'US Raw Data'!B113*100</f>
        <v>18.381518775555605</v>
      </c>
      <c r="C113" s="8">
        <f>('US Raw Data'!D113-'US Raw Data'!E113)/'US Raw Data'!B113*100</f>
        <v>20.781654917945378</v>
      </c>
      <c r="D113" s="8">
        <f t="shared" si="3"/>
        <v>20.781654917945378</v>
      </c>
      <c r="E113" s="7">
        <f>'US Raw Data'!E113</f>
        <v>1160.9000000000001</v>
      </c>
      <c r="F113" s="8">
        <f>'US Raw Data'!E113/(('US Raw Data'!F112/100)*'US Raw Data'!B112)*100</f>
        <v>3.2056388600563737</v>
      </c>
      <c r="G113" s="8">
        <f>'US Raw Data'!F112</f>
        <v>120.54515000000001</v>
      </c>
      <c r="H113" s="8">
        <f>'US Raw Data'!E113/'US Raw Data'!B112*100</f>
        <v>3.8642421723132458</v>
      </c>
    </row>
    <row r="114" spans="1:8" x14ac:dyDescent="0.35">
      <c r="A114" t="str">
        <f>'US Raw Data'!A114</f>
        <v>2025-Q3</v>
      </c>
      <c r="B114" s="8">
        <f>'US Raw Data'!C114/'US Raw Data'!B114*100</f>
        <v>18.630107948648959</v>
      </c>
      <c r="C114" s="8">
        <f>('US Raw Data'!D114-'US Raw Data'!E114)/'US Raw Data'!B114*100</f>
        <v>20.519115248050944</v>
      </c>
      <c r="D114" s="8">
        <f t="shared" si="3"/>
        <v>20.519115248050944</v>
      </c>
      <c r="E114" s="7">
        <f>'US Raw Data'!E114</f>
        <v>1199.1890000000001</v>
      </c>
      <c r="F114" s="8">
        <f>'US Raw Data'!E114/(('US Raw Data'!F113/100)*'US Raw Data'!B113)*100</f>
        <v>3.3116274842580431</v>
      </c>
      <c r="G114" s="8">
        <f>'US Raw Data'!F113</f>
        <v>118.78171</v>
      </c>
      <c r="H114" s="8">
        <f>'US Raw Data'!E114/'US Raw Data'!B113*100</f>
        <v>3.9336077546316837</v>
      </c>
    </row>
    <row r="115" spans="1:8" x14ac:dyDescent="0.35">
      <c r="A115" t="str">
        <f>'US Raw Data'!A115</f>
        <v>2025-Q4</v>
      </c>
      <c r="B115" s="8">
        <f>'US Raw Data'!C115/'US Raw Data'!B115*100</f>
        <v>18.771498510336183</v>
      </c>
      <c r="C115" s="8">
        <f>('US Raw Data'!D115-'US Raw Data'!E115)/'US Raw Data'!B115*100</f>
        <v>20.228061868737093</v>
      </c>
      <c r="D115" s="8">
        <f t="shared" si="3"/>
        <v>20.228061868737093</v>
      </c>
      <c r="E115" s="7">
        <f>'US Raw Data'!E115</f>
        <v>1227.4949999999999</v>
      </c>
      <c r="F115" s="8">
        <f>'US Raw Data'!E115/(('US Raw Data'!F114/100)*'US Raw Data'!B114)*100</f>
        <v>3.2613570507497003</v>
      </c>
      <c r="G115" s="8">
        <f>'US Raw Data'!F114</f>
        <v>121.02875</v>
      </c>
      <c r="H115" s="8">
        <f>'US Raw Data'!E115/'US Raw Data'!B114*100</f>
        <v>3.9471796715592276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7"/>
  <sheetViews>
    <sheetView showGridLines="0" zoomScaleNormal="100" workbookViewId="0">
      <selection sqref="A1:M1"/>
    </sheetView>
  </sheetViews>
  <sheetFormatPr defaultColWidth="8.54296875" defaultRowHeight="14.5" x14ac:dyDescent="0.35"/>
  <cols>
    <col min="1" max="1" width="10" customWidth="1"/>
    <col min="2" max="13" width="15" customWidth="1"/>
  </cols>
  <sheetData>
    <row r="1" spans="1:13" ht="20" x14ac:dyDescent="0.4">
      <c r="A1" s="17" t="s">
        <v>191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09.5" customHeight="1" x14ac:dyDescent="0.35">
      <c r="A2" s="16" t="s">
        <v>192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37.5" x14ac:dyDescent="0.35">
      <c r="A4" s="4" t="s">
        <v>53</v>
      </c>
      <c r="B4" s="4" t="s">
        <v>193</v>
      </c>
      <c r="C4" s="4" t="s">
        <v>194</v>
      </c>
      <c r="D4" s="4" t="s">
        <v>195</v>
      </c>
      <c r="E4" s="4" t="s">
        <v>196</v>
      </c>
      <c r="F4" s="4" t="s">
        <v>197</v>
      </c>
      <c r="G4" s="4" t="s">
        <v>198</v>
      </c>
      <c r="H4" s="4" t="s">
        <v>199</v>
      </c>
      <c r="I4" s="4" t="s">
        <v>200</v>
      </c>
      <c r="J4" s="4" t="s">
        <v>201</v>
      </c>
      <c r="K4" s="4" t="s">
        <v>202</v>
      </c>
      <c r="L4" s="4" t="s">
        <v>203</v>
      </c>
      <c r="M4" s="4" t="s">
        <v>204</v>
      </c>
    </row>
    <row r="5" spans="1:13" ht="69" x14ac:dyDescent="0.35">
      <c r="B5" s="1" t="s">
        <v>205</v>
      </c>
      <c r="C5" s="1" t="s">
        <v>206</v>
      </c>
      <c r="D5" s="1" t="s">
        <v>207</v>
      </c>
      <c r="E5" s="1" t="s">
        <v>208</v>
      </c>
      <c r="F5" s="1" t="s">
        <v>209</v>
      </c>
      <c r="G5" s="1" t="s">
        <v>210</v>
      </c>
      <c r="H5" s="1" t="s">
        <v>211</v>
      </c>
      <c r="I5" s="1" t="s">
        <v>212</v>
      </c>
      <c r="J5" s="1" t="s">
        <v>213</v>
      </c>
      <c r="K5" s="1" t="s">
        <v>214</v>
      </c>
      <c r="L5" s="1" t="s">
        <v>215</v>
      </c>
      <c r="M5" s="1" t="s">
        <v>216</v>
      </c>
    </row>
    <row r="6" spans="1:13" x14ac:dyDescent="0.35">
      <c r="A6" t="str">
        <f>'US Construction'!A6</f>
        <v>1998-Q3</v>
      </c>
      <c r="B6" s="8">
        <f>'US Construction'!B6-'US Construction'!D6</f>
        <v>4.233185986290902</v>
      </c>
      <c r="C6" s="8">
        <f>'US Construction'!H6</f>
        <v>4.0826788056098646</v>
      </c>
      <c r="D6" s="8">
        <f t="shared" ref="D6:D37" si="0">C6*100/F6</f>
        <v>6.7385470853364975</v>
      </c>
      <c r="E6" s="8">
        <f>100*('US Raw Data'!B6/'US Raw Data'!B5-1)</f>
        <v>1.6878827260535578</v>
      </c>
      <c r="F6" s="8">
        <f>'US Raw Data'!F6</f>
        <v>60.586930000000002</v>
      </c>
      <c r="G6" s="8">
        <f t="shared" ref="G6:G37" si="1">((1+D6/400)/(1+E6/100)-1)*F6</f>
        <v>-1.9339809827611412E-3</v>
      </c>
      <c r="H6" s="8">
        <f t="shared" ref="H6:H37" si="2">4*(L6-F6-G6+B6/4)</f>
        <v>4.2409219102219469</v>
      </c>
      <c r="I6" s="8">
        <f t="shared" ref="I6:I37" si="3">F6*(1+D6/400)/(1+E6/100)-B6/4+H6/4</f>
        <v>60.586930000000002</v>
      </c>
      <c r="J6" s="7">
        <f>(1+D6/400)*(F6/100*'US Raw Data'!B5)-B6/100*'US Raw Data'!B6/4+H6/100*'US Raw Data'!B6/4</f>
        <v>5526.1926546221002</v>
      </c>
      <c r="K6" s="8">
        <f>J6/'US Raw Data'!B6*100</f>
        <v>60.586930000000002</v>
      </c>
      <c r="L6" s="8">
        <f>'US Raw Data'!F6</f>
        <v>60.586930000000002</v>
      </c>
      <c r="M6" s="8">
        <f t="shared" ref="M6:M37" si="4">I6-L6</f>
        <v>0</v>
      </c>
    </row>
    <row r="7" spans="1:13" x14ac:dyDescent="0.35">
      <c r="A7" t="str">
        <f>'US Construction'!A7</f>
        <v>1998-Q4</v>
      </c>
      <c r="B7" s="8">
        <f>'US Construction'!B7-'US Construction'!D7</f>
        <v>4.0957108738323509</v>
      </c>
      <c r="C7" s="8">
        <f>'US Construction'!H7</f>
        <v>3.9478584648315875</v>
      </c>
      <c r="D7" s="8">
        <f t="shared" si="0"/>
        <v>6.516023282301294</v>
      </c>
      <c r="E7" s="8">
        <f>100*('US Raw Data'!B7/'US Raw Data'!B6-1)</f>
        <v>1.8955395387199703</v>
      </c>
      <c r="F7" s="8">
        <f>'US Raw Data'!F6</f>
        <v>60.586930000000002</v>
      </c>
      <c r="G7" s="8">
        <f t="shared" si="1"/>
        <v>-0.1584805360173113</v>
      </c>
      <c r="H7" s="8">
        <f t="shared" si="2"/>
        <v>4.0097530179015788</v>
      </c>
      <c r="I7" s="8">
        <f t="shared" si="3"/>
        <v>60.406959999999998</v>
      </c>
      <c r="J7" s="7">
        <f>(1+D7/400)*(F7/100*'US Raw Data'!B6)-B7/100*'US Raw Data'!B7/4+H7/100*'US Raw Data'!B7/4</f>
        <v>5614.2174257736006</v>
      </c>
      <c r="K7" s="8">
        <f>J7/'US Raw Data'!B7*100</f>
        <v>60.406960000000012</v>
      </c>
      <c r="L7" s="8">
        <f>'US Raw Data'!F7</f>
        <v>60.406959999999998</v>
      </c>
      <c r="M7" s="8">
        <f t="shared" si="4"/>
        <v>0</v>
      </c>
    </row>
    <row r="8" spans="1:13" x14ac:dyDescent="0.35">
      <c r="A8" t="str">
        <f>'US Construction'!A8</f>
        <v>1999-Q1</v>
      </c>
      <c r="B8" s="8">
        <f>'US Construction'!B8-'US Construction'!D8</f>
        <v>4.2565186541576718</v>
      </c>
      <c r="C8" s="8">
        <f>'US Construction'!H8</f>
        <v>3.7938061269910852</v>
      </c>
      <c r="D8" s="8">
        <f t="shared" si="0"/>
        <v>6.2804122687039454</v>
      </c>
      <c r="E8" s="8">
        <f>100*('US Raw Data'!B8/'US Raw Data'!B7-1)</f>
        <v>1.2663128251361622</v>
      </c>
      <c r="F8" s="8">
        <f>'US Raw Data'!F7</f>
        <v>60.406959999999998</v>
      </c>
      <c r="G8" s="8">
        <f t="shared" si="1"/>
        <v>0.18121569243838651</v>
      </c>
      <c r="H8" s="8">
        <f t="shared" si="2"/>
        <v>2.0995758844041408</v>
      </c>
      <c r="I8" s="8">
        <f t="shared" si="3"/>
        <v>60.048940000000002</v>
      </c>
      <c r="J8" s="7">
        <f>(1+D8/400)*(F8/100*'US Raw Data'!B7)-B8/100*'US Raw Data'!B8/4+H8/100*'US Raw Data'!B8/4</f>
        <v>5651.6152771708003</v>
      </c>
      <c r="K8" s="8">
        <f>J8/'US Raw Data'!B8*100</f>
        <v>60.048939999999995</v>
      </c>
      <c r="L8" s="8">
        <f>'US Raw Data'!F8</f>
        <v>60.048940000000002</v>
      </c>
      <c r="M8" s="8">
        <f t="shared" si="4"/>
        <v>0</v>
      </c>
    </row>
    <row r="9" spans="1:13" x14ac:dyDescent="0.35">
      <c r="A9" t="str">
        <f>'US Construction'!A9</f>
        <v>1999-Q2</v>
      </c>
      <c r="B9" s="8">
        <f>'US Construction'!B9-'US Construction'!D9</f>
        <v>4.412709776500833</v>
      </c>
      <c r="C9" s="8">
        <f>'US Construction'!H9</f>
        <v>3.7415310037036948</v>
      </c>
      <c r="D9" s="8">
        <f t="shared" si="0"/>
        <v>6.2308027480646535</v>
      </c>
      <c r="E9" s="8">
        <f>100*('US Raw Data'!B9/'US Raw Data'!B8-1)</f>
        <v>1.2168706932512041</v>
      </c>
      <c r="F9" s="8">
        <f>'US Raw Data'!F8</f>
        <v>60.048940000000002</v>
      </c>
      <c r="G9" s="8">
        <f t="shared" si="1"/>
        <v>0.20220423438913845</v>
      </c>
      <c r="H9" s="8">
        <f t="shared" si="2"/>
        <v>0.17721283894427486</v>
      </c>
      <c r="I9" s="8">
        <f t="shared" si="3"/>
        <v>59.192270000000001</v>
      </c>
      <c r="J9" s="7">
        <f>(1+D9/400)*(F9/100*'US Raw Data'!B8)-B9/100*'US Raw Data'!B9/4+H9/100*'US Raw Data'!B9/4</f>
        <v>5638.7799439669998</v>
      </c>
      <c r="K9" s="8">
        <f>J9/'US Raw Data'!B9*100</f>
        <v>59.192270000000001</v>
      </c>
      <c r="L9" s="8">
        <f>'US Raw Data'!F9</f>
        <v>59.192270000000001</v>
      </c>
      <c r="M9" s="8">
        <f t="shared" si="4"/>
        <v>0</v>
      </c>
    </row>
    <row r="10" spans="1:13" x14ac:dyDescent="0.35">
      <c r="A10" t="str">
        <f>'US Construction'!A10</f>
        <v>1999-Q3</v>
      </c>
      <c r="B10" s="8">
        <f>'US Construction'!B10-'US Construction'!D10</f>
        <v>4.364058238647802</v>
      </c>
      <c r="C10" s="8">
        <f>'US Construction'!H10</f>
        <v>3.6853376106552345</v>
      </c>
      <c r="D10" s="8">
        <f t="shared" si="0"/>
        <v>6.2260454121040372</v>
      </c>
      <c r="E10" s="8">
        <f>100*('US Raw Data'!B10/'US Raw Data'!B9-1)</f>
        <v>1.6839435620251919</v>
      </c>
      <c r="F10" s="8">
        <f>'US Raw Data'!F9</f>
        <v>59.192270000000001</v>
      </c>
      <c r="G10" s="8">
        <f t="shared" si="1"/>
        <v>-7.4180853510808234E-2</v>
      </c>
      <c r="H10" s="8">
        <f t="shared" si="2"/>
        <v>1.4620216526910421</v>
      </c>
      <c r="I10" s="8">
        <f t="shared" si="3"/>
        <v>58.392580000000002</v>
      </c>
      <c r="J10" s="7">
        <f>(1+D10/400)*(F10/100*'US Raw Data'!B9)-B10/100*'US Raw Data'!B10/4+H10/100*'US Raw Data'!B10/4</f>
        <v>5656.2708363508</v>
      </c>
      <c r="K10" s="8">
        <f>J10/'US Raw Data'!B10*100</f>
        <v>58.392579999999995</v>
      </c>
      <c r="L10" s="8">
        <f>'US Raw Data'!F10</f>
        <v>58.392580000000002</v>
      </c>
      <c r="M10" s="8">
        <f t="shared" si="4"/>
        <v>0</v>
      </c>
    </row>
    <row r="11" spans="1:13" x14ac:dyDescent="0.35">
      <c r="A11" t="str">
        <f>'US Construction'!A11</f>
        <v>1999-Q4</v>
      </c>
      <c r="B11" s="8">
        <f>'US Construction'!B11-'US Construction'!D11</f>
        <v>4.4597925550563851</v>
      </c>
      <c r="C11" s="8">
        <f>'US Construction'!H11</f>
        <v>3.6434254816899094</v>
      </c>
      <c r="D11" s="8">
        <f t="shared" si="0"/>
        <v>6.2395350260082862</v>
      </c>
      <c r="E11" s="8">
        <f>100*('US Raw Data'!B11/'US Raw Data'!B10-1)</f>
        <v>2.2045137285159999</v>
      </c>
      <c r="F11" s="8">
        <f>'US Raw Data'!F10</f>
        <v>58.392580000000002</v>
      </c>
      <c r="G11" s="8">
        <f t="shared" si="1"/>
        <v>-0.36829691603648884</v>
      </c>
      <c r="H11" s="8">
        <f t="shared" si="2"/>
        <v>5.7361002192023189</v>
      </c>
      <c r="I11" s="8">
        <f t="shared" si="3"/>
        <v>58.34335999999999</v>
      </c>
      <c r="J11" s="7">
        <f>(1+D11/400)*(F11/100*'US Raw Data'!B10)-B11/100*'US Raw Data'!B11/4+H11/100*'US Raw Data'!B11/4</f>
        <v>5776.0912402784006</v>
      </c>
      <c r="K11" s="8">
        <f>J11/'US Raw Data'!B11*100</f>
        <v>58.343360000000011</v>
      </c>
      <c r="L11" s="8">
        <f>'US Raw Data'!F11</f>
        <v>58.343359999999997</v>
      </c>
      <c r="M11" s="8">
        <f t="shared" si="4"/>
        <v>0</v>
      </c>
    </row>
    <row r="12" spans="1:13" x14ac:dyDescent="0.35">
      <c r="A12" t="str">
        <f>'US Construction'!A12</f>
        <v>2000-Q1</v>
      </c>
      <c r="B12" s="8">
        <f>'US Construction'!B12-'US Construction'!D12</f>
        <v>5.3016247759613204</v>
      </c>
      <c r="C12" s="8">
        <f>'US Construction'!H12</f>
        <v>3.5839994246562861</v>
      </c>
      <c r="D12" s="8">
        <f t="shared" si="0"/>
        <v>6.142943129528855</v>
      </c>
      <c r="E12" s="8">
        <f>100*('US Raw Data'!B12/'US Raw Data'!B11-1)</f>
        <v>1.0303864509787708</v>
      </c>
      <c r="F12" s="8">
        <f>'US Raw Data'!F11</f>
        <v>58.343359999999997</v>
      </c>
      <c r="G12" s="8">
        <f t="shared" si="1"/>
        <v>0.29183079470983297</v>
      </c>
      <c r="H12" s="8">
        <f t="shared" si="2"/>
        <v>1.646221597121992</v>
      </c>
      <c r="I12" s="8">
        <f t="shared" si="3"/>
        <v>57.721339999999991</v>
      </c>
      <c r="J12" s="7">
        <f>(1+D12/400)*(F12/100*'US Raw Data'!B11)-B12/100*'US Raw Data'!B12/4+H12/100*'US Raw Data'!B12/4</f>
        <v>5773.3917479986003</v>
      </c>
      <c r="K12" s="8">
        <f>J12/'US Raw Data'!B12*100</f>
        <v>57.721339999999998</v>
      </c>
      <c r="L12" s="8">
        <f>'US Raw Data'!F12</f>
        <v>57.721339999999998</v>
      </c>
      <c r="M12" s="8">
        <f t="shared" si="4"/>
        <v>0</v>
      </c>
    </row>
    <row r="13" spans="1:13" x14ac:dyDescent="0.35">
      <c r="A13" t="str">
        <f>'US Construction'!A13</f>
        <v>2000-Q2</v>
      </c>
      <c r="B13" s="8">
        <f>'US Construction'!B13-'US Construction'!D13</f>
        <v>4.8961427517535583</v>
      </c>
      <c r="C13" s="8">
        <f>'US Construction'!H13</f>
        <v>3.5403185645847768</v>
      </c>
      <c r="D13" s="8">
        <f t="shared" si="0"/>
        <v>6.1334656551368649</v>
      </c>
      <c r="E13" s="8">
        <f>100*('US Raw Data'!B13/'US Raw Data'!B12-1)</f>
        <v>2.4548750827194654</v>
      </c>
      <c r="F13" s="8">
        <f>'US Raw Data'!F12</f>
        <v>57.721339999999998</v>
      </c>
      <c r="G13" s="8">
        <f t="shared" si="1"/>
        <v>-0.51916236440300856</v>
      </c>
      <c r="H13" s="8">
        <f t="shared" si="2"/>
        <v>-1.9729277906344018</v>
      </c>
      <c r="I13" s="8">
        <f t="shared" si="3"/>
        <v>55.484909999999999</v>
      </c>
      <c r="J13" s="7">
        <f>(1+D13/400)*(F13/100*'US Raw Data'!B12)-B13/100*'US Raw Data'!B13/4+H13/100*'US Raw Data'!B13/4</f>
        <v>5685.938219052</v>
      </c>
      <c r="K13" s="8">
        <f>J13/'US Raw Data'!B13*100</f>
        <v>55.484909999999999</v>
      </c>
      <c r="L13" s="8">
        <f>'US Raw Data'!F13</f>
        <v>55.484909999999999</v>
      </c>
      <c r="M13" s="8">
        <f t="shared" si="4"/>
        <v>0</v>
      </c>
    </row>
    <row r="14" spans="1:13" x14ac:dyDescent="0.35">
      <c r="A14" t="str">
        <f>'US Construction'!A14</f>
        <v>2000-Q3</v>
      </c>
      <c r="B14" s="8">
        <f>'US Construction'!B14-'US Construction'!D14</f>
        <v>4.947856522937947</v>
      </c>
      <c r="C14" s="8">
        <f>'US Construction'!H14</f>
        <v>3.4434684007759779</v>
      </c>
      <c r="D14" s="8">
        <f t="shared" si="0"/>
        <v>6.2061349667431704</v>
      </c>
      <c r="E14" s="8">
        <f>100*('US Raw Data'!B14/'US Raw Data'!B13-1)</f>
        <v>0.68742120198446166</v>
      </c>
      <c r="F14" s="8">
        <f>'US Raw Data'!F13</f>
        <v>55.484909999999999</v>
      </c>
      <c r="G14" s="8">
        <f t="shared" si="1"/>
        <v>0.47617871152961427</v>
      </c>
      <c r="H14" s="8">
        <f t="shared" si="2"/>
        <v>1.0720216768195048</v>
      </c>
      <c r="I14" s="8">
        <f t="shared" si="3"/>
        <v>54.992130000000003</v>
      </c>
      <c r="J14" s="7">
        <f>(1+D14/400)*(F14/100*'US Raw Data'!B13)-B14/100*'US Raw Data'!B14/4+H14/100*'US Raw Data'!B14/4</f>
        <v>5674.1787104145005</v>
      </c>
      <c r="K14" s="8">
        <f>J14/'US Raw Data'!B14*100</f>
        <v>54.992130000000003</v>
      </c>
      <c r="L14" s="8">
        <f>'US Raw Data'!F14</f>
        <v>54.992130000000003</v>
      </c>
      <c r="M14" s="8">
        <f t="shared" si="4"/>
        <v>0</v>
      </c>
    </row>
    <row r="15" spans="1:13" x14ac:dyDescent="0.35">
      <c r="A15" t="str">
        <f>'US Construction'!A15</f>
        <v>2000-Q4</v>
      </c>
      <c r="B15" s="8">
        <f>'US Construction'!B15-'US Construction'!D15</f>
        <v>4.8976383475869056</v>
      </c>
      <c r="C15" s="8">
        <f>'US Construction'!H15</f>
        <v>3.4221685735787322</v>
      </c>
      <c r="D15" s="8">
        <f t="shared" si="0"/>
        <v>6.2230151361271728</v>
      </c>
      <c r="E15" s="8">
        <f>100*('US Raw Data'!B15/'US Raw Data'!B14-1)</f>
        <v>1.1395340159805478</v>
      </c>
      <c r="F15" s="8">
        <f>'US Raw Data'!F14</f>
        <v>54.992130000000003</v>
      </c>
      <c r="G15" s="8">
        <f t="shared" si="1"/>
        <v>0.22630924510317149</v>
      </c>
      <c r="H15" s="8">
        <f t="shared" si="2"/>
        <v>1.0554813671742047</v>
      </c>
      <c r="I15" s="8">
        <f t="shared" si="3"/>
        <v>54.257899999999999</v>
      </c>
      <c r="J15" s="7">
        <f>(1+D15/400)*(F15/100*'US Raw Data'!B14)-B15/100*'US Raw Data'!B15/4+H15/100*'US Raw Data'!B15/4</f>
        <v>5662.2155437760011</v>
      </c>
      <c r="K15" s="8">
        <f>J15/'US Raw Data'!B15*100</f>
        <v>54.257900000000006</v>
      </c>
      <c r="L15" s="8">
        <f>'US Raw Data'!F15</f>
        <v>54.257899999999999</v>
      </c>
      <c r="M15" s="8">
        <f t="shared" si="4"/>
        <v>0</v>
      </c>
    </row>
    <row r="16" spans="1:13" x14ac:dyDescent="0.35">
      <c r="A16" t="str">
        <f>'US Construction'!A16</f>
        <v>2001-Q1</v>
      </c>
      <c r="B16" s="8">
        <f>'US Construction'!B16-'US Construction'!D16</f>
        <v>4.5262707193375231</v>
      </c>
      <c r="C16" s="8">
        <f>'US Construction'!H16</f>
        <v>3.3105354060045928</v>
      </c>
      <c r="D16" s="8">
        <f t="shared" si="0"/>
        <v>6.1014809014071547</v>
      </c>
      <c r="E16" s="8">
        <f>100*('US Raw Data'!B16/'US Raw Data'!B15-1)</f>
        <v>0.33046996936680895</v>
      </c>
      <c r="F16" s="8">
        <f>'US Raw Data'!F15</f>
        <v>54.257899999999999</v>
      </c>
      <c r="G16" s="8">
        <f t="shared" si="1"/>
        <v>0.64619231444847058</v>
      </c>
      <c r="H16" s="8">
        <f t="shared" si="2"/>
        <v>5.4872614615436426</v>
      </c>
      <c r="I16" s="8">
        <f t="shared" si="3"/>
        <v>55.14434</v>
      </c>
      <c r="J16" s="7">
        <f>(1+D16/400)*(F16/100*'US Raw Data'!B15)-B16/100*'US Raw Data'!B16/4+H16/100*'US Raw Data'!B16/4</f>
        <v>5773.7397814254</v>
      </c>
      <c r="K16" s="8">
        <f>J16/'US Raw Data'!B16*100</f>
        <v>55.14434</v>
      </c>
      <c r="L16" s="8">
        <f>'US Raw Data'!F16</f>
        <v>55.14434</v>
      </c>
      <c r="M16" s="8">
        <f t="shared" si="4"/>
        <v>0</v>
      </c>
    </row>
    <row r="17" spans="1:13" x14ac:dyDescent="0.35">
      <c r="A17" t="str">
        <f>'US Construction'!A17</f>
        <v>2001-Q2</v>
      </c>
      <c r="B17" s="8">
        <f>'US Construction'!B17-'US Construction'!D17</f>
        <v>4.0527785640154761</v>
      </c>
      <c r="C17" s="8">
        <f>'US Construction'!H17</f>
        <v>3.1974079654976095</v>
      </c>
      <c r="D17" s="8">
        <f t="shared" si="0"/>
        <v>5.7982523056720048</v>
      </c>
      <c r="E17" s="8">
        <f>100*('US Raw Data'!B17/'US Raw Data'!B16-1)</f>
        <v>1.2298582524110424</v>
      </c>
      <c r="F17" s="8">
        <f>'US Raw Data'!F16</f>
        <v>55.14434</v>
      </c>
      <c r="G17" s="8">
        <f t="shared" si="1"/>
        <v>0.11968284579111693</v>
      </c>
      <c r="H17" s="8">
        <f t="shared" si="2"/>
        <v>-0.87671281914899435</v>
      </c>
      <c r="I17" s="8">
        <f t="shared" si="3"/>
        <v>54.031649999999999</v>
      </c>
      <c r="J17" s="7">
        <f>(1+D17/400)*(F17/100*'US Raw Data'!B16)-B17/100*'US Raw Data'!B17/4+H17/100*'US Raw Data'!B17/4</f>
        <v>5726.8145834999987</v>
      </c>
      <c r="K17" s="8">
        <f>J17/'US Raw Data'!B17*100</f>
        <v>54.031649999999985</v>
      </c>
      <c r="L17" s="8">
        <f>'US Raw Data'!F17</f>
        <v>54.031649999999999</v>
      </c>
      <c r="M17" s="8">
        <f t="shared" si="4"/>
        <v>0</v>
      </c>
    </row>
    <row r="18" spans="1:13" x14ac:dyDescent="0.35">
      <c r="A18" t="str">
        <f>'US Construction'!A18</f>
        <v>2001-Q3</v>
      </c>
      <c r="B18" s="8">
        <f>'US Construction'!B18-'US Construction'!D18</f>
        <v>1.8569695093989225</v>
      </c>
      <c r="C18" s="8">
        <f>'US Construction'!H18</f>
        <v>3.0835550523634305</v>
      </c>
      <c r="D18" s="8">
        <f t="shared" si="0"/>
        <v>5.7069422317538523</v>
      </c>
      <c r="E18" s="8">
        <f>100*('US Raw Data'!B18/'US Raw Data'!B17-1)</f>
        <v>-9.2461552976708106E-3</v>
      </c>
      <c r="F18" s="8">
        <f>'US Raw Data'!F17</f>
        <v>54.031649999999999</v>
      </c>
      <c r="G18" s="8">
        <f t="shared" si="1"/>
        <v>0.77595635948979824</v>
      </c>
      <c r="H18" s="8">
        <f t="shared" si="2"/>
        <v>1.8170640714397255</v>
      </c>
      <c r="I18" s="8">
        <f t="shared" si="3"/>
        <v>54.797629999999991</v>
      </c>
      <c r="J18" s="7">
        <f>(1+D18/400)*(F18/100*'US Raw Data'!B17)-B18/100*'US Raw Data'!B18/4+H18/100*'US Raw Data'!B18/4</f>
        <v>5807.4637869259986</v>
      </c>
      <c r="K18" s="8">
        <f>J18/'US Raw Data'!B18*100</f>
        <v>54.797629999999984</v>
      </c>
      <c r="L18" s="8">
        <f>'US Raw Data'!F18</f>
        <v>54.797629999999998</v>
      </c>
      <c r="M18" s="8">
        <f t="shared" si="4"/>
        <v>0</v>
      </c>
    </row>
    <row r="19" spans="1:13" x14ac:dyDescent="0.35">
      <c r="A19" t="str">
        <f>'US Construction'!A19</f>
        <v>2001-Q4</v>
      </c>
      <c r="B19" s="8">
        <f>'US Construction'!B19-'US Construction'!D19</f>
        <v>2.6714782141304312</v>
      </c>
      <c r="C19" s="8">
        <f>'US Construction'!H19</f>
        <v>2.9988714873155553</v>
      </c>
      <c r="D19" s="8">
        <f t="shared" si="0"/>
        <v>5.4726299062852819</v>
      </c>
      <c r="E19" s="8">
        <f>100*('US Raw Data'!B19/'US Raw Data'!B18-1)</f>
        <v>0.58921383428225393</v>
      </c>
      <c r="F19" s="8">
        <f>'US Raw Data'!F18</f>
        <v>54.797629999999998</v>
      </c>
      <c r="G19" s="8">
        <f t="shared" si="1"/>
        <v>0.42434237105510958</v>
      </c>
      <c r="H19" s="8">
        <f t="shared" si="2"/>
        <v>4.7922287299100148</v>
      </c>
      <c r="I19" s="8">
        <f t="shared" si="3"/>
        <v>55.752160000000011</v>
      </c>
      <c r="J19" s="7">
        <f>(1+D19/400)*(F19/100*'US Raw Data'!B18)-B19/100*'US Raw Data'!B19/4+H19/100*'US Raw Data'!B19/4</f>
        <v>5943.4395035440002</v>
      </c>
      <c r="K19" s="8">
        <f>J19/'US Raw Data'!B19*100</f>
        <v>55.752160000000003</v>
      </c>
      <c r="L19" s="8">
        <f>'US Raw Data'!F19</f>
        <v>55.752160000000003</v>
      </c>
      <c r="M19" s="8">
        <f t="shared" si="4"/>
        <v>0</v>
      </c>
    </row>
    <row r="20" spans="1:13" x14ac:dyDescent="0.35">
      <c r="A20" t="str">
        <f>'US Construction'!A20</f>
        <v>2002-Q1</v>
      </c>
      <c r="B20" s="8">
        <f>'US Construction'!B20-'US Construction'!D20</f>
        <v>0.73351880187323104</v>
      </c>
      <c r="C20" s="8">
        <f>'US Construction'!H20</f>
        <v>2.8603911743061863</v>
      </c>
      <c r="D20" s="8">
        <f t="shared" si="0"/>
        <v>5.1305477210321282</v>
      </c>
      <c r="E20" s="8">
        <f>100*('US Raw Data'!B20/'US Raw Data'!B19-1)</f>
        <v>1.1541241399882551</v>
      </c>
      <c r="F20" s="8">
        <f>'US Raw Data'!F19</f>
        <v>55.752160000000003</v>
      </c>
      <c r="G20" s="8">
        <f t="shared" si="1"/>
        <v>7.0831176742245733E-2</v>
      </c>
      <c r="H20" s="8">
        <f t="shared" si="2"/>
        <v>0.2275540949042355</v>
      </c>
      <c r="I20" s="8">
        <f t="shared" si="3"/>
        <v>55.696500000000007</v>
      </c>
      <c r="J20" s="7">
        <f>(1+D20/400)*(F20/100*'US Raw Data'!B19)-B20/100*'US Raw Data'!B20/4+H20/100*'US Raw Data'!B20/4</f>
        <v>6006.0320775000009</v>
      </c>
      <c r="K20" s="8">
        <f>J20/'US Raw Data'!B20*100</f>
        <v>55.696500000000007</v>
      </c>
      <c r="L20" s="8">
        <f>'US Raw Data'!F20</f>
        <v>55.6965</v>
      </c>
      <c r="M20" s="8">
        <f t="shared" si="4"/>
        <v>0</v>
      </c>
    </row>
    <row r="21" spans="1:13" x14ac:dyDescent="0.35">
      <c r="A21" t="str">
        <f>'US Construction'!A21</f>
        <v>2002-Q2</v>
      </c>
      <c r="B21" s="8">
        <f>'US Construction'!B21-'US Construction'!D21</f>
        <v>0.36559491378154263</v>
      </c>
      <c r="C21" s="8">
        <f>'US Construction'!H21</f>
        <v>2.8001854685398992</v>
      </c>
      <c r="D21" s="8">
        <f t="shared" si="0"/>
        <v>5.0275788757640045</v>
      </c>
      <c r="E21" s="8">
        <f>100*('US Raw Data'!B21/'US Raw Data'!B20-1)</f>
        <v>0.96406547039458168</v>
      </c>
      <c r="F21" s="8">
        <f>'US Raw Data'!F20</f>
        <v>55.6965</v>
      </c>
      <c r="G21" s="8">
        <f t="shared" si="1"/>
        <v>0.16153830737379646</v>
      </c>
      <c r="H21" s="8">
        <f t="shared" si="2"/>
        <v>2.016921684286364</v>
      </c>
      <c r="I21" s="8">
        <f t="shared" si="3"/>
        <v>56.270870000000009</v>
      </c>
      <c r="J21" s="7">
        <f>(1+D21/400)*(F21/100*'US Raw Data'!B20)-B21/100*'US Raw Data'!B21/4+H21/100*'US Raw Data'!B21/4</f>
        <v>6126.4684629020003</v>
      </c>
      <c r="K21" s="8">
        <f>J21/'US Raw Data'!B21*100</f>
        <v>56.270870000000009</v>
      </c>
      <c r="L21" s="8">
        <f>'US Raw Data'!F21</f>
        <v>56.270870000000002</v>
      </c>
      <c r="M21" s="8">
        <f t="shared" si="4"/>
        <v>0</v>
      </c>
    </row>
    <row r="22" spans="1:13" x14ac:dyDescent="0.35">
      <c r="A22" t="str">
        <f>'US Construction'!A22</f>
        <v>2002-Q3</v>
      </c>
      <c r="B22" s="8">
        <f>'US Construction'!B22-'US Construction'!D22</f>
        <v>0.19592973077301323</v>
      </c>
      <c r="C22" s="8">
        <f>'US Construction'!H22</f>
        <v>2.7572087520872639</v>
      </c>
      <c r="D22" s="8">
        <f t="shared" si="0"/>
        <v>4.8998864813841756</v>
      </c>
      <c r="E22" s="8">
        <f>100*('US Raw Data'!B22/'US Raw Data'!B21-1)</f>
        <v>0.88707558971514722</v>
      </c>
      <c r="F22" s="8">
        <f>'US Raw Data'!F21</f>
        <v>56.270870000000002</v>
      </c>
      <c r="G22" s="8">
        <f t="shared" si="1"/>
        <v>0.18846520728255986</v>
      </c>
      <c r="H22" s="8">
        <f t="shared" si="2"/>
        <v>1.1689889016427522</v>
      </c>
      <c r="I22" s="8">
        <f t="shared" si="3"/>
        <v>56.702600000000011</v>
      </c>
      <c r="J22" s="7">
        <f>(1+D22/400)*(F22/100*'US Raw Data'!B21)-B22/100*'US Raw Data'!B22/4+H22/100*'US Raw Data'!B22/4</f>
        <v>6228.2362650400009</v>
      </c>
      <c r="K22" s="8">
        <f>J22/'US Raw Data'!B22*100</f>
        <v>56.702600000000004</v>
      </c>
      <c r="L22" s="8">
        <f>'US Raw Data'!F22</f>
        <v>56.702599999999997</v>
      </c>
      <c r="M22" s="8">
        <f t="shared" si="4"/>
        <v>0</v>
      </c>
    </row>
    <row r="23" spans="1:13" x14ac:dyDescent="0.35">
      <c r="A23" t="str">
        <f>'US Construction'!A23</f>
        <v>2002-Q4</v>
      </c>
      <c r="B23" s="8">
        <f>'US Construction'!B23-'US Construction'!D23</f>
        <v>-5.9603488987367115E-2</v>
      </c>
      <c r="C23" s="8">
        <f>'US Construction'!H23</f>
        <v>2.7130818897236351</v>
      </c>
      <c r="D23" s="8">
        <f t="shared" si="0"/>
        <v>4.7847574709513054</v>
      </c>
      <c r="E23" s="8">
        <f>100*('US Raw Data'!B23/'US Raw Data'!B22-1)</f>
        <v>0.70459503060804618</v>
      </c>
      <c r="F23" s="8">
        <f>'US Raw Data'!F22</f>
        <v>56.702599999999997</v>
      </c>
      <c r="G23" s="8">
        <f t="shared" si="1"/>
        <v>0.27679647638781912</v>
      </c>
      <c r="H23" s="8">
        <f t="shared" si="2"/>
        <v>3.6639306054613701</v>
      </c>
      <c r="I23" s="8">
        <f t="shared" si="3"/>
        <v>57.910279999999993</v>
      </c>
      <c r="J23" s="7">
        <f>(1+D23/400)*(F23/100*'US Raw Data'!B22)-B23/100*'US Raw Data'!B23/4+H23/100*'US Raw Data'!B23/4</f>
        <v>6405.7068223124006</v>
      </c>
      <c r="K23" s="8">
        <f>J23/'US Raw Data'!B23*100</f>
        <v>57.91028</v>
      </c>
      <c r="L23" s="8">
        <f>'US Raw Data'!F23</f>
        <v>57.91028</v>
      </c>
      <c r="M23" s="8">
        <f t="shared" si="4"/>
        <v>0</v>
      </c>
    </row>
    <row r="24" spans="1:13" x14ac:dyDescent="0.35">
      <c r="A24" t="str">
        <f>'US Construction'!A24</f>
        <v>2003-Q1</v>
      </c>
      <c r="B24" s="8">
        <f>'US Construction'!B24-'US Construction'!D24</f>
        <v>-0.35485539857290505</v>
      </c>
      <c r="C24" s="8">
        <f>'US Construction'!H24</f>
        <v>2.628899890276422</v>
      </c>
      <c r="D24" s="8">
        <f t="shared" si="0"/>
        <v>4.539608322177723</v>
      </c>
      <c r="E24" s="8">
        <f>100*('US Raw Data'!B24/'US Raw Data'!B23-1)</f>
        <v>1.0188191710784666</v>
      </c>
      <c r="F24" s="8">
        <f>'US Raw Data'!F23</f>
        <v>57.91028</v>
      </c>
      <c r="G24" s="8">
        <f t="shared" si="1"/>
        <v>6.654595495720679E-2</v>
      </c>
      <c r="H24" s="8">
        <f t="shared" si="2"/>
        <v>-0.98591921840173158</v>
      </c>
      <c r="I24" s="8">
        <f t="shared" si="3"/>
        <v>57.81906</v>
      </c>
      <c r="J24" s="7">
        <f>(1+D24/400)*(F24/100*'US Raw Data'!B23)-B24/100*'US Raw Data'!B24/4+H24/100*'US Raw Data'!B24/4</f>
        <v>6460.7763509874012</v>
      </c>
      <c r="K24" s="8">
        <f>J24/'US Raw Data'!B24*100</f>
        <v>57.819060000000007</v>
      </c>
      <c r="L24" s="8">
        <f>'US Raw Data'!F24</f>
        <v>57.81906</v>
      </c>
      <c r="M24" s="8">
        <f t="shared" si="4"/>
        <v>0</v>
      </c>
    </row>
    <row r="25" spans="1:13" x14ac:dyDescent="0.35">
      <c r="A25" t="str">
        <f>'US Construction'!A25</f>
        <v>2003-Q2</v>
      </c>
      <c r="B25" s="8">
        <f>'US Construction'!B25-'US Construction'!D25</f>
        <v>-0.85684615062310954</v>
      </c>
      <c r="C25" s="8">
        <f>'US Construction'!H25</f>
        <v>2.5981622370745852</v>
      </c>
      <c r="D25" s="8">
        <f t="shared" si="0"/>
        <v>4.4936085731497277</v>
      </c>
      <c r="E25" s="8">
        <f>100*('US Raw Data'!B25/'US Raw Data'!B24-1)</f>
        <v>1.2406962547147904</v>
      </c>
      <c r="F25" s="8">
        <f>'US Raw Data'!F24</f>
        <v>57.81906</v>
      </c>
      <c r="G25" s="8">
        <f t="shared" si="1"/>
        <v>-6.6987244429874762E-2</v>
      </c>
      <c r="H25" s="8">
        <f t="shared" si="2"/>
        <v>3.9789028270963946</v>
      </c>
      <c r="I25" s="8">
        <f t="shared" si="3"/>
        <v>58.961010000000002</v>
      </c>
      <c r="J25" s="7">
        <f>(1+D25/400)*(F25/100*'US Raw Data'!B24)-B25/100*'US Raw Data'!B25/4+H25/100*'US Raw Data'!B25/4</f>
        <v>6670.1210925366004</v>
      </c>
      <c r="K25" s="8">
        <f>J25/'US Raw Data'!B25*100</f>
        <v>58.961010000000002</v>
      </c>
      <c r="L25" s="8">
        <f>'US Raw Data'!F25</f>
        <v>58.961010000000002</v>
      </c>
      <c r="M25" s="8">
        <f t="shared" si="4"/>
        <v>0</v>
      </c>
    </row>
    <row r="26" spans="1:13" x14ac:dyDescent="0.35">
      <c r="A26" t="str">
        <f>'US Construction'!A26</f>
        <v>2003-Q3</v>
      </c>
      <c r="B26" s="8">
        <f>'US Construction'!B26-'US Construction'!D26</f>
        <v>-1.5369766351920333</v>
      </c>
      <c r="C26" s="8">
        <f>'US Construction'!H26</f>
        <v>2.5781404830613486</v>
      </c>
      <c r="D26" s="8">
        <f t="shared" si="0"/>
        <v>4.3726192666328956</v>
      </c>
      <c r="E26" s="8">
        <f>100*('US Raw Data'!B26/'US Raw Data'!B25-1)</f>
        <v>2.2443936345894588</v>
      </c>
      <c r="F26" s="8">
        <f>'US Raw Data'!F25</f>
        <v>58.961010000000002</v>
      </c>
      <c r="G26" s="8">
        <f t="shared" si="1"/>
        <v>-0.66388191120797901</v>
      </c>
      <c r="H26" s="8">
        <f t="shared" si="2"/>
        <v>-0.14384899036013099</v>
      </c>
      <c r="I26" s="8">
        <f t="shared" si="3"/>
        <v>58.645409999999998</v>
      </c>
      <c r="J26" s="7">
        <f>(1+D26/400)*(F26/100*'US Raw Data'!B25)-B26/100*'US Raw Data'!B26/4+H26/100*'US Raw Data'!B26/4</f>
        <v>6783.3204583928991</v>
      </c>
      <c r="K26" s="8">
        <f>J26/'US Raw Data'!B26*100</f>
        <v>58.645409999999998</v>
      </c>
      <c r="L26" s="8">
        <f>'US Raw Data'!F26</f>
        <v>58.645409999999998</v>
      </c>
      <c r="M26" s="8">
        <f t="shared" si="4"/>
        <v>0</v>
      </c>
    </row>
    <row r="27" spans="1:13" x14ac:dyDescent="0.35">
      <c r="A27" t="str">
        <f>'US Construction'!A27</f>
        <v>2003-Q4</v>
      </c>
      <c r="B27" s="8">
        <f>'US Construction'!B27-'US Construction'!D27</f>
        <v>-0.91975745640122142</v>
      </c>
      <c r="C27" s="8">
        <f>'US Construction'!H27</f>
        <v>2.5427199481544775</v>
      </c>
      <c r="D27" s="8">
        <f t="shared" si="0"/>
        <v>4.335752701114167</v>
      </c>
      <c r="E27" s="8">
        <f>100*('US Raw Data'!B27/'US Raw Data'!B26-1)</f>
        <v>1.777218661656188</v>
      </c>
      <c r="F27" s="8">
        <f>'US Raw Data'!F26</f>
        <v>58.645409999999998</v>
      </c>
      <c r="G27" s="8">
        <f t="shared" si="1"/>
        <v>-0.399477593348045</v>
      </c>
      <c r="H27" s="8">
        <f t="shared" si="2"/>
        <v>3.8751529169909613</v>
      </c>
      <c r="I27" s="8">
        <f t="shared" si="3"/>
        <v>59.444659999999999</v>
      </c>
      <c r="J27" s="7">
        <f>(1+D27/400)*(F27/100*'US Raw Data'!B26)-B27/100*'US Raw Data'!B27/4+H27/100*'US Raw Data'!B27/4</f>
        <v>6997.9644757043998</v>
      </c>
      <c r="K27" s="8">
        <f>J27/'US Raw Data'!B27*100</f>
        <v>59.444659999999992</v>
      </c>
      <c r="L27" s="8">
        <f>'US Raw Data'!F27</f>
        <v>59.444659999999999</v>
      </c>
      <c r="M27" s="8">
        <f t="shared" si="4"/>
        <v>0</v>
      </c>
    </row>
    <row r="28" spans="1:13" x14ac:dyDescent="0.35">
      <c r="A28" t="str">
        <f>'US Construction'!A28</f>
        <v>2004-Q1</v>
      </c>
      <c r="B28" s="8">
        <f>'US Construction'!B28-'US Construction'!D28</f>
        <v>-1.0994471649012247</v>
      </c>
      <c r="C28" s="8">
        <f>'US Construction'!H28</f>
        <v>2.5303778365261853</v>
      </c>
      <c r="D28" s="8">
        <f t="shared" si="0"/>
        <v>4.2566949437109836</v>
      </c>
      <c r="E28" s="8">
        <f>100*('US Raw Data'!B28/'US Raw Data'!B27-1)</f>
        <v>1.2844885686098317</v>
      </c>
      <c r="F28" s="8">
        <f>'US Raw Data'!F27</f>
        <v>59.444659999999999</v>
      </c>
      <c r="G28" s="8">
        <f t="shared" si="1"/>
        <v>-0.1293045016747226</v>
      </c>
      <c r="H28" s="8">
        <f t="shared" si="2"/>
        <v>0.86753084179766349</v>
      </c>
      <c r="I28" s="8">
        <f t="shared" si="3"/>
        <v>59.807100000000005</v>
      </c>
      <c r="J28" s="7">
        <f>(1+D28/400)*(F28/100*'US Raw Data'!B27)-B28/100*'US Raw Data'!B28/4+H28/100*'US Raw Data'!B28/4</f>
        <v>7131.0678707369998</v>
      </c>
      <c r="K28" s="8">
        <f>J28/'US Raw Data'!B28*100</f>
        <v>59.807100000000005</v>
      </c>
      <c r="L28" s="8">
        <f>'US Raw Data'!F28</f>
        <v>59.807099999999998</v>
      </c>
      <c r="M28" s="8">
        <f t="shared" si="4"/>
        <v>0</v>
      </c>
    </row>
    <row r="29" spans="1:13" x14ac:dyDescent="0.35">
      <c r="A29" t="str">
        <f>'US Construction'!A29</f>
        <v>2004-Q2</v>
      </c>
      <c r="B29" s="8">
        <f>'US Construction'!B29-'US Construction'!D29</f>
        <v>-0.80291823164144915</v>
      </c>
      <c r="C29" s="8">
        <f>'US Construction'!H29</f>
        <v>2.5132077997243583</v>
      </c>
      <c r="D29" s="8">
        <f t="shared" si="0"/>
        <v>4.2021897061124154</v>
      </c>
      <c r="E29" s="8">
        <f>100*('US Raw Data'!B29/'US Raw Data'!B28-1)</f>
        <v>1.5881984463050003</v>
      </c>
      <c r="F29" s="8">
        <f>'US Raw Data'!F28</f>
        <v>59.807099999999998</v>
      </c>
      <c r="G29" s="8">
        <f t="shared" si="1"/>
        <v>-0.31652641543687671</v>
      </c>
      <c r="H29" s="8">
        <f t="shared" si="2"/>
        <v>1.4542674301060687</v>
      </c>
      <c r="I29" s="8">
        <f t="shared" si="3"/>
        <v>60.054870000000008</v>
      </c>
      <c r="J29" s="7">
        <f>(1+D29/400)*(F29/100*'US Raw Data'!B28)-B29/100*'US Raw Data'!B29/4+H29/100*'US Raw Data'!B29/4</f>
        <v>7274.3353015905013</v>
      </c>
      <c r="K29" s="8">
        <f>J29/'US Raw Data'!B29*100</f>
        <v>60.054870000000008</v>
      </c>
      <c r="L29" s="8">
        <f>'US Raw Data'!F29</f>
        <v>60.054870000000001</v>
      </c>
      <c r="M29" s="8">
        <f t="shared" si="4"/>
        <v>0</v>
      </c>
    </row>
    <row r="30" spans="1:13" x14ac:dyDescent="0.35">
      <c r="A30" t="str">
        <f>'US Construction'!A30</f>
        <v>2004-Q3</v>
      </c>
      <c r="B30" s="8">
        <f>'US Construction'!B30-'US Construction'!D30</f>
        <v>-0.46990294512765729</v>
      </c>
      <c r="C30" s="8">
        <f>'US Construction'!H30</f>
        <v>2.5440741891954923</v>
      </c>
      <c r="D30" s="8">
        <f t="shared" si="0"/>
        <v>4.2362495984014155</v>
      </c>
      <c r="E30" s="8">
        <f>100*('US Raw Data'!B30/'US Raw Data'!B29-1)</f>
        <v>1.5891599103924348</v>
      </c>
      <c r="F30" s="8">
        <f>'US Raw Data'!F29</f>
        <v>60.054870000000001</v>
      </c>
      <c r="G30" s="8">
        <f t="shared" si="1"/>
        <v>-0.3133694296322696</v>
      </c>
      <c r="H30" s="8">
        <f t="shared" si="2"/>
        <v>0.42981477340142704</v>
      </c>
      <c r="I30" s="8">
        <f t="shared" si="3"/>
        <v>59.96643000000001</v>
      </c>
      <c r="J30" s="7">
        <f>(1+D30/400)*(F30/100*'US Raw Data'!B29)-B30/100*'US Raw Data'!B30/4+H30/100*'US Raw Data'!B30/4</f>
        <v>7379.0533084401013</v>
      </c>
      <c r="K30" s="8">
        <f>J30/'US Raw Data'!B30*100</f>
        <v>59.966430000000003</v>
      </c>
      <c r="L30" s="8">
        <f>'US Raw Data'!F30</f>
        <v>59.966430000000003</v>
      </c>
      <c r="M30" s="8">
        <f t="shared" si="4"/>
        <v>0</v>
      </c>
    </row>
    <row r="31" spans="1:13" x14ac:dyDescent="0.35">
      <c r="A31" t="str">
        <f>'US Construction'!A31</f>
        <v>2004-Q4</v>
      </c>
      <c r="B31" s="8">
        <f>'US Construction'!B31-'US Construction'!D31</f>
        <v>-0.50852488031257792</v>
      </c>
      <c r="C31" s="8">
        <f>'US Construction'!H31</f>
        <v>2.5873877019078031</v>
      </c>
      <c r="D31" s="8">
        <f t="shared" si="0"/>
        <v>4.3147269262282295</v>
      </c>
      <c r="E31" s="8">
        <f>100*('US Raw Data'!B31/'US Raw Data'!B30-1)</f>
        <v>1.8033438743137342</v>
      </c>
      <c r="F31" s="8">
        <f>'US Raw Data'!F30</f>
        <v>59.966430000000003</v>
      </c>
      <c r="G31" s="8">
        <f t="shared" si="1"/>
        <v>-0.42685632910956506</v>
      </c>
      <c r="H31" s="8">
        <f t="shared" si="2"/>
        <v>3.8817004361256684</v>
      </c>
      <c r="I31" s="8">
        <f t="shared" si="3"/>
        <v>60.637129999999992</v>
      </c>
      <c r="J31" s="7">
        <f>(1+D31/400)*(F31/100*'US Raw Data'!B30)-B31/100*'US Raw Data'!B31/4+H31/100*'US Raw Data'!B31/4</f>
        <v>7596.1430385582007</v>
      </c>
      <c r="K31" s="8">
        <f>J31/'US Raw Data'!B31*100</f>
        <v>60.637130000000006</v>
      </c>
      <c r="L31" s="8">
        <f>'US Raw Data'!F31</f>
        <v>60.637129999999999</v>
      </c>
      <c r="M31" s="8">
        <f t="shared" si="4"/>
        <v>0</v>
      </c>
    </row>
    <row r="32" spans="1:13" x14ac:dyDescent="0.35">
      <c r="A32" t="str">
        <f>'US Construction'!A32</f>
        <v>2005-Q1</v>
      </c>
      <c r="B32" s="8">
        <f>'US Construction'!B32-'US Construction'!D32</f>
        <v>0.18937462511610192</v>
      </c>
      <c r="C32" s="8">
        <f>'US Construction'!H32</f>
        <v>2.6295311950446441</v>
      </c>
      <c r="D32" s="8">
        <f t="shared" si="0"/>
        <v>4.3365033850458357</v>
      </c>
      <c r="E32" s="8">
        <f>100*('US Raw Data'!B32/'US Raw Data'!B31-1)</f>
        <v>1.9164037590481131</v>
      </c>
      <c r="F32" s="8">
        <f>'US Raw Data'!F31</f>
        <v>60.637129999999999</v>
      </c>
      <c r="G32" s="8">
        <f t="shared" si="1"/>
        <v>-0.49517979571854004</v>
      </c>
      <c r="H32" s="8">
        <f t="shared" si="2"/>
        <v>3.2736538079902777</v>
      </c>
      <c r="I32" s="8">
        <f t="shared" si="3"/>
        <v>60.913020000000003</v>
      </c>
      <c r="J32" s="7">
        <f>(1+D32/400)*(F32/100*'US Raw Data'!B31)-B32/100*'US Raw Data'!B32/4+H32/100*'US Raw Data'!B32/4</f>
        <v>7776.9394746372009</v>
      </c>
      <c r="K32" s="8">
        <f>J32/'US Raw Data'!B32*100</f>
        <v>60.913020000000003</v>
      </c>
      <c r="L32" s="8">
        <f>'US Raw Data'!F32</f>
        <v>60.913020000000003</v>
      </c>
      <c r="M32" s="8">
        <f t="shared" si="4"/>
        <v>0</v>
      </c>
    </row>
    <row r="33" spans="1:13" x14ac:dyDescent="0.35">
      <c r="A33" t="str">
        <f>'US Construction'!A33</f>
        <v>2005-Q2</v>
      </c>
      <c r="B33" s="8">
        <f>'US Construction'!B33-'US Construction'!D33</f>
        <v>0.28557596828391141</v>
      </c>
      <c r="C33" s="8">
        <f>'US Construction'!H33</f>
        <v>2.6911122692794693</v>
      </c>
      <c r="D33" s="8">
        <f t="shared" si="0"/>
        <v>4.4179590328627096</v>
      </c>
      <c r="E33" s="8">
        <f>100*('US Raw Data'!B33/'US Raw Data'!B32-1)</f>
        <v>1.2169383532255829</v>
      </c>
      <c r="F33" s="8">
        <f>'US Raw Data'!F32</f>
        <v>60.913020000000003</v>
      </c>
      <c r="G33" s="8">
        <f t="shared" si="1"/>
        <v>-6.7672304934830049E-2</v>
      </c>
      <c r="H33" s="8">
        <f t="shared" si="2"/>
        <v>-0.52969481197676838</v>
      </c>
      <c r="I33" s="8">
        <f t="shared" si="3"/>
        <v>60.641529999999996</v>
      </c>
      <c r="J33" s="7">
        <f>(1+D33/400)*(F33/100*'US Raw Data'!B32)-B33/100*'US Raw Data'!B33/4+H33/100*'US Raw Data'!B33/4</f>
        <v>7836.4963150368003</v>
      </c>
      <c r="K33" s="8">
        <f>J33/'US Raw Data'!B33*100</f>
        <v>60.641529999999996</v>
      </c>
      <c r="L33" s="8">
        <f>'US Raw Data'!F33</f>
        <v>60.641530000000003</v>
      </c>
      <c r="M33" s="8">
        <f t="shared" si="4"/>
        <v>0</v>
      </c>
    </row>
    <row r="34" spans="1:13" x14ac:dyDescent="0.35">
      <c r="A34" t="str">
        <f>'US Construction'!A34</f>
        <v>2005-Q3</v>
      </c>
      <c r="B34" s="8">
        <f>'US Construction'!B34-'US Construction'!D34</f>
        <v>0.37007018832286676</v>
      </c>
      <c r="C34" s="8">
        <f>'US Construction'!H34</f>
        <v>2.702447546386749</v>
      </c>
      <c r="D34" s="8">
        <f t="shared" si="0"/>
        <v>4.4564303479591443</v>
      </c>
      <c r="E34" s="8">
        <f>100*('US Raw Data'!B34/'US Raw Data'!B33-1)</f>
        <v>1.702328066304637</v>
      </c>
      <c r="F34" s="8">
        <f>'US Raw Data'!F33</f>
        <v>60.641530000000003</v>
      </c>
      <c r="G34" s="8">
        <f t="shared" si="1"/>
        <v>-0.35073523410133756</v>
      </c>
      <c r="H34" s="8">
        <f t="shared" si="2"/>
        <v>0.64113112472819322</v>
      </c>
      <c r="I34" s="8">
        <f t="shared" si="3"/>
        <v>60.358559999999997</v>
      </c>
      <c r="J34" s="7">
        <f>(1+D34/400)*(F34/100*'US Raw Data'!B33)-B34/100*'US Raw Data'!B34/4+H34/100*'US Raw Data'!B34/4</f>
        <v>7932.7094571551997</v>
      </c>
      <c r="K34" s="8">
        <f>J34/'US Raw Data'!B34*100</f>
        <v>60.358559999999997</v>
      </c>
      <c r="L34" s="8">
        <f>'US Raw Data'!F34</f>
        <v>60.358559999999997</v>
      </c>
      <c r="M34" s="8">
        <f t="shared" si="4"/>
        <v>0</v>
      </c>
    </row>
    <row r="35" spans="1:13" x14ac:dyDescent="0.35">
      <c r="A35" t="str">
        <f>'US Construction'!A35</f>
        <v>2005-Q4</v>
      </c>
      <c r="B35" s="8">
        <f>'US Construction'!B35-'US Construction'!D35</f>
        <v>0.69609411564098167</v>
      </c>
      <c r="C35" s="8">
        <f>'US Construction'!H35</f>
        <v>2.7032768601625152</v>
      </c>
      <c r="D35" s="8">
        <f t="shared" si="0"/>
        <v>4.4786967418747485</v>
      </c>
      <c r="E35" s="8">
        <f>100*('US Raw Data'!B35/'US Raw Data'!B34-1)</f>
        <v>1.3814726141060607</v>
      </c>
      <c r="F35" s="8">
        <f>'US Raw Data'!F34</f>
        <v>60.358559999999997</v>
      </c>
      <c r="G35" s="8">
        <f t="shared" si="1"/>
        <v>-0.155864535751638</v>
      </c>
      <c r="H35" s="8">
        <f t="shared" si="2"/>
        <v>5.1656322586475341</v>
      </c>
      <c r="I35" s="8">
        <f t="shared" si="3"/>
        <v>61.32007999999999</v>
      </c>
      <c r="J35" s="7">
        <f>(1+D35/400)*(F35/100*'US Raw Data'!B34)-B35/100*'US Raw Data'!B35/4+H35/100*'US Raw Data'!B35/4</f>
        <v>8170.4125521631995</v>
      </c>
      <c r="K35" s="8">
        <f>J35/'US Raw Data'!B35*100</f>
        <v>61.320079999999997</v>
      </c>
      <c r="L35" s="8">
        <f>'US Raw Data'!F35</f>
        <v>61.320079999999997</v>
      </c>
      <c r="M35" s="8">
        <f t="shared" si="4"/>
        <v>0</v>
      </c>
    </row>
    <row r="36" spans="1:13" x14ac:dyDescent="0.35">
      <c r="A36" t="str">
        <f>'US Construction'!A36</f>
        <v>2006-Q1</v>
      </c>
      <c r="B36" s="8">
        <f>'US Construction'!B36-'US Construction'!D36</f>
        <v>0.83034540368669596</v>
      </c>
      <c r="C36" s="8">
        <f>'US Construction'!H36</f>
        <v>2.6884082531309188</v>
      </c>
      <c r="D36" s="8">
        <f t="shared" si="0"/>
        <v>4.3842216988805607</v>
      </c>
      <c r="E36" s="8">
        <f>100*('US Raw Data'!B36/'US Raw Data'!B35-1)</f>
        <v>2.0635829352357637</v>
      </c>
      <c r="F36" s="8">
        <f>'US Raw Data'!F35</f>
        <v>61.320079999999997</v>
      </c>
      <c r="G36" s="8">
        <f t="shared" si="1"/>
        <v>-0.58129317667268765</v>
      </c>
      <c r="H36" s="8">
        <f t="shared" si="2"/>
        <v>4.1008781103774687</v>
      </c>
      <c r="I36" s="8">
        <f t="shared" si="3"/>
        <v>61.556420000000003</v>
      </c>
      <c r="J36" s="7">
        <f>(1+D36/400)*(F36/100*'US Raw Data'!B35)-B36/100*'US Raw Data'!B36/4+H36/100*'US Raw Data'!B36/4</f>
        <v>8371.1560460720011</v>
      </c>
      <c r="K36" s="8">
        <f>J36/'US Raw Data'!B36*100</f>
        <v>61.55642000000001</v>
      </c>
      <c r="L36" s="8">
        <f>'US Raw Data'!F36</f>
        <v>61.556420000000003</v>
      </c>
      <c r="M36" s="8">
        <f t="shared" si="4"/>
        <v>0</v>
      </c>
    </row>
    <row r="37" spans="1:13" x14ac:dyDescent="0.35">
      <c r="A37" t="str">
        <f>'US Construction'!A37</f>
        <v>2006-Q2</v>
      </c>
      <c r="B37" s="8">
        <f>'US Construction'!B37-'US Construction'!D37</f>
        <v>0.99491588421908617</v>
      </c>
      <c r="C37" s="8">
        <f>'US Construction'!H37</f>
        <v>2.7017477550083977</v>
      </c>
      <c r="D37" s="8">
        <f t="shared" si="0"/>
        <v>4.3890592646687336</v>
      </c>
      <c r="E37" s="8">
        <f>100*('US Raw Data'!B37/'US Raw Data'!B36-1)</f>
        <v>1.1343641813170935</v>
      </c>
      <c r="F37" s="8">
        <f>'US Raw Data'!F36</f>
        <v>61.556420000000003</v>
      </c>
      <c r="G37" s="8">
        <f t="shared" si="1"/>
        <v>-2.2580891484190607E-2</v>
      </c>
      <c r="H37" s="8">
        <f t="shared" si="2"/>
        <v>-0.25476054984415475</v>
      </c>
      <c r="I37" s="8">
        <f t="shared" si="3"/>
        <v>61.221419999999995</v>
      </c>
      <c r="J37" s="7">
        <f>(1+D37/400)*(F37/100*'US Raw Data'!B36)-B37/100*'US Raw Data'!B37/4+H37/100*'US Raw Data'!B37/4</f>
        <v>8420.0414714208</v>
      </c>
      <c r="K37" s="8">
        <f>J37/'US Raw Data'!B37*100</f>
        <v>61.221419999999995</v>
      </c>
      <c r="L37" s="8">
        <f>'US Raw Data'!F37</f>
        <v>61.221420000000002</v>
      </c>
      <c r="M37" s="8">
        <f t="shared" si="4"/>
        <v>0</v>
      </c>
    </row>
    <row r="38" spans="1:13" x14ac:dyDescent="0.35">
      <c r="A38" t="str">
        <f>'US Construction'!A38</f>
        <v>2006-Q3</v>
      </c>
      <c r="B38" s="8">
        <f>'US Construction'!B38-'US Construction'!D38</f>
        <v>1.1784122897252729</v>
      </c>
      <c r="C38" s="8">
        <f>'US Construction'!H38</f>
        <v>2.7360386766233624</v>
      </c>
      <c r="D38" s="8">
        <f t="shared" ref="D38:D69" si="5">C38*100/F38</f>
        <v>4.469087251852967</v>
      </c>
      <c r="E38" s="8">
        <f>100*('US Raw Data'!B38/'US Raw Data'!B37-1)</f>
        <v>0.84898131548913902</v>
      </c>
      <c r="F38" s="8">
        <f>'US Raw Data'!F37</f>
        <v>61.221420000000002</v>
      </c>
      <c r="G38" s="8">
        <f t="shared" ref="G38:G69" si="6">((1+D38/400)/(1+E38/100)-1)*F38</f>
        <v>0.1628685288995321</v>
      </c>
      <c r="H38" s="8">
        <f t="shared" ref="H38:H69" si="7">4*(L38-F38-G38+B38/4)</f>
        <v>0.9724581741271322</v>
      </c>
      <c r="I38" s="8">
        <f t="shared" ref="I38:I69" si="8">F38*(1+D38/400)/(1+E38/100)-B38/4+H38/4</f>
        <v>61.332800000000013</v>
      </c>
      <c r="J38" s="7">
        <f>(1+D38/400)*(F38/100*'US Raw Data'!B37)-B38/100*'US Raw Data'!B38/4+H38/100*'US Raw Data'!B38/4</f>
        <v>8506.9746656640018</v>
      </c>
      <c r="K38" s="8">
        <f>J38/'US Raw Data'!B38*100</f>
        <v>61.332800000000006</v>
      </c>
      <c r="L38" s="8">
        <f>'US Raw Data'!F38</f>
        <v>61.332799999999999</v>
      </c>
      <c r="M38" s="8">
        <f t="shared" ref="M38:M69" si="9">I38-L38</f>
        <v>0</v>
      </c>
    </row>
    <row r="39" spans="1:13" x14ac:dyDescent="0.35">
      <c r="A39" t="str">
        <f>'US Construction'!A39</f>
        <v>2006-Q4</v>
      </c>
      <c r="B39" s="8">
        <f>'US Construction'!B39-'US Construction'!D39</f>
        <v>1.3381402266167903</v>
      </c>
      <c r="C39" s="8">
        <f>'US Construction'!H39</f>
        <v>2.7896161176762706</v>
      </c>
      <c r="D39" s="8">
        <f t="shared" si="5"/>
        <v>4.548326699052172</v>
      </c>
      <c r="E39" s="8">
        <f>100*('US Raw Data'!B39/'US Raw Data'!B38-1)</f>
        <v>1.2211225976172635</v>
      </c>
      <c r="F39" s="8">
        <f>'US Raw Data'!F38</f>
        <v>61.332799999999999</v>
      </c>
      <c r="G39" s="8">
        <f t="shared" si="6"/>
        <v>-5.092282105705908E-2</v>
      </c>
      <c r="H39" s="8">
        <f t="shared" si="7"/>
        <v>3.5181915108450261</v>
      </c>
      <c r="I39" s="8">
        <f t="shared" si="8"/>
        <v>61.826890000000006</v>
      </c>
      <c r="J39" s="7">
        <f>(1+D39/400)*(F39/100*'US Raw Data'!B38)-B39/100*'US Raw Data'!B39/4+H39/100*'US Raw Data'!B39/4</f>
        <v>8680.223317684</v>
      </c>
      <c r="K39" s="8">
        <f>J39/'US Raw Data'!B39*100</f>
        <v>61.826889999999999</v>
      </c>
      <c r="L39" s="8">
        <f>'US Raw Data'!F39</f>
        <v>61.826889999999999</v>
      </c>
      <c r="M39" s="8">
        <f t="shared" si="9"/>
        <v>0</v>
      </c>
    </row>
    <row r="40" spans="1:13" x14ac:dyDescent="0.35">
      <c r="A40" t="str">
        <f>'US Construction'!A40</f>
        <v>2007-Q1</v>
      </c>
      <c r="B40" s="8">
        <f>'US Construction'!B40-'US Construction'!D40</f>
        <v>1.3096058703185669</v>
      </c>
      <c r="C40" s="8">
        <f>'US Construction'!H40</f>
        <v>2.8206653199957836</v>
      </c>
      <c r="D40" s="8">
        <f t="shared" si="5"/>
        <v>4.5621982926778042</v>
      </c>
      <c r="E40" s="8">
        <f>100*('US Raw Data'!B40/'US Raw Data'!B39-1)</f>
        <v>1.2542487086489862</v>
      </c>
      <c r="F40" s="8">
        <f>'US Raw Data'!F39</f>
        <v>61.826889999999999</v>
      </c>
      <c r="G40" s="8">
        <f t="shared" si="6"/>
        <v>-6.9425866391203073E-2</v>
      </c>
      <c r="H40" s="8">
        <f t="shared" si="7"/>
        <v>3.2916293358833748</v>
      </c>
      <c r="I40" s="8">
        <f t="shared" si="8"/>
        <v>62.252969999999998</v>
      </c>
      <c r="J40" s="7">
        <f>(1+D40/400)*(F40/100*'US Raw Data'!B39)-B40/100*'US Raw Data'!B40/4+H40/100*'US Raw Data'!B40/4</f>
        <v>8849.6649523346987</v>
      </c>
      <c r="K40" s="8">
        <f>J40/'US Raw Data'!B40*100</f>
        <v>62.252969999999998</v>
      </c>
      <c r="L40" s="8">
        <f>'US Raw Data'!F40</f>
        <v>62.252969999999998</v>
      </c>
      <c r="M40" s="8">
        <f t="shared" si="9"/>
        <v>0</v>
      </c>
    </row>
    <row r="41" spans="1:13" x14ac:dyDescent="0.35">
      <c r="A41" t="str">
        <f>'US Construction'!A41</f>
        <v>2007-Q2</v>
      </c>
      <c r="B41" s="8">
        <f>'US Construction'!B41-'US Construction'!D41</f>
        <v>1.2284196132198097</v>
      </c>
      <c r="C41" s="8">
        <f>'US Construction'!H41</f>
        <v>2.8694711202462693</v>
      </c>
      <c r="D41" s="8">
        <f t="shared" si="5"/>
        <v>4.6093722440009994</v>
      </c>
      <c r="E41" s="8">
        <f>100*('US Raw Data'!B41/'US Raw Data'!B40-1)</f>
        <v>1.3114489093746018</v>
      </c>
      <c r="F41" s="8">
        <f>'US Raw Data'!F40</f>
        <v>62.252969999999998</v>
      </c>
      <c r="G41" s="8">
        <f t="shared" si="6"/>
        <v>-9.776596537014412E-2</v>
      </c>
      <c r="H41" s="8">
        <f t="shared" si="7"/>
        <v>-1.1036365252996081</v>
      </c>
      <c r="I41" s="8">
        <f t="shared" si="8"/>
        <v>61.572189999999999</v>
      </c>
      <c r="J41" s="7">
        <f>(1+D41/400)*(F41/100*'US Raw Data'!B40)-B41/100*'US Raw Data'!B41/4+H41/100*'US Raw Data'!B41/4</f>
        <v>8867.6772929957988</v>
      </c>
      <c r="K41" s="8">
        <f>J41/'US Raw Data'!B41*100</f>
        <v>61.572189999999992</v>
      </c>
      <c r="L41" s="8">
        <f>'US Raw Data'!F41</f>
        <v>61.572189999999999</v>
      </c>
      <c r="M41" s="8">
        <f t="shared" si="9"/>
        <v>0</v>
      </c>
    </row>
    <row r="42" spans="1:13" x14ac:dyDescent="0.35">
      <c r="A42" t="str">
        <f>'US Construction'!A42</f>
        <v>2007-Q3</v>
      </c>
      <c r="B42" s="8">
        <f>'US Construction'!B42-'US Construction'!D42</f>
        <v>0.92813728425829112</v>
      </c>
      <c r="C42" s="8">
        <f>'US Construction'!H42</f>
        <v>2.8757231072562979</v>
      </c>
      <c r="D42" s="8">
        <f t="shared" si="5"/>
        <v>4.6704902119874214</v>
      </c>
      <c r="E42" s="8">
        <f>100*('US Raw Data'!B42/'US Raw Data'!B41-1)</f>
        <v>1.1250803876828419</v>
      </c>
      <c r="F42" s="8">
        <f>'US Raw Data'!F41</f>
        <v>61.572189999999999</v>
      </c>
      <c r="G42" s="8">
        <f t="shared" si="6"/>
        <v>2.5902716474329533E-2</v>
      </c>
      <c r="H42" s="8">
        <f t="shared" si="7"/>
        <v>1.9288064183609901</v>
      </c>
      <c r="I42" s="8">
        <f t="shared" si="8"/>
        <v>61.848259999999989</v>
      </c>
      <c r="J42" s="7">
        <f>(1+D42/400)*(F42/100*'US Raw Data'!B41)-B42/100*'US Raw Data'!B42/4+H42/100*'US Raw Data'!B42/4</f>
        <v>9007.6529488642009</v>
      </c>
      <c r="K42" s="8">
        <f>J42/'US Raw Data'!B42*100</f>
        <v>61.84826000000001</v>
      </c>
      <c r="L42" s="8">
        <f>'US Raw Data'!F42</f>
        <v>61.848260000000003</v>
      </c>
      <c r="M42" s="8">
        <f t="shared" si="9"/>
        <v>0</v>
      </c>
    </row>
    <row r="43" spans="1:13" x14ac:dyDescent="0.35">
      <c r="A43" t="str">
        <f>'US Construction'!A43</f>
        <v>2007-Q4</v>
      </c>
      <c r="B43" s="8">
        <f>'US Construction'!B43-'US Construction'!D43</f>
        <v>0.64521662096064958</v>
      </c>
      <c r="C43" s="8">
        <f>'US Construction'!H43</f>
        <v>2.8414012329068763</v>
      </c>
      <c r="D43" s="8">
        <f t="shared" si="5"/>
        <v>4.5941490236053149</v>
      </c>
      <c r="E43" s="8">
        <f>100*('US Raw Data'!B43/'US Raw Data'!B42-1)</f>
        <v>1.0363896417475926</v>
      </c>
      <c r="F43" s="8">
        <f>'US Raw Data'!F42</f>
        <v>61.848260000000003</v>
      </c>
      <c r="G43" s="8">
        <f t="shared" si="6"/>
        <v>6.8649867865967135E-2</v>
      </c>
      <c r="H43" s="8">
        <f t="shared" si="7"/>
        <v>3.8545371494967644</v>
      </c>
      <c r="I43" s="8">
        <f t="shared" si="8"/>
        <v>62.719239999999999</v>
      </c>
      <c r="J43" s="7">
        <f>(1+D43/400)*(F43/100*'US Raw Data'!B42)-B43/100*'US Raw Data'!B43/4+H43/100*'US Raw Data'!B43/4</f>
        <v>9229.1725431592004</v>
      </c>
      <c r="K43" s="8">
        <f>J43/'US Raw Data'!B43*100</f>
        <v>62.719239999999999</v>
      </c>
      <c r="L43" s="8">
        <f>'US Raw Data'!F43</f>
        <v>62.719239999999999</v>
      </c>
      <c r="M43" s="8">
        <f t="shared" si="9"/>
        <v>0</v>
      </c>
    </row>
    <row r="44" spans="1:13" x14ac:dyDescent="0.35">
      <c r="A44" t="str">
        <f>'US Construction'!A44</f>
        <v>2008-Q1</v>
      </c>
      <c r="B44" s="8">
        <f>'US Construction'!B44-'US Construction'!D44</f>
        <v>-7.4796665265495221E-3</v>
      </c>
      <c r="C44" s="8">
        <f>'US Construction'!H44</f>
        <v>2.7419056044495371</v>
      </c>
      <c r="D44" s="8">
        <f t="shared" si="5"/>
        <v>4.37171369495156</v>
      </c>
      <c r="E44" s="8">
        <f>100*('US Raw Data'!B44/'US Raw Data'!B43-1)</f>
        <v>-5.7899873721189987E-2</v>
      </c>
      <c r="F44" s="8">
        <f>'US Raw Data'!F43</f>
        <v>62.719239999999999</v>
      </c>
      <c r="G44" s="8">
        <f t="shared" si="6"/>
        <v>0.72220891992391223</v>
      </c>
      <c r="H44" s="8">
        <f t="shared" si="7"/>
        <v>2.9178446537778169</v>
      </c>
      <c r="I44" s="8">
        <f t="shared" si="8"/>
        <v>64.172780000000003</v>
      </c>
      <c r="J44" s="7">
        <f>(1+D44/400)*(F44/100*'US Raw Data'!B43)-B44/100*'US Raw Data'!B44/4+H44/100*'US Raw Data'!B44/4</f>
        <v>9437.5942763563999</v>
      </c>
      <c r="K44" s="8">
        <f>J44/'US Raw Data'!B44*100</f>
        <v>64.172779999999989</v>
      </c>
      <c r="L44" s="8">
        <f>'US Raw Data'!F44</f>
        <v>64.172780000000003</v>
      </c>
      <c r="M44" s="8">
        <f t="shared" si="9"/>
        <v>0</v>
      </c>
    </row>
    <row r="45" spans="1:13" x14ac:dyDescent="0.35">
      <c r="A45" t="str">
        <f>'US Construction'!A45</f>
        <v>2008-Q2</v>
      </c>
      <c r="B45" s="8">
        <f>'US Construction'!B45-'US Construction'!D45</f>
        <v>-2.6106740610483143</v>
      </c>
      <c r="C45" s="8">
        <f>'US Construction'!H45</f>
        <v>2.6406690684102538</v>
      </c>
      <c r="D45" s="8">
        <f t="shared" si="5"/>
        <v>4.114936377090495</v>
      </c>
      <c r="E45" s="8">
        <f>100*('US Raw Data'!B45/'US Raw Data'!B44-1)</f>
        <v>1.0822601485135364</v>
      </c>
      <c r="F45" s="8">
        <f>'US Raw Data'!F44</f>
        <v>64.172780000000003</v>
      </c>
      <c r="G45" s="8">
        <f t="shared" si="6"/>
        <v>-3.3981389988940888E-2</v>
      </c>
      <c r="H45" s="8">
        <f t="shared" si="7"/>
        <v>-3.7589885010925617</v>
      </c>
      <c r="I45" s="8">
        <f t="shared" si="8"/>
        <v>63.85172</v>
      </c>
      <c r="J45" s="7">
        <f>(1+D45/400)*(F45/100*'US Raw Data'!B44)-B45/100*'US Raw Data'!B45/4+H45/100*'US Raw Data'!B45/4</f>
        <v>9492.0057785572026</v>
      </c>
      <c r="K45" s="8">
        <f>J45/'US Raw Data'!B45*100</f>
        <v>63.851720000000022</v>
      </c>
      <c r="L45" s="8">
        <f>'US Raw Data'!F45</f>
        <v>63.85172</v>
      </c>
      <c r="M45" s="8">
        <f t="shared" si="9"/>
        <v>0</v>
      </c>
    </row>
    <row r="46" spans="1:13" x14ac:dyDescent="0.35">
      <c r="A46" t="str">
        <f>'US Construction'!A46</f>
        <v>2008-Q3</v>
      </c>
      <c r="B46" s="8">
        <f>'US Construction'!B46-'US Construction'!D46</f>
        <v>-1.593315094524133</v>
      </c>
      <c r="C46" s="8">
        <f>'US Construction'!H46</f>
        <v>2.5706961279525267</v>
      </c>
      <c r="D46" s="8">
        <f t="shared" si="5"/>
        <v>4.026040532584755</v>
      </c>
      <c r="E46" s="8">
        <f>100*('US Raw Data'!B46/'US Raw Data'!B45-1)</f>
        <v>0.22399212791917034</v>
      </c>
      <c r="F46" s="8">
        <f>'US Raw Data'!F45</f>
        <v>63.85172</v>
      </c>
      <c r="G46" s="8">
        <f t="shared" si="6"/>
        <v>0.49853452755047023</v>
      </c>
      <c r="H46" s="8">
        <f t="shared" si="7"/>
        <v>10.143866795273969</v>
      </c>
      <c r="I46" s="8">
        <f t="shared" si="8"/>
        <v>67.28455000000001</v>
      </c>
      <c r="J46" s="7">
        <f>(1+D46/400)*(F46/100*'US Raw Data'!B45)-B46/100*'US Raw Data'!B46/4+H46/100*'US Raw Data'!B46/4</f>
        <v>10024.7244316545</v>
      </c>
      <c r="K46" s="8">
        <f>J46/'US Raw Data'!B46*100</f>
        <v>67.284549999999996</v>
      </c>
      <c r="L46" s="8">
        <f>'US Raw Data'!F46</f>
        <v>67.284549999999996</v>
      </c>
      <c r="M46" s="8">
        <f t="shared" si="9"/>
        <v>0</v>
      </c>
    </row>
    <row r="47" spans="1:13" x14ac:dyDescent="0.35">
      <c r="A47" t="str">
        <f>'US Construction'!A47</f>
        <v>2008-Q4</v>
      </c>
      <c r="B47" s="8">
        <f>'US Construction'!B47-'US Construction'!D47</f>
        <v>-2.1876398400378818</v>
      </c>
      <c r="C47" s="8">
        <f>'US Construction'!H47</f>
        <v>2.5479161385271585</v>
      </c>
      <c r="D47" s="8">
        <f t="shared" si="5"/>
        <v>3.7867774080783159</v>
      </c>
      <c r="E47" s="8">
        <f>100*('US Raw Data'!B47/'US Raw Data'!B46-1)</f>
        <v>-1.9517418586308954</v>
      </c>
      <c r="F47" s="8">
        <f>'US Raw Data'!F46</f>
        <v>67.284549999999996</v>
      </c>
      <c r="G47" s="8">
        <f t="shared" si="6"/>
        <v>1.9890203032075908</v>
      </c>
      <c r="H47" s="8">
        <f t="shared" si="7"/>
        <v>13.698678947131754</v>
      </c>
      <c r="I47" s="8">
        <f t="shared" si="8"/>
        <v>73.245149999999995</v>
      </c>
      <c r="J47" s="7">
        <f>(1+D47/400)*(F47/100*'US Raw Data'!B46)-B47/100*'US Raw Data'!B47/4+H47/100*'US Raw Data'!B47/4</f>
        <v>10699.804594363499</v>
      </c>
      <c r="K47" s="8">
        <f>J47/'US Raw Data'!B47*100</f>
        <v>73.245149999999995</v>
      </c>
      <c r="L47" s="8">
        <f>'US Raw Data'!F47</f>
        <v>73.245149999999995</v>
      </c>
      <c r="M47" s="8">
        <f t="shared" si="9"/>
        <v>0</v>
      </c>
    </row>
    <row r="48" spans="1:13" x14ac:dyDescent="0.35">
      <c r="A48" t="str">
        <f>'US Construction'!A48</f>
        <v>2009-Q1</v>
      </c>
      <c r="B48" s="8">
        <f>'US Construction'!B48-'US Construction'!D48</f>
        <v>-5.1171714699469195</v>
      </c>
      <c r="C48" s="8">
        <f>'US Construction'!H48</f>
        <v>2.4771619847443311</v>
      </c>
      <c r="D48" s="8">
        <f t="shared" si="5"/>
        <v>3.3820150340934942</v>
      </c>
      <c r="E48" s="8">
        <f>100*('US Raw Data'!B48/'US Raw Data'!B47-1)</f>
        <v>-1.2137490639680837</v>
      </c>
      <c r="F48" s="8">
        <f>'US Raw Data'!F47</f>
        <v>73.245149999999995</v>
      </c>
      <c r="G48" s="8">
        <f t="shared" si="6"/>
        <v>1.5268347613371684</v>
      </c>
      <c r="H48" s="8">
        <f t="shared" si="7"/>
        <v>4.2147294847044474</v>
      </c>
      <c r="I48" s="8">
        <f t="shared" si="8"/>
        <v>77.104960000000005</v>
      </c>
      <c r="J48" s="7">
        <f>(1+D48/400)*(F48/100*'US Raw Data'!B47)-B48/100*'US Raw Data'!B48/4+H48/100*'US Raw Data'!B48/4</f>
        <v>11126.941214739199</v>
      </c>
      <c r="K48" s="8">
        <f>J48/'US Raw Data'!B48*100</f>
        <v>77.104960000000005</v>
      </c>
      <c r="L48" s="8">
        <f>'US Raw Data'!F48</f>
        <v>77.104960000000005</v>
      </c>
      <c r="M48" s="8">
        <f t="shared" si="9"/>
        <v>0</v>
      </c>
    </row>
    <row r="49" spans="1:13" x14ac:dyDescent="0.35">
      <c r="A49" t="str">
        <f>'US Construction'!A49</f>
        <v>2009-Q2</v>
      </c>
      <c r="B49" s="8">
        <f>'US Construction'!B49-'US Construction'!D49</f>
        <v>-6.5968808244298316</v>
      </c>
      <c r="C49" s="8">
        <f>'US Construction'!H49</f>
        <v>2.440138530495183</v>
      </c>
      <c r="D49" s="8">
        <f t="shared" si="5"/>
        <v>3.1646972263459872</v>
      </c>
      <c r="E49" s="8">
        <f>100*('US Raw Data'!B49/'US Raw Data'!B48-1)</f>
        <v>-0.3441642109412113</v>
      </c>
      <c r="F49" s="8">
        <f>'US Raw Data'!F48</f>
        <v>77.104960000000005</v>
      </c>
      <c r="G49" s="8">
        <f t="shared" si="6"/>
        <v>0.87842553611943108</v>
      </c>
      <c r="H49" s="8">
        <f t="shared" si="7"/>
        <v>2.5900970310924212</v>
      </c>
      <c r="I49" s="8">
        <f t="shared" si="8"/>
        <v>80.28013</v>
      </c>
      <c r="J49" s="7">
        <f>(1+D49/400)*(F49/100*'US Raw Data'!B48)-B49/100*'US Raw Data'!B49/4+H49/100*'US Raw Data'!B49/4</f>
        <v>11545.2749564068</v>
      </c>
      <c r="K49" s="8">
        <f>J49/'US Raw Data'!B49*100</f>
        <v>80.28013</v>
      </c>
      <c r="L49" s="8">
        <f>'US Raw Data'!F49</f>
        <v>80.28013</v>
      </c>
      <c r="M49" s="8">
        <f t="shared" si="9"/>
        <v>0</v>
      </c>
    </row>
    <row r="50" spans="1:13" x14ac:dyDescent="0.35">
      <c r="A50" t="str">
        <f>'US Construction'!A50</f>
        <v>2009-Q3</v>
      </c>
      <c r="B50" s="8">
        <f>'US Construction'!B50-'US Construction'!D50</f>
        <v>-6.6239381012316336</v>
      </c>
      <c r="C50" s="8">
        <f>'US Construction'!H50</f>
        <v>2.4359310979946369</v>
      </c>
      <c r="D50" s="8">
        <f t="shared" si="5"/>
        <v>3.0342889305169747</v>
      </c>
      <c r="E50" s="8">
        <f>100*('US Raw Data'!B50/'US Raw Data'!B49-1)</f>
        <v>0.47037681601218573</v>
      </c>
      <c r="F50" s="8">
        <f>'US Raw Data'!F49</f>
        <v>80.28013</v>
      </c>
      <c r="G50" s="8">
        <f t="shared" si="6"/>
        <v>0.23028046917542372</v>
      </c>
      <c r="H50" s="8">
        <f t="shared" si="7"/>
        <v>1.0437400220666637</v>
      </c>
      <c r="I50" s="8">
        <f t="shared" si="8"/>
        <v>82.427330000000012</v>
      </c>
      <c r="J50" s="7">
        <f>(1+D50/400)*(F50/100*'US Raw Data'!B49)-B50/100*'US Raw Data'!B50/4+H50/100*'US Raw Data'!B50/4</f>
        <v>11909.827647450598</v>
      </c>
      <c r="K50" s="8">
        <f>J50/'US Raw Data'!B50*100</f>
        <v>82.427329999999984</v>
      </c>
      <c r="L50" s="8">
        <f>'US Raw Data'!F50</f>
        <v>82.427329999999998</v>
      </c>
      <c r="M50" s="8">
        <f t="shared" si="9"/>
        <v>0</v>
      </c>
    </row>
    <row r="51" spans="1:13" x14ac:dyDescent="0.35">
      <c r="A51" t="str">
        <f>'US Construction'!A51</f>
        <v>2009-Q4</v>
      </c>
      <c r="B51" s="8">
        <f>'US Construction'!B51-'US Construction'!D51</f>
        <v>-6.2132313770655294</v>
      </c>
      <c r="C51" s="8">
        <f>'US Construction'!H51</f>
        <v>2.448708488310722</v>
      </c>
      <c r="D51" s="8">
        <f t="shared" si="5"/>
        <v>2.9707482801040896</v>
      </c>
      <c r="E51" s="8">
        <f>100*('US Raw Data'!B51/'US Raw Data'!B50-1)</f>
        <v>1.4005720304173019</v>
      </c>
      <c r="F51" s="8">
        <f>'US Raw Data'!F50</f>
        <v>82.427329999999998</v>
      </c>
      <c r="G51" s="8">
        <f t="shared" si="6"/>
        <v>-0.53478693114218001</v>
      </c>
      <c r="H51" s="8">
        <f t="shared" si="7"/>
        <v>2.3339963475031738</v>
      </c>
      <c r="I51" s="8">
        <f t="shared" si="8"/>
        <v>84.029349999999994</v>
      </c>
      <c r="J51" s="7">
        <f>(1+D51/400)*(F51/100*'US Raw Data'!B50)-B51/100*'US Raw Data'!B51/4+H51/100*'US Raw Data'!B51/4</f>
        <v>12311.349301581498</v>
      </c>
      <c r="K51" s="8">
        <f>J51/'US Raw Data'!B51*100</f>
        <v>84.029349999999994</v>
      </c>
      <c r="L51" s="8">
        <f>'US Raw Data'!F51</f>
        <v>84.029349999999994</v>
      </c>
      <c r="M51" s="8">
        <f t="shared" si="9"/>
        <v>0</v>
      </c>
    </row>
    <row r="52" spans="1:13" x14ac:dyDescent="0.35">
      <c r="A52" t="str">
        <f>'US Construction'!A52</f>
        <v>2010-Q1</v>
      </c>
      <c r="B52" s="8">
        <f>'US Construction'!B52-'US Construction'!D52</f>
        <v>-6.6656552391156971</v>
      </c>
      <c r="C52" s="8">
        <f>'US Construction'!H52</f>
        <v>2.4588893411066866</v>
      </c>
      <c r="D52" s="8">
        <f t="shared" si="5"/>
        <v>2.9262267780325408</v>
      </c>
      <c r="E52" s="8">
        <f>100*('US Raw Data'!B52/'US Raw Data'!B51-1)</f>
        <v>0.77372925680261329</v>
      </c>
      <c r="F52" s="8">
        <f>'US Raw Data'!F51</f>
        <v>84.029349999999994</v>
      </c>
      <c r="G52" s="8">
        <f t="shared" si="6"/>
        <v>-3.5165246176503816E-2</v>
      </c>
      <c r="H52" s="8">
        <f t="shared" si="7"/>
        <v>3.4046057455903682</v>
      </c>
      <c r="I52" s="8">
        <f t="shared" si="8"/>
        <v>86.511750000000006</v>
      </c>
      <c r="J52" s="7">
        <f>(1+D52/400)*(F52/100*'US Raw Data'!B51)-B52/100*'US Raw Data'!B52/4+H52/100*'US Raw Data'!B52/4</f>
        <v>12773.122491675</v>
      </c>
      <c r="K52" s="8">
        <f>J52/'US Raw Data'!B52*100</f>
        <v>86.511749999999992</v>
      </c>
      <c r="L52" s="8">
        <f>'US Raw Data'!F52</f>
        <v>86.511750000000006</v>
      </c>
      <c r="M52" s="8">
        <f t="shared" si="9"/>
        <v>0</v>
      </c>
    </row>
    <row r="53" spans="1:13" x14ac:dyDescent="0.35">
      <c r="A53" t="str">
        <f>'US Construction'!A53</f>
        <v>2010-Q2</v>
      </c>
      <c r="B53" s="8">
        <f>'US Construction'!B53-'US Construction'!D53</f>
        <v>-6.3290773356524888</v>
      </c>
      <c r="C53" s="8">
        <f>'US Construction'!H53</f>
        <v>2.5529289293791031</v>
      </c>
      <c r="D53" s="8">
        <f t="shared" si="5"/>
        <v>2.9509620709084063</v>
      </c>
      <c r="E53" s="8">
        <f>100*('US Raw Data'!B53/'US Raw Data'!B52-1)</f>
        <v>1.4601333865235766</v>
      </c>
      <c r="F53" s="8">
        <f>'US Raw Data'!F52</f>
        <v>86.511750000000006</v>
      </c>
      <c r="G53" s="8">
        <f t="shared" si="6"/>
        <v>-0.615960862470188</v>
      </c>
      <c r="H53" s="8">
        <f t="shared" si="7"/>
        <v>2.6010461142282466</v>
      </c>
      <c r="I53" s="8">
        <f t="shared" si="8"/>
        <v>88.128320000000002</v>
      </c>
      <c r="J53" s="7">
        <f>(1+D53/400)*(F53/100*'US Raw Data'!B52)-B53/100*'US Raw Data'!B53/4+H53/100*'US Raw Data'!B53/4</f>
        <v>13201.7924236576</v>
      </c>
      <c r="K53" s="8">
        <f>J53/'US Raw Data'!B53*100</f>
        <v>88.128320000000002</v>
      </c>
      <c r="L53" s="8">
        <f>'US Raw Data'!F53</f>
        <v>88.128320000000002</v>
      </c>
      <c r="M53" s="8">
        <f t="shared" si="9"/>
        <v>0</v>
      </c>
    </row>
    <row r="54" spans="1:13" x14ac:dyDescent="0.35">
      <c r="A54" t="str">
        <f>'US Construction'!A54</f>
        <v>2010-Q3</v>
      </c>
      <c r="B54" s="8">
        <f>'US Construction'!B54-'US Construction'!D54</f>
        <v>-6.075319482271599</v>
      </c>
      <c r="C54" s="8">
        <f>'US Construction'!H54</f>
        <v>2.5984111152640028</v>
      </c>
      <c r="D54" s="8">
        <f t="shared" si="5"/>
        <v>2.948440541319751</v>
      </c>
      <c r="E54" s="8">
        <f>100*('US Raw Data'!B54/'US Raw Data'!B53-1)</f>
        <v>1.0775161575021119</v>
      </c>
      <c r="F54" s="8">
        <f>'US Raw Data'!F53</f>
        <v>88.128320000000002</v>
      </c>
      <c r="G54" s="8">
        <f t="shared" si="6"/>
        <v>-0.29679608277246228</v>
      </c>
      <c r="H54" s="8">
        <f t="shared" si="7"/>
        <v>0.8597048488182466</v>
      </c>
      <c r="I54" s="8">
        <f t="shared" si="8"/>
        <v>89.565279999999987</v>
      </c>
      <c r="J54" s="7">
        <f>(1+D54/400)*(F54/100*'US Raw Data'!B53)-B54/100*'US Raw Data'!B54/4+H54/100*'US Raw Data'!B54/4</f>
        <v>13561.622706049598</v>
      </c>
      <c r="K54" s="8">
        <f>J54/'US Raw Data'!B54*100</f>
        <v>89.565279999999987</v>
      </c>
      <c r="L54" s="8">
        <f>'US Raw Data'!F54</f>
        <v>89.565280000000001</v>
      </c>
      <c r="M54" s="8">
        <f t="shared" si="9"/>
        <v>0</v>
      </c>
    </row>
    <row r="55" spans="1:13" x14ac:dyDescent="0.35">
      <c r="A55" t="str">
        <f>'US Construction'!A55</f>
        <v>2010-Q4</v>
      </c>
      <c r="B55" s="8">
        <f>'US Construction'!B55-'US Construction'!D55</f>
        <v>-5.8481956989508568</v>
      </c>
      <c r="C55" s="8">
        <f>'US Construction'!H55</f>
        <v>2.6385178270707987</v>
      </c>
      <c r="D55" s="8">
        <f t="shared" si="5"/>
        <v>2.9459159029824931</v>
      </c>
      <c r="E55" s="8">
        <f>100*('US Raw Data'!B55/'US Raw Data'!B54-1)</f>
        <v>1.108647186523859</v>
      </c>
      <c r="F55" s="8">
        <f>'US Raw Data'!F54</f>
        <v>89.565280000000001</v>
      </c>
      <c r="G55" s="8">
        <f t="shared" si="6"/>
        <v>-0.3296785283256608</v>
      </c>
      <c r="H55" s="8">
        <f t="shared" si="7"/>
        <v>3.6547584143517753</v>
      </c>
      <c r="I55" s="8">
        <f t="shared" si="8"/>
        <v>91.611339999999998</v>
      </c>
      <c r="J55" s="7">
        <f>(1+D55/400)*(F55/100*'US Raw Data'!B54)-B55/100*'US Raw Data'!B55/4+H55/100*'US Raw Data'!B55/4</f>
        <v>14025.214278351601</v>
      </c>
      <c r="K55" s="8">
        <f>J55/'US Raw Data'!B55*100</f>
        <v>91.611340000000013</v>
      </c>
      <c r="L55" s="8">
        <f>'US Raw Data'!F55</f>
        <v>91.611339999999998</v>
      </c>
      <c r="M55" s="8">
        <f t="shared" si="9"/>
        <v>0</v>
      </c>
    </row>
    <row r="56" spans="1:13" x14ac:dyDescent="0.35">
      <c r="A56" t="str">
        <f>'US Construction'!A56</f>
        <v>2011-Q1</v>
      </c>
      <c r="B56" s="8">
        <f>'US Construction'!B56-'US Construction'!D56</f>
        <v>-5.4301262004730759</v>
      </c>
      <c r="C56" s="8">
        <f>'US Construction'!H56</f>
        <v>2.6833384347496199</v>
      </c>
      <c r="D56" s="8">
        <f t="shared" si="5"/>
        <v>2.929046158204454</v>
      </c>
      <c r="E56" s="8">
        <f>100*('US Raw Data'!B56/'US Raw Data'!B55-1)</f>
        <v>0.27417009885513099</v>
      </c>
      <c r="F56" s="8">
        <f>'US Raw Data'!F55</f>
        <v>91.611339999999998</v>
      </c>
      <c r="G56" s="8">
        <f t="shared" si="6"/>
        <v>0.41851626080093013</v>
      </c>
      <c r="H56" s="8">
        <f t="shared" si="7"/>
        <v>-1.7249912436767705</v>
      </c>
      <c r="I56" s="8">
        <f t="shared" si="8"/>
        <v>92.956140000000005</v>
      </c>
      <c r="J56" s="7">
        <f>(1+D56/400)*(F56/100*'US Raw Data'!B55)-B56/100*'US Raw Data'!B56/4+H56/100*'US Raw Data'!B56/4</f>
        <v>14270.1134949072</v>
      </c>
      <c r="K56" s="8">
        <f>J56/'US Raw Data'!B56*100</f>
        <v>92.956140000000005</v>
      </c>
      <c r="L56" s="8">
        <f>'US Raw Data'!F56</f>
        <v>92.956140000000005</v>
      </c>
      <c r="M56" s="8">
        <f t="shared" si="9"/>
        <v>0</v>
      </c>
    </row>
    <row r="57" spans="1:13" x14ac:dyDescent="0.35">
      <c r="A57" t="str">
        <f>'US Construction'!A57</f>
        <v>2011-Q2</v>
      </c>
      <c r="B57" s="8">
        <f>'US Construction'!B57-'US Construction'!D57</f>
        <v>-5.4598481160805683</v>
      </c>
      <c r="C57" s="8">
        <f>'US Construction'!H57</f>
        <v>2.7683838032738017</v>
      </c>
      <c r="D57" s="8">
        <f t="shared" si="5"/>
        <v>2.9781613170187589</v>
      </c>
      <c r="E57" s="8">
        <f>100*('US Raw Data'!B57/'US Raw Data'!B56-1)</f>
        <v>1.3424857381531652</v>
      </c>
      <c r="F57" s="8">
        <f>'US Raw Data'!F56</f>
        <v>92.956140000000005</v>
      </c>
      <c r="G57" s="8">
        <f t="shared" si="6"/>
        <v>-0.54846392149427226</v>
      </c>
      <c r="H57" s="8">
        <f t="shared" si="7"/>
        <v>-6.3153524301035144</v>
      </c>
      <c r="I57" s="8">
        <f t="shared" si="8"/>
        <v>92.193799999999996</v>
      </c>
      <c r="J57" s="7">
        <f>(1+D57/400)*(F57/100*'US Raw Data'!B56)-B57/100*'US Raw Data'!B57/4+H57/100*'US Raw Data'!B57/4</f>
        <v>14343.086390581999</v>
      </c>
      <c r="K57" s="8">
        <f>J57/'US Raw Data'!B57*100</f>
        <v>92.193799999999996</v>
      </c>
      <c r="L57" s="8">
        <f>'US Raw Data'!F57</f>
        <v>92.193799999999996</v>
      </c>
      <c r="M57" s="8">
        <f t="shared" si="9"/>
        <v>0</v>
      </c>
    </row>
    <row r="58" spans="1:13" x14ac:dyDescent="0.35">
      <c r="A58" t="str">
        <f>'US Construction'!A58</f>
        <v>2011-Q3</v>
      </c>
      <c r="B58" s="8">
        <f>'US Construction'!B58-'US Construction'!D58</f>
        <v>-5.0220543876152881</v>
      </c>
      <c r="C58" s="8">
        <f>'US Construction'!H58</f>
        <v>2.7808061416397538</v>
      </c>
      <c r="D58" s="8">
        <f t="shared" si="5"/>
        <v>3.0162615508198534</v>
      </c>
      <c r="E58" s="8">
        <f>100*('US Raw Data'!B58/'US Raw Data'!B57-1)</f>
        <v>0.57940397899693963</v>
      </c>
      <c r="F58" s="8">
        <f>'US Raw Data'!F57</f>
        <v>92.193799999999996</v>
      </c>
      <c r="G58" s="8">
        <f t="shared" si="6"/>
        <v>0.16009936771458569</v>
      </c>
      <c r="H58" s="8">
        <f t="shared" si="7"/>
        <v>3.6462681415263631</v>
      </c>
      <c r="I58" s="8">
        <f t="shared" si="8"/>
        <v>94.520979999999994</v>
      </c>
      <c r="J58" s="7">
        <f>(1+D58/400)*(F58/100*'US Raw Data'!B57)-B58/100*'US Raw Data'!B58/4+H58/100*'US Raw Data'!B58/4</f>
        <v>14790.340483263999</v>
      </c>
      <c r="K58" s="8">
        <f>J58/'US Raw Data'!B58*100</f>
        <v>94.520979999999994</v>
      </c>
      <c r="L58" s="8">
        <f>'US Raw Data'!F58</f>
        <v>94.520979999999994</v>
      </c>
      <c r="M58" s="8">
        <f t="shared" si="9"/>
        <v>0</v>
      </c>
    </row>
    <row r="59" spans="1:13" x14ac:dyDescent="0.35">
      <c r="A59" t="str">
        <f>'US Construction'!A59</f>
        <v>2011-Q4</v>
      </c>
      <c r="B59" s="8">
        <f>'US Construction'!B59-'US Construction'!D59</f>
        <v>-4.8347839787242428</v>
      </c>
      <c r="C59" s="8">
        <f>'US Construction'!H59</f>
        <v>2.7694201312910285</v>
      </c>
      <c r="D59" s="8">
        <f t="shared" si="5"/>
        <v>2.9299528330017619</v>
      </c>
      <c r="E59" s="8">
        <f>100*('US Raw Data'!B59/'US Raw Data'!B58-1)</f>
        <v>1.2435006339597932</v>
      </c>
      <c r="F59" s="8">
        <f>'US Raw Data'!F58</f>
        <v>94.520979999999994</v>
      </c>
      <c r="G59" s="8">
        <f t="shared" si="6"/>
        <v>-0.47708144194712732</v>
      </c>
      <c r="H59" s="8">
        <f t="shared" si="7"/>
        <v>3.3525017890643074</v>
      </c>
      <c r="I59" s="8">
        <f t="shared" si="8"/>
        <v>96.090720000000005</v>
      </c>
      <c r="J59" s="7">
        <f>(1+D59/400)*(F59/100*'US Raw Data'!B58)-B59/100*'US Raw Data'!B59/4+H59/100*'US Raw Data'!B59/4</f>
        <v>15222.940737364803</v>
      </c>
      <c r="K59" s="8">
        <f>J59/'US Raw Data'!B59*100</f>
        <v>96.090720000000019</v>
      </c>
      <c r="L59" s="8">
        <f>'US Raw Data'!F59</f>
        <v>96.090720000000005</v>
      </c>
      <c r="M59" s="8">
        <f t="shared" si="9"/>
        <v>0</v>
      </c>
    </row>
    <row r="60" spans="1:13" x14ac:dyDescent="0.35">
      <c r="A60" t="str">
        <f>'US Construction'!A60</f>
        <v>2012-Q1</v>
      </c>
      <c r="B60" s="8">
        <f>'US Construction'!B60-'US Construction'!D60</f>
        <v>-4.24457201391143</v>
      </c>
      <c r="C60" s="8">
        <f>'US Construction'!H60</f>
        <v>2.7038000073095638</v>
      </c>
      <c r="D60" s="8">
        <f t="shared" si="5"/>
        <v>2.8137993006083875</v>
      </c>
      <c r="E60" s="8">
        <f>100*('US Raw Data'!B60/'US Raw Data'!B59-1)</f>
        <v>1.4300107074376234</v>
      </c>
      <c r="F60" s="8">
        <f>'US Raw Data'!F59</f>
        <v>96.090720000000005</v>
      </c>
      <c r="G60" s="8">
        <f t="shared" si="6"/>
        <v>-0.68831461039698627</v>
      </c>
      <c r="H60" s="8">
        <f t="shared" si="7"/>
        <v>2.6381264276765037</v>
      </c>
      <c r="I60" s="8">
        <f t="shared" si="8"/>
        <v>97.123080000000002</v>
      </c>
      <c r="J60" s="7">
        <f>(1+D60/400)*(F60/100*'US Raw Data'!B59)-B60/100*'US Raw Data'!B60/4+H60/100*'US Raw Data'!B60/4</f>
        <v>15606.518335194001</v>
      </c>
      <c r="K60" s="8">
        <f>J60/'US Raw Data'!B60*100</f>
        <v>97.123080000000002</v>
      </c>
      <c r="L60" s="8">
        <f>'US Raw Data'!F60</f>
        <v>97.123080000000002</v>
      </c>
      <c r="M60" s="8">
        <f t="shared" si="9"/>
        <v>0</v>
      </c>
    </row>
    <row r="61" spans="1:13" x14ac:dyDescent="0.35">
      <c r="A61" t="str">
        <f>'US Construction'!A61</f>
        <v>2012-Q2</v>
      </c>
      <c r="B61" s="8">
        <f>'US Construction'!B61-'US Construction'!D61</f>
        <v>-4.1264284235658231</v>
      </c>
      <c r="C61" s="8">
        <f>'US Construction'!H61</f>
        <v>2.640799984815299</v>
      </c>
      <c r="D61" s="8">
        <f t="shared" si="5"/>
        <v>2.7190241339291332</v>
      </c>
      <c r="E61" s="8">
        <f>100*('US Raw Data'!B61/'US Raw Data'!B60-1)</f>
        <v>0.86073606593644048</v>
      </c>
      <c r="F61" s="8">
        <f>'US Raw Data'!F60</f>
        <v>97.123080000000002</v>
      </c>
      <c r="G61" s="8">
        <f t="shared" si="6"/>
        <v>-0.17427334814367881</v>
      </c>
      <c r="H61" s="8">
        <f t="shared" si="7"/>
        <v>-0.61113503099111766</v>
      </c>
      <c r="I61" s="8">
        <f t="shared" si="8"/>
        <v>97.827629999999985</v>
      </c>
      <c r="J61" s="7">
        <f>(1+D61/400)*(F61/100*'US Raw Data'!B60)-B61/100*'US Raw Data'!B61/4+H61/100*'US Raw Data'!B61/4</f>
        <v>15855.036495874499</v>
      </c>
      <c r="K61" s="8">
        <f>J61/'US Raw Data'!B61*100</f>
        <v>97.827629999999999</v>
      </c>
      <c r="L61" s="8">
        <f>'US Raw Data'!F61</f>
        <v>97.827629999999999</v>
      </c>
      <c r="M61" s="8">
        <f t="shared" si="9"/>
        <v>0</v>
      </c>
    </row>
    <row r="62" spans="1:13" x14ac:dyDescent="0.35">
      <c r="A62" t="str">
        <f>'US Construction'!A62</f>
        <v>2012-Q3</v>
      </c>
      <c r="B62" s="8">
        <f>'US Construction'!B62-'US Construction'!D62</f>
        <v>-4.0795877776219314</v>
      </c>
      <c r="C62" s="8">
        <f>'US Construction'!H62</f>
        <v>2.5974641384354955</v>
      </c>
      <c r="D62" s="8">
        <f t="shared" si="5"/>
        <v>2.6551436832676978</v>
      </c>
      <c r="E62" s="8">
        <f>100*('US Raw Data'!B62/'US Raw Data'!B61-1)</f>
        <v>0.69368299046437265</v>
      </c>
      <c r="F62" s="8">
        <f>'US Raw Data'!F61</f>
        <v>97.827629999999999</v>
      </c>
      <c r="G62" s="8">
        <f t="shared" si="6"/>
        <v>-2.9046106773466401E-2</v>
      </c>
      <c r="H62" s="8">
        <f t="shared" si="7"/>
        <v>-1.4824433505280838</v>
      </c>
      <c r="I62" s="8">
        <f t="shared" si="8"/>
        <v>98.447870000000009</v>
      </c>
      <c r="J62" s="7">
        <f>(1+D62/400)*(F62/100*'US Raw Data'!B61)-B62/100*'US Raw Data'!B62/4+H62/100*'US Raw Data'!B62/4</f>
        <v>16066.240508276698</v>
      </c>
      <c r="K62" s="8">
        <f>J62/'US Raw Data'!B62*100</f>
        <v>98.447869999999995</v>
      </c>
      <c r="L62" s="8">
        <f>'US Raw Data'!F62</f>
        <v>98.447869999999995</v>
      </c>
      <c r="M62" s="8">
        <f t="shared" si="9"/>
        <v>0</v>
      </c>
    </row>
    <row r="63" spans="1:13" x14ac:dyDescent="0.35">
      <c r="A63" t="str">
        <f>'US Construction'!A63</f>
        <v>2012-Q4</v>
      </c>
      <c r="B63" s="8">
        <f>'US Construction'!B63-'US Construction'!D63</f>
        <v>-3.5544220887420721</v>
      </c>
      <c r="C63" s="8">
        <f>'US Construction'!H63</f>
        <v>2.5542017388846907</v>
      </c>
      <c r="D63" s="8">
        <f t="shared" si="5"/>
        <v>2.5944713063722871</v>
      </c>
      <c r="E63" s="8">
        <f>100*('US Raw Data'!B63/'US Raw Data'!B62-1)</f>
        <v>0.6181423852545942</v>
      </c>
      <c r="F63" s="8">
        <f>'US Raw Data'!F62</f>
        <v>98.447869999999995</v>
      </c>
      <c r="G63" s="8">
        <f t="shared" si="6"/>
        <v>2.9818104528252867E-2</v>
      </c>
      <c r="H63" s="8">
        <f t="shared" si="7"/>
        <v>2.8347054931449112</v>
      </c>
      <c r="I63" s="8">
        <f t="shared" si="8"/>
        <v>100.07496999999999</v>
      </c>
      <c r="J63" s="7">
        <f>(1+D63/400)*(F63/100*'US Raw Data'!B62)-B63/100*'US Raw Data'!B63/4+H63/100*'US Raw Data'!B63/4</f>
        <v>16432.729388124299</v>
      </c>
      <c r="K63" s="8">
        <f>J63/'US Raw Data'!B63*100</f>
        <v>100.07496999999998</v>
      </c>
      <c r="L63" s="8">
        <f>'US Raw Data'!F63</f>
        <v>100.07496999999999</v>
      </c>
      <c r="M63" s="8">
        <f t="shared" si="9"/>
        <v>0</v>
      </c>
    </row>
    <row r="64" spans="1:13" x14ac:dyDescent="0.35">
      <c r="A64" t="str">
        <f>'US Construction'!A64</f>
        <v>2013-Q1</v>
      </c>
      <c r="B64" s="8">
        <f>'US Construction'!B64-'US Construction'!D64</f>
        <v>-2.18166672663315</v>
      </c>
      <c r="C64" s="8">
        <f>'US Construction'!H64</f>
        <v>2.5032978756510413</v>
      </c>
      <c r="D64" s="8">
        <f t="shared" si="5"/>
        <v>2.5014225591584407</v>
      </c>
      <c r="E64" s="8">
        <f>100*('US Raw Data'!B64/'US Raw Data'!B63-1)</f>
        <v>1.3871144213798425</v>
      </c>
      <c r="F64" s="8">
        <f>'US Raw Data'!F63</f>
        <v>100.07496999999999</v>
      </c>
      <c r="G64" s="8">
        <f t="shared" si="6"/>
        <v>-0.75190015664164223</v>
      </c>
      <c r="H64" s="8">
        <f t="shared" si="7"/>
        <v>3.4859338999334444</v>
      </c>
      <c r="I64" s="8">
        <f t="shared" si="8"/>
        <v>100.73997</v>
      </c>
      <c r="J64" s="7">
        <f>(1+D64/400)*(F64/100*'US Raw Data'!B63)-B64/100*'US Raw Data'!B64/4+H64/100*'US Raw Data'!B64/4</f>
        <v>16771.380604143294</v>
      </c>
      <c r="K64" s="8">
        <f>J64/'US Raw Data'!B64*100</f>
        <v>100.73996999999997</v>
      </c>
      <c r="L64" s="8">
        <f>'US Raw Data'!F64</f>
        <v>100.73997</v>
      </c>
      <c r="M64" s="8">
        <f t="shared" si="9"/>
        <v>0</v>
      </c>
    </row>
    <row r="65" spans="1:13" x14ac:dyDescent="0.35">
      <c r="A65" t="str">
        <f>'US Construction'!A65</f>
        <v>2013-Q2</v>
      </c>
      <c r="B65" s="8">
        <f>'US Construction'!B65-'US Construction'!D65</f>
        <v>-0.71004377091878013</v>
      </c>
      <c r="C65" s="8">
        <f>'US Construction'!H65</f>
        <v>2.4777950322404436</v>
      </c>
      <c r="D65" s="8">
        <f t="shared" si="5"/>
        <v>2.4595947688295356</v>
      </c>
      <c r="E65" s="8">
        <f>100*('US Raw Data'!B65/'US Raw Data'!B64-1)</f>
        <v>0.48352406378857626</v>
      </c>
      <c r="F65" s="8">
        <f>'US Raw Data'!F64</f>
        <v>100.73997</v>
      </c>
      <c r="G65" s="8">
        <f t="shared" si="6"/>
        <v>0.13170991213713995</v>
      </c>
      <c r="H65" s="8">
        <f t="shared" si="7"/>
        <v>-3.9664434194673319</v>
      </c>
      <c r="I65" s="8">
        <f t="shared" si="8"/>
        <v>100.05758</v>
      </c>
      <c r="J65" s="7">
        <f>(1+D65/400)*(F65/100*'US Raw Data'!B64)-B65/100*'US Raw Data'!B65/4+H65/100*'US Raw Data'!B65/4</f>
        <v>16738.319377974603</v>
      </c>
      <c r="K65" s="8">
        <f>J65/'US Raw Data'!B65*100</f>
        <v>100.05758</v>
      </c>
      <c r="L65" s="8">
        <f>'US Raw Data'!F65</f>
        <v>100.05758</v>
      </c>
      <c r="M65" s="8">
        <f t="shared" si="9"/>
        <v>0</v>
      </c>
    </row>
    <row r="66" spans="1:13" x14ac:dyDescent="0.35">
      <c r="A66" t="str">
        <f>'US Construction'!A66</f>
        <v>2013-Q3</v>
      </c>
      <c r="B66" s="8">
        <f>'US Construction'!B66-'US Construction'!D66</f>
        <v>-1.6907852959312208</v>
      </c>
      <c r="C66" s="8">
        <f>'US Construction'!H66</f>
        <v>2.4911817645939576</v>
      </c>
      <c r="D66" s="8">
        <f t="shared" si="5"/>
        <v>2.4897481675990538</v>
      </c>
      <c r="E66" s="8">
        <f>100*('US Raw Data'!B66/'US Raw Data'!B65-1)</f>
        <v>1.3458976188627236</v>
      </c>
      <c r="F66" s="8">
        <f>'US Raw Data'!F65</f>
        <v>100.05758</v>
      </c>
      <c r="G66" s="8">
        <f t="shared" si="6"/>
        <v>-0.71426388494332405</v>
      </c>
      <c r="H66" s="8">
        <f t="shared" si="7"/>
        <v>-4.1521697561579343</v>
      </c>
      <c r="I66" s="8">
        <f t="shared" si="8"/>
        <v>98.727969999999999</v>
      </c>
      <c r="J66" s="7">
        <f>(1+D66/400)*(F66/100*'US Raw Data'!B65)-B66/100*'US Raw Data'!B66/4+H66/100*'US Raw Data'!B66/4</f>
        <v>16738.180094488602</v>
      </c>
      <c r="K66" s="8">
        <f>J66/'US Raw Data'!B66*100</f>
        <v>98.727970000000013</v>
      </c>
      <c r="L66" s="8">
        <f>'US Raw Data'!F66</f>
        <v>98.727969999999999</v>
      </c>
      <c r="M66" s="8">
        <f t="shared" si="9"/>
        <v>0</v>
      </c>
    </row>
    <row r="67" spans="1:13" x14ac:dyDescent="0.35">
      <c r="A67" t="str">
        <f>'US Construction'!A67</f>
        <v>2013-Q4</v>
      </c>
      <c r="B67" s="8">
        <f>'US Construction'!B67-'US Construction'!D67</f>
        <v>-0.59211777278747846</v>
      </c>
      <c r="C67" s="8">
        <f>'US Construction'!H67</f>
        <v>2.5068129116250844</v>
      </c>
      <c r="D67" s="8">
        <f t="shared" si="5"/>
        <v>2.5391111674078628</v>
      </c>
      <c r="E67" s="8">
        <f>100*('US Raw Data'!B67/'US Raw Data'!B66-1)</f>
        <v>1.4048795322923358</v>
      </c>
      <c r="F67" s="8">
        <f>'US Raw Data'!F66</f>
        <v>98.727969999999999</v>
      </c>
      <c r="G67" s="8">
        <f t="shared" si="6"/>
        <v>-0.74977241605944467</v>
      </c>
      <c r="H67" s="8">
        <f t="shared" si="7"/>
        <v>6.6598118914502926</v>
      </c>
      <c r="I67" s="8">
        <f t="shared" si="8"/>
        <v>99.791180000000011</v>
      </c>
      <c r="J67" s="7">
        <f>(1+D67/400)*(F67/100*'US Raw Data'!B66)-B67/100*'US Raw Data'!B67/4+H67/100*'US Raw Data'!B67/4</f>
        <v>17156.118625924199</v>
      </c>
      <c r="K67" s="8">
        <f>J67/'US Raw Data'!B67*100</f>
        <v>99.791179999999997</v>
      </c>
      <c r="L67" s="8">
        <f>'US Raw Data'!F67</f>
        <v>99.791179999999997</v>
      </c>
      <c r="M67" s="8">
        <f t="shared" si="9"/>
        <v>0</v>
      </c>
    </row>
    <row r="68" spans="1:13" x14ac:dyDescent="0.35">
      <c r="A68" t="str">
        <f>'US Construction'!A68</f>
        <v>2014-Q1</v>
      </c>
      <c r="B68" s="8">
        <f>'US Construction'!B68-'US Construction'!D68</f>
        <v>-0.72458366327013479</v>
      </c>
      <c r="C68" s="8">
        <f>'US Construction'!H68</f>
        <v>2.5125146732329693</v>
      </c>
      <c r="D68" s="8">
        <f t="shared" si="5"/>
        <v>2.5177722853191731</v>
      </c>
      <c r="E68" s="8">
        <f>100*('US Raw Data'!B68/'US Raw Data'!B67-1)</f>
        <v>3.3265435548912592E-2</v>
      </c>
      <c r="F68" s="8">
        <f>'US Raw Data'!F67</f>
        <v>99.791179999999997</v>
      </c>
      <c r="G68" s="8">
        <f t="shared" si="6"/>
        <v>0.59473485650146829</v>
      </c>
      <c r="H68" s="8">
        <f t="shared" si="7"/>
        <v>7.1164369107240066</v>
      </c>
      <c r="I68" s="8">
        <f t="shared" si="8"/>
        <v>102.34617000000001</v>
      </c>
      <c r="J68" s="7">
        <f>(1+D68/400)*(F68/100*'US Raw Data'!B67)-B68/100*'US Raw Data'!B68/4+H68/100*'US Raw Data'!B68/4</f>
        <v>17601.226169634603</v>
      </c>
      <c r="K68" s="8">
        <f>J68/'US Raw Data'!B68*100</f>
        <v>102.34617000000001</v>
      </c>
      <c r="L68" s="8">
        <f>'US Raw Data'!F68</f>
        <v>102.34617</v>
      </c>
      <c r="M68" s="8">
        <f t="shared" si="9"/>
        <v>0</v>
      </c>
    </row>
    <row r="69" spans="1:13" x14ac:dyDescent="0.35">
      <c r="A69" t="str">
        <f>'US Construction'!A69</f>
        <v>2014-Q2</v>
      </c>
      <c r="B69" s="8">
        <f>'US Construction'!B69-'US Construction'!D69</f>
        <v>-0.80037637908433723</v>
      </c>
      <c r="C69" s="8">
        <f>'US Construction'!H69</f>
        <v>2.5586330016191661</v>
      </c>
      <c r="D69" s="8">
        <f t="shared" si="5"/>
        <v>2.4999792387142246</v>
      </c>
      <c r="E69" s="8">
        <f>100*('US Raw Data'!B69/'US Raw Data'!B68-1)</f>
        <v>1.8651871542641363</v>
      </c>
      <c r="F69" s="8">
        <f>'US Raw Data'!F68</f>
        <v>102.34617</v>
      </c>
      <c r="G69" s="8">
        <f t="shared" si="6"/>
        <v>-1.2460482337251717</v>
      </c>
      <c r="H69" s="8">
        <f t="shared" si="7"/>
        <v>-2.5956634441836286</v>
      </c>
      <c r="I69" s="8">
        <f t="shared" si="8"/>
        <v>100.65130000000001</v>
      </c>
      <c r="J69" s="7">
        <f>(1+D69/400)*(F69/100*'US Raw Data'!B68)-B69/100*'US Raw Data'!B69/4+H69/100*'US Raw Data'!B69/4</f>
        <v>17632.606042604002</v>
      </c>
      <c r="K69" s="8">
        <f>J69/'US Raw Data'!B69*100</f>
        <v>100.65129999999999</v>
      </c>
      <c r="L69" s="8">
        <f>'US Raw Data'!F69</f>
        <v>100.65130000000001</v>
      </c>
      <c r="M69" s="8">
        <f t="shared" si="9"/>
        <v>0</v>
      </c>
    </row>
    <row r="70" spans="1:13" x14ac:dyDescent="0.35">
      <c r="A70" t="str">
        <f>'US Construction'!A70</f>
        <v>2014-Q3</v>
      </c>
      <c r="B70" s="8">
        <f>'US Construction'!B70-'US Construction'!D70</f>
        <v>-1.0436734465543793</v>
      </c>
      <c r="C70" s="8">
        <f>'US Construction'!H70</f>
        <v>2.5236566949651191</v>
      </c>
      <c r="D70" s="8">
        <f t="shared" ref="D70:D101" si="10">C70*100/F70</f>
        <v>2.5073264776164033</v>
      </c>
      <c r="E70" s="8">
        <f>100*('US Raw Data'!B70/'US Raw Data'!B69-1)</f>
        <v>1.6309608101328976</v>
      </c>
      <c r="F70" s="8">
        <f>'US Raw Data'!F69</f>
        <v>100.65130000000001</v>
      </c>
      <c r="G70" s="8">
        <f t="shared" ref="G70:G101" si="11">((1+D70/400)/(1+E70/100)-1)*F70</f>
        <v>-0.99444999446196458</v>
      </c>
      <c r="H70" s="8">
        <f t="shared" ref="H70:H101" si="12">4*(L70-F70-G70+B70/4)</f>
        <v>0.77472653129347391</v>
      </c>
      <c r="I70" s="8">
        <f t="shared" ref="I70:I101" si="13">F70*(1+D70/400)/(1+E70/100)-B70/4+H70/4</f>
        <v>100.11145000000002</v>
      </c>
      <c r="J70" s="7">
        <f>(1+D70/400)*(F70/100*'US Raw Data'!B69)-B70/100*'US Raw Data'!B70/4+H70/100*'US Raw Data'!B70/4</f>
        <v>17824.070812105998</v>
      </c>
      <c r="K70" s="8">
        <f>J70/'US Raw Data'!B70*100</f>
        <v>100.11144999999999</v>
      </c>
      <c r="L70" s="8">
        <f>'US Raw Data'!F70</f>
        <v>100.11145</v>
      </c>
      <c r="M70" s="8">
        <f t="shared" ref="M70:M101" si="14">I70-L70</f>
        <v>0</v>
      </c>
    </row>
    <row r="71" spans="1:13" x14ac:dyDescent="0.35">
      <c r="A71" t="str">
        <f>'US Construction'!A71</f>
        <v>2014-Q4</v>
      </c>
      <c r="B71" s="8">
        <f>'US Construction'!B71-'US Construction'!D71</f>
        <v>-0.94388819968916238</v>
      </c>
      <c r="C71" s="8">
        <f>'US Construction'!H71</f>
        <v>2.4841459006254021</v>
      </c>
      <c r="D71" s="8">
        <f t="shared" si="10"/>
        <v>2.4813804021671868</v>
      </c>
      <c r="E71" s="8">
        <f>100*('US Raw Data'!B71/'US Raw Data'!B70-1)</f>
        <v>0.60576060922159503</v>
      </c>
      <c r="F71" s="8">
        <f>'US Raw Data'!F70</f>
        <v>100.11145</v>
      </c>
      <c r="G71" s="8">
        <f t="shared" si="11"/>
        <v>1.451283271191859E-2</v>
      </c>
      <c r="H71" s="8">
        <f t="shared" si="12"/>
        <v>3.6742604694631575</v>
      </c>
      <c r="I71" s="8">
        <f t="shared" si="13"/>
        <v>101.2805</v>
      </c>
      <c r="J71" s="7">
        <f>(1+D71/400)*(F71/100*'US Raw Data'!B70)-B71/100*'US Raw Data'!B71/4+H71/100*'US Raw Data'!B71/4</f>
        <v>18141.443171595005</v>
      </c>
      <c r="K71" s="8">
        <f>J71/'US Raw Data'!B71*100</f>
        <v>101.28050000000002</v>
      </c>
      <c r="L71" s="8">
        <f>'US Raw Data'!F71</f>
        <v>101.2805</v>
      </c>
      <c r="M71" s="8">
        <f t="shared" si="14"/>
        <v>0</v>
      </c>
    </row>
    <row r="72" spans="1:13" x14ac:dyDescent="0.35">
      <c r="A72" t="str">
        <f>'US Construction'!A72</f>
        <v>2015-Q1</v>
      </c>
      <c r="B72" s="8">
        <f>'US Construction'!B72-'US Construction'!D72</f>
        <v>-0.83035823177187851</v>
      </c>
      <c r="C72" s="8">
        <f>'US Construction'!H72</f>
        <v>2.3932956079526</v>
      </c>
      <c r="D72" s="8">
        <f t="shared" si="10"/>
        <v>2.3630369201895722</v>
      </c>
      <c r="E72" s="8">
        <f>100*('US Raw Data'!B72/'US Raw Data'!B71-1)</f>
        <v>0.84551882559247282</v>
      </c>
      <c r="F72" s="8">
        <f>'US Raw Data'!F71</f>
        <v>101.2805</v>
      </c>
      <c r="G72" s="8">
        <f t="shared" si="11"/>
        <v>-0.25585846071383761</v>
      </c>
      <c r="H72" s="8">
        <f t="shared" si="12"/>
        <v>-2.9685643889165618</v>
      </c>
      <c r="I72" s="8">
        <f t="shared" si="13"/>
        <v>100.49009000000001</v>
      </c>
      <c r="J72" s="7">
        <f>(1+D72/400)*(F72/100*'US Raw Data'!B71)-B72/100*'US Raw Data'!B72/4+H72/100*'US Raw Data'!B72/4</f>
        <v>18152.056549276098</v>
      </c>
      <c r="K72" s="8">
        <f>J72/'US Raw Data'!B72*100</f>
        <v>100.49009</v>
      </c>
      <c r="L72" s="8">
        <f>'US Raw Data'!F72</f>
        <v>100.49009</v>
      </c>
      <c r="M72" s="8">
        <f t="shared" si="14"/>
        <v>0</v>
      </c>
    </row>
    <row r="73" spans="1:13" x14ac:dyDescent="0.35">
      <c r="A73" t="str">
        <f>'US Construction'!A73</f>
        <v>2015-Q2</v>
      </c>
      <c r="B73" s="8">
        <f>'US Construction'!B73-'US Construction'!D73</f>
        <v>-0.65372763704428749</v>
      </c>
      <c r="C73" s="8">
        <f>'US Construction'!H73</f>
        <v>2.357662226467486</v>
      </c>
      <c r="D73" s="8">
        <f t="shared" si="10"/>
        <v>2.3461639117523787</v>
      </c>
      <c r="E73" s="8">
        <f>100*('US Raw Data'!B73/'US Raw Data'!B72-1)</f>
        <v>1.1971913129488865</v>
      </c>
      <c r="F73" s="8">
        <f>'US Raw Data'!F72</f>
        <v>100.49009</v>
      </c>
      <c r="G73" s="8">
        <f t="shared" si="11"/>
        <v>-0.60638350064477686</v>
      </c>
      <c r="H73" s="8">
        <f t="shared" si="12"/>
        <v>-2.9847936344651718</v>
      </c>
      <c r="I73" s="8">
        <f t="shared" si="13"/>
        <v>99.300940000000011</v>
      </c>
      <c r="J73" s="7">
        <f>(1+D73/400)*(F73/100*'US Raw Data'!B72)-B73/100*'US Raw Data'!B73/4+H73/100*'US Raw Data'!B73/4</f>
        <v>18151.9973419696</v>
      </c>
      <c r="K73" s="8">
        <f>J73/'US Raw Data'!B73*100</f>
        <v>99.300939999999997</v>
      </c>
      <c r="L73" s="8">
        <f>'US Raw Data'!F73</f>
        <v>99.300939999999997</v>
      </c>
      <c r="M73" s="8">
        <f t="shared" si="14"/>
        <v>0</v>
      </c>
    </row>
    <row r="74" spans="1:13" x14ac:dyDescent="0.35">
      <c r="A74" t="str">
        <f>'US Construction'!A74</f>
        <v>2015-Q3</v>
      </c>
      <c r="B74" s="8">
        <f>'US Construction'!B74-'US Construction'!D74</f>
        <v>-0.74648838097242276</v>
      </c>
      <c r="C74" s="8">
        <f>'US Construction'!H74</f>
        <v>2.3407333478338694</v>
      </c>
      <c r="D74" s="8">
        <f t="shared" si="10"/>
        <v>2.3572116717463798</v>
      </c>
      <c r="E74" s="8">
        <f>100*('US Raw Data'!B74/'US Raw Data'!B73-1)</f>
        <v>0.66653960462552675</v>
      </c>
      <c r="F74" s="8">
        <f>'US Raw Data'!F73</f>
        <v>99.300939999999997</v>
      </c>
      <c r="G74" s="8">
        <f t="shared" si="11"/>
        <v>-7.6188926537248264E-2</v>
      </c>
      <c r="H74" s="8">
        <f t="shared" si="12"/>
        <v>-3.1016926748234419</v>
      </c>
      <c r="I74" s="8">
        <f t="shared" si="13"/>
        <v>98.635949999999994</v>
      </c>
      <c r="J74" s="7">
        <f>(1+D74/400)*(F74/100*'US Raw Data'!B73)-B74/100*'US Raw Data'!B74/4+H74/100*'US Raw Data'!B74/4</f>
        <v>18150.618620546997</v>
      </c>
      <c r="K74" s="8">
        <f>J74/'US Raw Data'!B74*100</f>
        <v>98.63594999999998</v>
      </c>
      <c r="L74" s="8">
        <f>'US Raw Data'!F74</f>
        <v>98.635949999999994</v>
      </c>
      <c r="M74" s="8">
        <f t="shared" si="14"/>
        <v>0</v>
      </c>
    </row>
    <row r="75" spans="1:13" x14ac:dyDescent="0.35">
      <c r="A75" t="str">
        <f>'US Construction'!A75</f>
        <v>2015-Q4</v>
      </c>
      <c r="B75" s="8">
        <f>'US Construction'!B75-'US Construction'!D75</f>
        <v>-0.57374675327880098</v>
      </c>
      <c r="C75" s="8">
        <f>'US Construction'!H75</f>
        <v>2.3621934279068597</v>
      </c>
      <c r="D75" s="8">
        <f t="shared" si="10"/>
        <v>2.3948605228690552</v>
      </c>
      <c r="E75" s="8">
        <f>100*('US Raw Data'!B75/'US Raw Data'!B74-1)</f>
        <v>0.18210890711505279</v>
      </c>
      <c r="F75" s="8">
        <f>'US Raw Data'!F74</f>
        <v>98.635949999999994</v>
      </c>
      <c r="G75" s="8">
        <f t="shared" si="11"/>
        <v>0.41017653839783608</v>
      </c>
      <c r="H75" s="8">
        <f t="shared" si="12"/>
        <v>13.809427093129875</v>
      </c>
      <c r="I75" s="8">
        <f t="shared" si="13"/>
        <v>102.64192000000001</v>
      </c>
      <c r="J75" s="7">
        <f>(1+D75/400)*(F75/100*'US Raw Data'!B74)-B75/100*'US Raw Data'!B75/4+H75/100*'US Raw Data'!B75/4</f>
        <v>18922.178571430399</v>
      </c>
      <c r="K75" s="8">
        <f>J75/'US Raw Data'!B75*100</f>
        <v>102.64192000000001</v>
      </c>
      <c r="L75" s="8">
        <f>'US Raw Data'!F75</f>
        <v>102.64192</v>
      </c>
      <c r="M75" s="8">
        <f t="shared" si="14"/>
        <v>0</v>
      </c>
    </row>
    <row r="76" spans="1:13" x14ac:dyDescent="0.35">
      <c r="A76" t="str">
        <f>'US Construction'!A76</f>
        <v>2016-Q1</v>
      </c>
      <c r="B76" s="8">
        <f>'US Construction'!B76-'US Construction'!D76</f>
        <v>-1.0392782916790182</v>
      </c>
      <c r="C76" s="8">
        <f>'US Construction'!H76</f>
        <v>2.4205136094187965</v>
      </c>
      <c r="D76" s="8">
        <f t="shared" si="10"/>
        <v>2.3582115469184486</v>
      </c>
      <c r="E76" s="8">
        <f>100*('US Raw Data'!B76/'US Raw Data'!B75-1)</f>
        <v>0.49251600354258684</v>
      </c>
      <c r="F76" s="8">
        <f>'US Raw Data'!F75</f>
        <v>102.64192</v>
      </c>
      <c r="G76" s="8">
        <f t="shared" si="11"/>
        <v>9.9112375699506955E-2</v>
      </c>
      <c r="H76" s="8">
        <f t="shared" si="12"/>
        <v>3.9527522055229696</v>
      </c>
      <c r="I76" s="8">
        <f t="shared" si="13"/>
        <v>103.98904000000002</v>
      </c>
      <c r="J76" s="7">
        <f>(1+D76/400)*(F76/100*'US Raw Data'!B75)-B76/100*'US Raw Data'!B76/4+H76/100*'US Raw Data'!B76/4</f>
        <v>19264.9398777432</v>
      </c>
      <c r="K76" s="8">
        <f>J76/'US Raw Data'!B76*100</f>
        <v>103.98904</v>
      </c>
      <c r="L76" s="8">
        <f>'US Raw Data'!F76</f>
        <v>103.98904</v>
      </c>
      <c r="M76" s="8">
        <f t="shared" si="14"/>
        <v>0</v>
      </c>
    </row>
    <row r="77" spans="1:13" x14ac:dyDescent="0.35">
      <c r="A77" t="str">
        <f>'US Construction'!A77</f>
        <v>2016-Q2</v>
      </c>
      <c r="B77" s="8">
        <f>'US Construction'!B77-'US Construction'!D77</f>
        <v>-1.0756423974687088</v>
      </c>
      <c r="C77" s="8">
        <f>'US Construction'!H77</f>
        <v>2.4467917486261013</v>
      </c>
      <c r="D77" s="8">
        <f t="shared" si="10"/>
        <v>2.3529323365482564</v>
      </c>
      <c r="E77" s="8">
        <f>100*('US Raw Data'!B77/'US Raw Data'!B76-1)</f>
        <v>1.0027511165024761</v>
      </c>
      <c r="F77" s="8">
        <f>'US Raw Data'!F76</f>
        <v>103.98904</v>
      </c>
      <c r="G77" s="8">
        <f t="shared" si="11"/>
        <v>-0.42677384300797694</v>
      </c>
      <c r="H77" s="8">
        <f t="shared" si="12"/>
        <v>-1.0045070254368125</v>
      </c>
      <c r="I77" s="8">
        <f t="shared" si="13"/>
        <v>103.58005000000001</v>
      </c>
      <c r="J77" s="7">
        <f>(1+D77/400)*(F77/100*'US Raw Data'!B76)-B77/100*'US Raw Data'!B77/4+H77/100*'US Raw Data'!B77/4</f>
        <v>19381.590287450996</v>
      </c>
      <c r="K77" s="8">
        <f>J77/'US Raw Data'!B77*100</f>
        <v>103.58004999999997</v>
      </c>
      <c r="L77" s="8">
        <f>'US Raw Data'!F77</f>
        <v>103.58005</v>
      </c>
      <c r="M77" s="8">
        <f t="shared" si="14"/>
        <v>0</v>
      </c>
    </row>
    <row r="78" spans="1:13" x14ac:dyDescent="0.35">
      <c r="A78" t="str">
        <f>'US Construction'!A78</f>
        <v>2016-Q3</v>
      </c>
      <c r="B78" s="8">
        <f>'US Construction'!B78-'US Construction'!D78</f>
        <v>-1.1869966922037705</v>
      </c>
      <c r="C78" s="8">
        <f>'US Construction'!H78</f>
        <v>2.4450688665306872</v>
      </c>
      <c r="D78" s="8">
        <f t="shared" si="10"/>
        <v>2.3605596507538733</v>
      </c>
      <c r="E78" s="8">
        <f>100*('US Raw Data'!B78/'US Raw Data'!B77-1)</f>
        <v>0.96697243254513232</v>
      </c>
      <c r="F78" s="8">
        <f>'US Raw Data'!F77</f>
        <v>103.58005</v>
      </c>
      <c r="G78" s="8">
        <f t="shared" si="11"/>
        <v>-0.38658514074448835</v>
      </c>
      <c r="H78" s="8">
        <f t="shared" si="12"/>
        <v>0.45334387077417704</v>
      </c>
      <c r="I78" s="8">
        <f t="shared" si="13"/>
        <v>103.60355</v>
      </c>
      <c r="J78" s="7">
        <f>(1+D78/400)*(F78/100*'US Raw Data'!B77)-B78/100*'US Raw Data'!B78/4+H78/100*'US Raw Data'!B78/4</f>
        <v>19573.444692684498</v>
      </c>
      <c r="K78" s="8">
        <f>J78/'US Raw Data'!B78*100</f>
        <v>103.60354999999998</v>
      </c>
      <c r="L78" s="8">
        <f>'US Raw Data'!F78</f>
        <v>103.60355</v>
      </c>
      <c r="M78" s="8">
        <f t="shared" si="14"/>
        <v>0</v>
      </c>
    </row>
    <row r="79" spans="1:13" x14ac:dyDescent="0.35">
      <c r="A79" t="str">
        <f>'US Construction'!A79</f>
        <v>2016-Q4</v>
      </c>
      <c r="B79" s="8">
        <f>'US Construction'!B79-'US Construction'!D79</f>
        <v>-1.2254615511588902</v>
      </c>
      <c r="C79" s="8">
        <f>'US Construction'!H79</f>
        <v>2.4357846460730026</v>
      </c>
      <c r="D79" s="8">
        <f t="shared" si="10"/>
        <v>2.3510629182812774</v>
      </c>
      <c r="E79" s="8">
        <f>100*('US Raw Data'!B79/'US Raw Data'!B78-1)</f>
        <v>1.0413579595735856</v>
      </c>
      <c r="F79" s="8">
        <f>'US Raw Data'!F78</f>
        <v>103.60355</v>
      </c>
      <c r="G79" s="8">
        <f t="shared" si="11"/>
        <v>-0.4650943557147994</v>
      </c>
      <c r="H79" s="8">
        <f t="shared" si="12"/>
        <v>4.816355871700317</v>
      </c>
      <c r="I79" s="8">
        <f t="shared" si="13"/>
        <v>104.64891000000001</v>
      </c>
      <c r="J79" s="7">
        <f>(1+D79/400)*(F79/100*'US Raw Data'!B78)-B79/100*'US Raw Data'!B79/4+H79/100*'US Raw Data'!B79/4</f>
        <v>19976.827049268904</v>
      </c>
      <c r="K79" s="8">
        <f>J79/'US Raw Data'!B79*100</f>
        <v>104.64891000000003</v>
      </c>
      <c r="L79" s="8">
        <f>'US Raw Data'!F79</f>
        <v>104.64891</v>
      </c>
      <c r="M79" s="8">
        <f t="shared" si="14"/>
        <v>0</v>
      </c>
    </row>
    <row r="80" spans="1:13" x14ac:dyDescent="0.35">
      <c r="A80" t="str">
        <f>'US Construction'!A80</f>
        <v>2017-Q1</v>
      </c>
      <c r="B80" s="8">
        <f>'US Construction'!B80-'US Construction'!D80</f>
        <v>-1.2936095091701851</v>
      </c>
      <c r="C80" s="8">
        <f>'US Construction'!H80</f>
        <v>2.4132215091962914</v>
      </c>
      <c r="D80" s="8">
        <f t="shared" si="10"/>
        <v>2.3060168607549678</v>
      </c>
      <c r="E80" s="8">
        <f>100*('US Raw Data'!B80/'US Raw Data'!B79-1)</f>
        <v>0.99901102073565173</v>
      </c>
      <c r="F80" s="8">
        <f>'US Raw Data'!F79</f>
        <v>104.64891</v>
      </c>
      <c r="G80" s="8">
        <f t="shared" si="11"/>
        <v>-0.4377753427604309</v>
      </c>
      <c r="H80" s="8">
        <f t="shared" si="12"/>
        <v>-6.388508138128465</v>
      </c>
      <c r="I80" s="8">
        <f t="shared" si="13"/>
        <v>102.93741</v>
      </c>
      <c r="J80" s="7">
        <f>(1+D80/400)*(F80/100*'US Raw Data'!B79)-B80/100*'US Raw Data'!B80/4+H80/100*'US Raw Data'!B80/4</f>
        <v>19846.4191154244</v>
      </c>
      <c r="K80" s="8">
        <f>J80/'US Raw Data'!B80*100</f>
        <v>102.93741</v>
      </c>
      <c r="L80" s="8">
        <f>'US Raw Data'!F80</f>
        <v>102.93741</v>
      </c>
      <c r="M80" s="8">
        <f t="shared" si="14"/>
        <v>0</v>
      </c>
    </row>
    <row r="81" spans="1:13" x14ac:dyDescent="0.35">
      <c r="A81" t="str">
        <f>'US Construction'!A81</f>
        <v>2017-Q2</v>
      </c>
      <c r="B81" s="8">
        <f>'US Construction'!B81-'US Construction'!D81</f>
        <v>-1.3199789717831614</v>
      </c>
      <c r="C81" s="8">
        <f>'US Construction'!H81</f>
        <v>2.444045368267068</v>
      </c>
      <c r="D81" s="8">
        <f t="shared" si="10"/>
        <v>2.3743023729342596</v>
      </c>
      <c r="E81" s="8">
        <f>100*('US Raw Data'!B81/'US Raw Data'!B80-1)</f>
        <v>0.8223978692209144</v>
      </c>
      <c r="F81" s="8">
        <f>'US Raw Data'!F80</f>
        <v>102.93741</v>
      </c>
      <c r="G81" s="8">
        <f t="shared" si="11"/>
        <v>-0.23362241861173949</v>
      </c>
      <c r="H81" s="8">
        <f t="shared" si="12"/>
        <v>-3.7824492973361821</v>
      </c>
      <c r="I81" s="8">
        <f t="shared" si="13"/>
        <v>102.08816999999999</v>
      </c>
      <c r="J81" s="7">
        <f>(1+D81/400)*(F81/100*'US Raw Data'!B80)-B81/100*'US Raw Data'!B81/4+H81/100*'US Raw Data'!B81/4</f>
        <v>19844.554911533101</v>
      </c>
      <c r="K81" s="8">
        <f>J81/'US Raw Data'!B81*100</f>
        <v>102.08817000000001</v>
      </c>
      <c r="L81" s="8">
        <f>'US Raw Data'!F81</f>
        <v>102.08817000000001</v>
      </c>
      <c r="M81" s="8">
        <f t="shared" si="14"/>
        <v>0</v>
      </c>
    </row>
    <row r="82" spans="1:13" x14ac:dyDescent="0.35">
      <c r="A82" t="str">
        <f>'US Construction'!A82</f>
        <v>2017-Q3</v>
      </c>
      <c r="B82" s="8">
        <f>'US Construction'!B82-'US Construction'!D82</f>
        <v>-1.3220654768962667</v>
      </c>
      <c r="C82" s="8">
        <f>'US Construction'!H82</f>
        <v>2.4768035505359092</v>
      </c>
      <c r="D82" s="8">
        <f t="shared" si="10"/>
        <v>2.4261415897022243</v>
      </c>
      <c r="E82" s="8">
        <f>100*('US Raw Data'!B82/'US Raw Data'!B81-1)</f>
        <v>1.3064286431928362</v>
      </c>
      <c r="F82" s="8">
        <f>'US Raw Data'!F81</f>
        <v>102.08817000000001</v>
      </c>
      <c r="G82" s="8">
        <f t="shared" si="11"/>
        <v>-0.70529404315884758</v>
      </c>
      <c r="H82" s="8">
        <f t="shared" si="12"/>
        <v>4.3649506957391146</v>
      </c>
      <c r="I82" s="8">
        <f t="shared" si="13"/>
        <v>102.80463000000002</v>
      </c>
      <c r="J82" s="7">
        <f>(1+D82/400)*(F82/100*'US Raw Data'!B81)-B82/100*'US Raw Data'!B82/4+H82/100*'US Raw Data'!B82/4</f>
        <v>20244.899427148503</v>
      </c>
      <c r="K82" s="8">
        <f>J82/'US Raw Data'!B82*100</f>
        <v>102.80463</v>
      </c>
      <c r="L82" s="8">
        <f>'US Raw Data'!F82</f>
        <v>102.80463</v>
      </c>
      <c r="M82" s="8">
        <f t="shared" si="14"/>
        <v>0</v>
      </c>
    </row>
    <row r="83" spans="1:13" x14ac:dyDescent="0.35">
      <c r="A83" t="str">
        <f>'US Construction'!A83</f>
        <v>2017-Q4</v>
      </c>
      <c r="B83" s="8">
        <f>'US Construction'!B83-'US Construction'!D83</f>
        <v>-1.3677835821253055</v>
      </c>
      <c r="C83" s="8">
        <f>'US Construction'!H83</f>
        <v>2.5057185200833101</v>
      </c>
      <c r="D83" s="8">
        <f t="shared" si="10"/>
        <v>2.4373596014919854</v>
      </c>
      <c r="E83" s="8">
        <f>100*('US Raw Data'!B83/'US Raw Data'!B82-1)</f>
        <v>1.7493529928381601</v>
      </c>
      <c r="F83" s="8">
        <f>'US Raw Data'!F82</f>
        <v>102.80463</v>
      </c>
      <c r="G83" s="8">
        <f t="shared" si="11"/>
        <v>-1.1518365544229634</v>
      </c>
      <c r="H83" s="8">
        <f t="shared" si="12"/>
        <v>1.1173626355665274</v>
      </c>
      <c r="I83" s="8">
        <f t="shared" si="13"/>
        <v>102.27407999999998</v>
      </c>
      <c r="J83" s="7">
        <f>(1+D83/400)*(F83/100*'US Raw Data'!B82)-B83/100*'US Raw Data'!B83/4+H83/100*'US Raw Data'!B83/4</f>
        <v>20492.747410790394</v>
      </c>
      <c r="K83" s="8">
        <f>J83/'US Raw Data'!B83*100</f>
        <v>102.27407999999998</v>
      </c>
      <c r="L83" s="8">
        <f>'US Raw Data'!F83</f>
        <v>102.27408</v>
      </c>
      <c r="M83" s="8">
        <f t="shared" si="14"/>
        <v>0</v>
      </c>
    </row>
    <row r="84" spans="1:13" x14ac:dyDescent="0.35">
      <c r="A84" t="str">
        <f>'US Construction'!A84</f>
        <v>2018-Q1</v>
      </c>
      <c r="B84" s="8">
        <f>'US Construction'!B84-'US Construction'!D84</f>
        <v>-1.8528470767201206</v>
      </c>
      <c r="C84" s="8">
        <f>'US Construction'!H84</f>
        <v>2.5333970684762179</v>
      </c>
      <c r="D84" s="8">
        <f t="shared" si="10"/>
        <v>2.4770665925092827</v>
      </c>
      <c r="E84" s="8">
        <f>100*('US Raw Data'!B84/'US Raw Data'!B83-1)</f>
        <v>1.4546275386922547</v>
      </c>
      <c r="F84" s="8">
        <f>'US Raw Data'!F83</f>
        <v>102.27408</v>
      </c>
      <c r="G84" s="8">
        <f t="shared" si="11"/>
        <v>-0.84210812875859997</v>
      </c>
      <c r="H84" s="8">
        <f t="shared" si="12"/>
        <v>7.3950654383142798</v>
      </c>
      <c r="I84" s="8">
        <f t="shared" si="13"/>
        <v>103.74395000000001</v>
      </c>
      <c r="J84" s="7">
        <f>(1+D84/400)*(F84/100*'US Raw Data'!B83)-B84/100*'US Raw Data'!B84/4+H84/100*'US Raw Data'!B84/4</f>
        <v>21089.643860043503</v>
      </c>
      <c r="K84" s="8">
        <f>J84/'US Raw Data'!B84*100</f>
        <v>103.74395000000001</v>
      </c>
      <c r="L84" s="8">
        <f>'US Raw Data'!F84</f>
        <v>103.74395</v>
      </c>
      <c r="M84" s="8">
        <f t="shared" si="14"/>
        <v>0</v>
      </c>
    </row>
    <row r="85" spans="1:13" x14ac:dyDescent="0.35">
      <c r="A85" t="str">
        <f>'US Construction'!A85</f>
        <v>2018-Q2</v>
      </c>
      <c r="B85" s="8">
        <f>'US Construction'!B85-'US Construction'!D85</f>
        <v>-1.7942985228254216</v>
      </c>
      <c r="C85" s="8">
        <f>'US Construction'!H85</f>
        <v>2.6159166370572464</v>
      </c>
      <c r="D85" s="8">
        <f t="shared" si="10"/>
        <v>2.521512470902878</v>
      </c>
      <c r="E85" s="8">
        <f>100*('US Raw Data'!B85/'US Raw Data'!B84-1)</f>
        <v>1.241401687567234</v>
      </c>
      <c r="F85" s="8">
        <f>'US Raw Data'!F84</f>
        <v>103.74395</v>
      </c>
      <c r="G85" s="8">
        <f t="shared" si="11"/>
        <v>-0.62612723275089899</v>
      </c>
      <c r="H85" s="8">
        <f t="shared" si="12"/>
        <v>-2.3291495918218135</v>
      </c>
      <c r="I85" s="8">
        <f t="shared" si="13"/>
        <v>102.98411000000002</v>
      </c>
      <c r="J85" s="7">
        <f>(1+D85/400)*(F85/100*'US Raw Data'!B84)-B85/100*'US Raw Data'!B85/4+H85/100*'US Raw Data'!B85/4</f>
        <v>21195.069053083203</v>
      </c>
      <c r="K85" s="8">
        <f>J85/'US Raw Data'!B85*100</f>
        <v>102.98411</v>
      </c>
      <c r="L85" s="8">
        <f>'US Raw Data'!F85</f>
        <v>102.98411</v>
      </c>
      <c r="M85" s="8">
        <f t="shared" si="14"/>
        <v>0</v>
      </c>
    </row>
    <row r="86" spans="1:13" x14ac:dyDescent="0.35">
      <c r="A86" t="str">
        <f>'US Construction'!A86</f>
        <v>2018-Q3</v>
      </c>
      <c r="B86" s="8">
        <f>'US Construction'!B86-'US Construction'!D86</f>
        <v>-1.5766299192306512</v>
      </c>
      <c r="C86" s="8">
        <f>'US Construction'!H86</f>
        <v>2.681567269710885</v>
      </c>
      <c r="D86" s="8">
        <f t="shared" si="10"/>
        <v>2.6038650717192051</v>
      </c>
      <c r="E86" s="8">
        <f>100*('US Raw Data'!B86/'US Raw Data'!B85-1)</f>
        <v>1.0583496008340187</v>
      </c>
      <c r="F86" s="8">
        <f>'US Raw Data'!F85</f>
        <v>102.98411</v>
      </c>
      <c r="G86" s="8">
        <f t="shared" si="11"/>
        <v>-0.41514639941862408</v>
      </c>
      <c r="H86" s="8">
        <f t="shared" si="12"/>
        <v>1.9431156784438195</v>
      </c>
      <c r="I86" s="8">
        <f t="shared" si="13"/>
        <v>103.44889999999998</v>
      </c>
      <c r="J86" s="7">
        <f>(1+D86/400)*(F86/100*'US Raw Data'!B85)-B86/100*'US Raw Data'!B86/4+H86/100*'US Raw Data'!B86/4</f>
        <v>21516.057398969999</v>
      </c>
      <c r="K86" s="8">
        <f>J86/'US Raw Data'!B86*100</f>
        <v>103.44889999999999</v>
      </c>
      <c r="L86" s="8">
        <f>'US Raw Data'!F86</f>
        <v>103.44889999999999</v>
      </c>
      <c r="M86" s="8">
        <f t="shared" si="14"/>
        <v>0</v>
      </c>
    </row>
    <row r="87" spans="1:13" x14ac:dyDescent="0.35">
      <c r="A87" t="str">
        <f>'US Construction'!A87</f>
        <v>2018-Q4</v>
      </c>
      <c r="B87" s="8">
        <f>'US Construction'!B87-'US Construction'!D87</f>
        <v>-1.8604286947612785</v>
      </c>
      <c r="C87" s="8">
        <f>'US Construction'!H87</f>
        <v>2.74646096179911</v>
      </c>
      <c r="D87" s="8">
        <f t="shared" si="10"/>
        <v>2.6548962451984606</v>
      </c>
      <c r="E87" s="8">
        <f>100*('US Raw Data'!B87/'US Raw Data'!B86-1)</f>
        <v>0.5728090128579888</v>
      </c>
      <c r="F87" s="8">
        <f>'US Raw Data'!F86</f>
        <v>103.44889999999999</v>
      </c>
      <c r="G87" s="8">
        <f t="shared" si="11"/>
        <v>9.3514955454121085E-2</v>
      </c>
      <c r="H87" s="8">
        <f t="shared" si="12"/>
        <v>4.1675514834222369</v>
      </c>
      <c r="I87" s="8">
        <f t="shared" si="13"/>
        <v>105.04940999999999</v>
      </c>
      <c r="J87" s="7">
        <f>(1+D87/400)*(F87/100*'US Raw Data'!B86)-B87/100*'US Raw Data'!B87/4+H87/100*'US Raw Data'!B87/4</f>
        <v>21974.095868084696</v>
      </c>
      <c r="K87" s="8">
        <f>J87/'US Raw Data'!B87*100</f>
        <v>105.04940999999999</v>
      </c>
      <c r="L87" s="8">
        <f>'US Raw Data'!F87</f>
        <v>105.04940999999999</v>
      </c>
      <c r="M87" s="8">
        <f t="shared" si="14"/>
        <v>0</v>
      </c>
    </row>
    <row r="88" spans="1:13" x14ac:dyDescent="0.35">
      <c r="A88" t="str">
        <f>'US Construction'!A88</f>
        <v>2019-Q1</v>
      </c>
      <c r="B88" s="8">
        <f>'US Construction'!B88-'US Construction'!D88</f>
        <v>-2.1596420924989097</v>
      </c>
      <c r="C88" s="8">
        <f>'US Construction'!H88</f>
        <v>2.7713819960706325</v>
      </c>
      <c r="D88" s="8">
        <f t="shared" si="10"/>
        <v>2.6381699774140879</v>
      </c>
      <c r="E88" s="8">
        <f>100*('US Raw Data'!B88/'US Raw Data'!B87-1)</f>
        <v>0.92616039675554873</v>
      </c>
      <c r="F88" s="8">
        <f>'US Raw Data'!F87</f>
        <v>105.04940999999999</v>
      </c>
      <c r="G88" s="8">
        <f t="shared" si="11"/>
        <v>-0.2775103425382251</v>
      </c>
      <c r="H88" s="8">
        <f t="shared" si="12"/>
        <v>-3.8865607223459859</v>
      </c>
      <c r="I88" s="8">
        <f t="shared" si="13"/>
        <v>104.34017000000001</v>
      </c>
      <c r="J88" s="7">
        <f>(1+D88/400)*(F88/100*'US Raw Data'!B87)-B88/100*'US Raw Data'!B88/4+H88/100*'US Raw Data'!B88/4</f>
        <v>22027.879329719995</v>
      </c>
      <c r="K88" s="8">
        <f>J88/'US Raw Data'!B88*100</f>
        <v>104.34016999999997</v>
      </c>
      <c r="L88" s="8">
        <f>'US Raw Data'!F88</f>
        <v>104.34017</v>
      </c>
      <c r="M88" s="8">
        <f t="shared" si="14"/>
        <v>0</v>
      </c>
    </row>
    <row r="89" spans="1:13" x14ac:dyDescent="0.35">
      <c r="A89" t="str">
        <f>'US Construction'!A89</f>
        <v>2019-Q2</v>
      </c>
      <c r="B89" s="8">
        <f>'US Construction'!B89-'US Construction'!D89</f>
        <v>-2.1919074632331395</v>
      </c>
      <c r="C89" s="8">
        <f>'US Construction'!H89</f>
        <v>2.7776625172890737</v>
      </c>
      <c r="D89" s="8">
        <f t="shared" si="10"/>
        <v>2.6621219011710195</v>
      </c>
      <c r="E89" s="8">
        <f>100*('US Raw Data'!B89/'US Raw Data'!B88-1)</f>
        <v>1.3563064855340201</v>
      </c>
      <c r="F89" s="8">
        <f>'US Raw Data'!F88</f>
        <v>104.34017</v>
      </c>
      <c r="G89" s="8">
        <f t="shared" si="11"/>
        <v>-0.71111200515955519</v>
      </c>
      <c r="H89" s="8">
        <f t="shared" si="12"/>
        <v>-5.0183394425949297</v>
      </c>
      <c r="I89" s="8">
        <f t="shared" si="13"/>
        <v>102.92245</v>
      </c>
      <c r="J89" s="7">
        <f>(1+D89/400)*(F89/100*'US Raw Data'!B88)-B89/100*'US Raw Data'!B89/4+H89/100*'US Raw Data'!B89/4</f>
        <v>22023.282039081001</v>
      </c>
      <c r="K89" s="8">
        <f>J89/'US Raw Data'!B89*100</f>
        <v>102.92245000000003</v>
      </c>
      <c r="L89" s="8">
        <f>'US Raw Data'!F89</f>
        <v>102.92245</v>
      </c>
      <c r="M89" s="8">
        <f t="shared" si="14"/>
        <v>0</v>
      </c>
    </row>
    <row r="90" spans="1:13" x14ac:dyDescent="0.35">
      <c r="A90" t="str">
        <f>'US Construction'!A90</f>
        <v>2019-Q3</v>
      </c>
      <c r="B90" s="8">
        <f>'US Construction'!B90-'US Construction'!D90</f>
        <v>-2.2397852832673273</v>
      </c>
      <c r="C90" s="8">
        <f>'US Construction'!H90</f>
        <v>2.7023912304073412</v>
      </c>
      <c r="D90" s="8">
        <f t="shared" si="10"/>
        <v>2.6256576970401904</v>
      </c>
      <c r="E90" s="8">
        <f>100*('US Raw Data'!B90/'US Raw Data'!B89-1)</f>
        <v>1.4918867416103376</v>
      </c>
      <c r="F90" s="8">
        <f>'US Raw Data'!F89</f>
        <v>102.92245</v>
      </c>
      <c r="G90" s="8">
        <f t="shared" si="11"/>
        <v>-0.84724858872501185</v>
      </c>
      <c r="H90" s="8">
        <f t="shared" si="12"/>
        <v>7.9190890716327207</v>
      </c>
      <c r="I90" s="8">
        <f t="shared" si="13"/>
        <v>104.61492</v>
      </c>
      <c r="J90" s="7">
        <f>(1+D90/400)*(F90/100*'US Raw Data'!B89)-B90/100*'US Raw Data'!B90/4+H90/100*'US Raw Data'!B90/4</f>
        <v>22719.401067913197</v>
      </c>
      <c r="K90" s="8">
        <f>J90/'US Raw Data'!B90*100</f>
        <v>104.61491999999998</v>
      </c>
      <c r="L90" s="8">
        <f>'US Raw Data'!F90</f>
        <v>104.61492</v>
      </c>
      <c r="M90" s="8">
        <f t="shared" si="14"/>
        <v>0</v>
      </c>
    </row>
    <row r="91" spans="1:13" x14ac:dyDescent="0.35">
      <c r="A91" t="str">
        <f>'US Construction'!A91</f>
        <v>2019-Q4</v>
      </c>
      <c r="B91" s="8">
        <f>'US Construction'!B91-'US Construction'!D91</f>
        <v>-2.0752678460255041</v>
      </c>
      <c r="C91" s="8">
        <f>'US Construction'!H91</f>
        <v>2.598133062542999</v>
      </c>
      <c r="D91" s="8">
        <f t="shared" si="10"/>
        <v>2.4835205748310081</v>
      </c>
      <c r="E91" s="8">
        <f>100*('US Raw Data'!B91/'US Raw Data'!B90-1)</f>
        <v>0.99481649796837601</v>
      </c>
      <c r="F91" s="8">
        <f>'US Raw Data'!F90</f>
        <v>104.61492</v>
      </c>
      <c r="G91" s="8">
        <f t="shared" si="11"/>
        <v>-0.38733989666542046</v>
      </c>
      <c r="H91" s="8">
        <f t="shared" si="12"/>
        <v>4.1421317406361968</v>
      </c>
      <c r="I91" s="8">
        <f t="shared" si="13"/>
        <v>105.78193</v>
      </c>
      <c r="J91" s="7">
        <f>(1+D91/400)*(F91/100*'US Raw Data'!B90)-B91/100*'US Raw Data'!B91/4+H91/100*'US Raw Data'!B91/4</f>
        <v>23201.380253688101</v>
      </c>
      <c r="K91" s="8">
        <f>J91/'US Raw Data'!B91*100</f>
        <v>105.78193</v>
      </c>
      <c r="L91" s="8">
        <f>'US Raw Data'!F91</f>
        <v>105.78193</v>
      </c>
      <c r="M91" s="8">
        <f t="shared" si="14"/>
        <v>0</v>
      </c>
    </row>
    <row r="92" spans="1:13" x14ac:dyDescent="0.35">
      <c r="A92" t="str">
        <f>'US Construction'!A92</f>
        <v>2020-Q1</v>
      </c>
      <c r="B92" s="8">
        <f>'US Construction'!B92-'US Construction'!D92</f>
        <v>-2.4425414314348401</v>
      </c>
      <c r="C92" s="8">
        <f>'US Construction'!H92</f>
        <v>2.4808125502063834</v>
      </c>
      <c r="D92" s="8">
        <f t="shared" si="10"/>
        <v>2.3452139228376558</v>
      </c>
      <c r="E92" s="8">
        <f>100*('US Raw Data'!B92/'US Raw Data'!B91-1)</f>
        <v>-0.82969589002834798</v>
      </c>
      <c r="F92" s="8">
        <f>'US Raw Data'!F91</f>
        <v>105.78193</v>
      </c>
      <c r="G92" s="8">
        <f t="shared" si="11"/>
        <v>1.5104032165649361</v>
      </c>
      <c r="H92" s="8">
        <f t="shared" si="12"/>
        <v>-4.5315942976945793</v>
      </c>
      <c r="I92" s="8">
        <f t="shared" si="13"/>
        <v>106.77007</v>
      </c>
      <c r="J92" s="7">
        <f>(1+D92/400)*(F92/100*'US Raw Data'!B91)-B92/100*'US Raw Data'!B92/4+H92/100*'US Raw Data'!B92/4</f>
        <v>23223.812038466604</v>
      </c>
      <c r="K92" s="8">
        <f>J92/'US Raw Data'!B92*100</f>
        <v>106.77007</v>
      </c>
      <c r="L92" s="8">
        <f>'US Raw Data'!F92</f>
        <v>106.77007</v>
      </c>
      <c r="M92" s="8">
        <f t="shared" si="14"/>
        <v>0</v>
      </c>
    </row>
    <row r="93" spans="1:13" x14ac:dyDescent="0.35">
      <c r="A93" t="str">
        <f>'US Construction'!A93</f>
        <v>2020-Q2</v>
      </c>
      <c r="B93" s="8">
        <f>'US Construction'!B93-'US Construction'!D93</f>
        <v>-2.3352182464486368</v>
      </c>
      <c r="C93" s="8">
        <f>'US Construction'!H93</f>
        <v>2.3664721980422443</v>
      </c>
      <c r="D93" s="8">
        <f t="shared" si="10"/>
        <v>2.2164190751605242</v>
      </c>
      <c r="E93" s="8">
        <f>100*('US Raw Data'!B93/'US Raw Data'!B92-1)</f>
        <v>-8.2429652969637885</v>
      </c>
      <c r="F93" s="8">
        <f>'US Raw Data'!F92</f>
        <v>106.77007</v>
      </c>
      <c r="G93" s="8">
        <f t="shared" si="11"/>
        <v>10.236422632393204</v>
      </c>
      <c r="H93" s="8">
        <f t="shared" si="12"/>
        <v>60.290291223978528</v>
      </c>
      <c r="I93" s="8">
        <f t="shared" si="13"/>
        <v>132.66287</v>
      </c>
      <c r="J93" s="7">
        <f>(1+D93/400)*(F93/100*'US Raw Data'!B92)-B93/100*'US Raw Data'!B93/4+H93/100*'US Raw Data'!B93/4</f>
        <v>26477.241643551708</v>
      </c>
      <c r="K93" s="8">
        <f>J93/'US Raw Data'!B93*100</f>
        <v>132.66287000000003</v>
      </c>
      <c r="L93" s="8">
        <f>'US Raw Data'!F93</f>
        <v>132.66287</v>
      </c>
      <c r="M93" s="8">
        <f t="shared" si="14"/>
        <v>0</v>
      </c>
    </row>
    <row r="94" spans="1:13" x14ac:dyDescent="0.35">
      <c r="A94" t="str">
        <f>'US Construction'!A94</f>
        <v>2020-Q3</v>
      </c>
      <c r="B94" s="8">
        <f>'US Construction'!B94-'US Construction'!D94</f>
        <v>-2.720206249987676</v>
      </c>
      <c r="C94" s="8">
        <f>'US Construction'!H94</f>
        <v>2.5453632277432972</v>
      </c>
      <c r="D94" s="8">
        <f t="shared" si="10"/>
        <v>1.9186704069822227</v>
      </c>
      <c r="E94" s="8">
        <f>100*('US Raw Data'!B94/'US Raw Data'!B93-1)</f>
        <v>8.7489755510629763</v>
      </c>
      <c r="F94" s="8">
        <f>'US Raw Data'!F93</f>
        <v>132.66287</v>
      </c>
      <c r="G94" s="8">
        <f t="shared" si="11"/>
        <v>-10.087728366279217</v>
      </c>
      <c r="H94" s="8">
        <f t="shared" si="12"/>
        <v>3.5669072151291772</v>
      </c>
      <c r="I94" s="8">
        <f t="shared" si="13"/>
        <v>124.14691999999999</v>
      </c>
      <c r="J94" s="7">
        <f>(1+D94/400)*(F94/100*'US Raw Data'!B93)-B94/100*'US Raw Data'!B94/4+H94/100*'US Raw Data'!B94/4</f>
        <v>26945.3900388404</v>
      </c>
      <c r="K94" s="8">
        <f>J94/'US Raw Data'!B94*100</f>
        <v>124.14691999999998</v>
      </c>
      <c r="L94" s="8">
        <f>'US Raw Data'!F94</f>
        <v>124.14691999999999</v>
      </c>
      <c r="M94" s="8">
        <f t="shared" si="14"/>
        <v>0</v>
      </c>
    </row>
    <row r="95" spans="1:13" x14ac:dyDescent="0.35">
      <c r="A95" t="str">
        <f>'US Construction'!A95</f>
        <v>2020-Q4</v>
      </c>
      <c r="B95" s="8">
        <f>'US Construction'!B95-'US Construction'!D95</f>
        <v>-2.5356259029310024</v>
      </c>
      <c r="C95" s="8">
        <f>'US Construction'!H95</f>
        <v>2.3806699063421912</v>
      </c>
      <c r="D95" s="8">
        <f t="shared" si="10"/>
        <v>1.9176230117849007</v>
      </c>
      <c r="E95" s="8">
        <f>100*('US Raw Data'!B95/'US Raw Data'!B94-1)</f>
        <v>1.7633399106367076</v>
      </c>
      <c r="F95" s="8">
        <f>'US Raw Data'!F94</f>
        <v>124.14691999999999</v>
      </c>
      <c r="G95" s="8">
        <f t="shared" si="11"/>
        <v>-1.5663447298412274</v>
      </c>
      <c r="H95" s="8">
        <f t="shared" si="12"/>
        <v>9.6566330164339469</v>
      </c>
      <c r="I95" s="8">
        <f t="shared" si="13"/>
        <v>125.62863999999999</v>
      </c>
      <c r="J95" s="7">
        <f>(1+D95/400)*(F95/100*'US Raw Data'!B94)-B95/100*'US Raw Data'!B95/4+H95/100*'US Raw Data'!B95/4</f>
        <v>27747.798722624004</v>
      </c>
      <c r="K95" s="8">
        <f>J95/'US Raw Data'!B95*100</f>
        <v>125.62864000000002</v>
      </c>
      <c r="L95" s="8">
        <f>'US Raw Data'!F95</f>
        <v>125.62864</v>
      </c>
      <c r="M95" s="8">
        <f t="shared" si="14"/>
        <v>0</v>
      </c>
    </row>
    <row r="96" spans="1:13" x14ac:dyDescent="0.35">
      <c r="A96" t="str">
        <f>'US Construction'!A96</f>
        <v>2021-Q1</v>
      </c>
      <c r="B96" s="8">
        <f>'US Construction'!B96-'US Construction'!D96</f>
        <v>-2.3286387086141573</v>
      </c>
      <c r="C96" s="8">
        <f>'US Construction'!H96</f>
        <v>2.4155119988264677</v>
      </c>
      <c r="D96" s="8">
        <f t="shared" si="10"/>
        <v>1.9227399093283728</v>
      </c>
      <c r="E96" s="8">
        <f>100*('US Raw Data'!B96/'US Raw Data'!B95-1)</f>
        <v>2.6872309522817828</v>
      </c>
      <c r="F96" s="8">
        <f>'US Raw Data'!F95</f>
        <v>125.62864</v>
      </c>
      <c r="G96" s="8">
        <f t="shared" si="11"/>
        <v>-2.6995115883416938</v>
      </c>
      <c r="H96" s="8">
        <f t="shared" si="12"/>
        <v>2.1049276447526033</v>
      </c>
      <c r="I96" s="8">
        <f t="shared" si="13"/>
        <v>124.03752</v>
      </c>
      <c r="J96" s="7">
        <f>(1+D96/400)*(F96/100*'US Raw Data'!B95)-B96/100*'US Raw Data'!B96/4+H96/100*'US Raw Data'!B96/4</f>
        <v>28132.569116013601</v>
      </c>
      <c r="K96" s="8">
        <f>J96/'US Raw Data'!B96*100</f>
        <v>124.03752000000001</v>
      </c>
      <c r="L96" s="8">
        <f>'US Raw Data'!F96</f>
        <v>124.03752</v>
      </c>
      <c r="M96" s="8">
        <f t="shared" si="14"/>
        <v>0</v>
      </c>
    </row>
    <row r="97" spans="1:13" x14ac:dyDescent="0.35">
      <c r="A97" t="str">
        <f>'US Construction'!A97</f>
        <v>2021-Q2</v>
      </c>
      <c r="B97" s="8">
        <f>'US Construction'!B97-'US Construction'!D97</f>
        <v>-2.0841999966351104</v>
      </c>
      <c r="C97" s="8">
        <f>'US Construction'!H97</f>
        <v>2.471855688007417</v>
      </c>
      <c r="D97" s="8">
        <f t="shared" si="10"/>
        <v>1.992829014968549</v>
      </c>
      <c r="E97" s="8">
        <f>100*('US Raw Data'!B97/'US Raw Data'!B96-1)</f>
        <v>3.2856888455745192</v>
      </c>
      <c r="F97" s="8">
        <f>'US Raw Data'!F96</f>
        <v>124.03752</v>
      </c>
      <c r="G97" s="8">
        <f t="shared" si="11"/>
        <v>-3.3475335020855064</v>
      </c>
      <c r="H97" s="8">
        <f t="shared" si="12"/>
        <v>2.2991340117069168</v>
      </c>
      <c r="I97" s="8">
        <f t="shared" si="13"/>
        <v>121.78582</v>
      </c>
      <c r="J97" s="7">
        <f>(1+D97/400)*(F97/100*'US Raw Data'!B96)-B97/100*'US Raw Data'!B97/4+H97/100*'US Raw Data'!B97/4</f>
        <v>28529.436585961997</v>
      </c>
      <c r="K97" s="8">
        <f>J97/'US Raw Data'!B97*100</f>
        <v>121.78582</v>
      </c>
      <c r="L97" s="8">
        <f>'US Raw Data'!F97</f>
        <v>121.78582</v>
      </c>
      <c r="M97" s="8">
        <f t="shared" si="14"/>
        <v>0</v>
      </c>
    </row>
    <row r="98" spans="1:13" x14ac:dyDescent="0.35">
      <c r="A98" t="str">
        <f>'US Construction'!A98</f>
        <v>2021-Q3</v>
      </c>
      <c r="B98" s="8">
        <f>'US Construction'!B98-'US Construction'!D98</f>
        <v>-2.0457855194584447</v>
      </c>
      <c r="C98" s="8">
        <f>'US Construction'!H98</f>
        <v>2.5096997299144408</v>
      </c>
      <c r="D98" s="8">
        <f t="shared" si="10"/>
        <v>2.060748722564286</v>
      </c>
      <c r="E98" s="8">
        <f>100*('US Raw Data'!B98/'US Raw Data'!B97-1)</f>
        <v>2.3754424054390988</v>
      </c>
      <c r="F98" s="8">
        <f>'US Raw Data'!F97</f>
        <v>121.78582</v>
      </c>
      <c r="G98" s="8">
        <f t="shared" si="11"/>
        <v>-2.2129595012062726</v>
      </c>
      <c r="H98" s="8">
        <f t="shared" si="12"/>
        <v>-6.1737875146333785</v>
      </c>
      <c r="I98" s="8">
        <f t="shared" si="13"/>
        <v>118.54086</v>
      </c>
      <c r="J98" s="7">
        <f>(1+D98/400)*(F98/100*'US Raw Data'!B97)-B98/100*'US Raw Data'!B98/4+H98/100*'US Raw Data'!B98/4</f>
        <v>28428.918315059396</v>
      </c>
      <c r="K98" s="8">
        <f>J98/'US Raw Data'!B98*100</f>
        <v>118.54085999999997</v>
      </c>
      <c r="L98" s="8">
        <f>'US Raw Data'!F98</f>
        <v>118.54086</v>
      </c>
      <c r="M98" s="8">
        <f t="shared" si="14"/>
        <v>0</v>
      </c>
    </row>
    <row r="99" spans="1:13" x14ac:dyDescent="0.35">
      <c r="A99" t="str">
        <f>'US Construction'!A99</f>
        <v>2021-Q4</v>
      </c>
      <c r="B99" s="8">
        <f>'US Construction'!B99-'US Construction'!D99</f>
        <v>-2.1812578766856241</v>
      </c>
      <c r="C99" s="8">
        <f>'US Construction'!H99</f>
        <v>2.5530494701964308</v>
      </c>
      <c r="D99" s="8">
        <f t="shared" si="10"/>
        <v>2.1537294990068663</v>
      </c>
      <c r="E99" s="8">
        <f>100*('US Raw Data'!B99/'US Raw Data'!B98-1)</f>
        <v>3.4659655741408946</v>
      </c>
      <c r="F99" s="8">
        <f>'US Raw Data'!F98</f>
        <v>118.54086</v>
      </c>
      <c r="G99" s="8">
        <f t="shared" si="11"/>
        <v>-3.3540720487982307</v>
      </c>
      <c r="H99" s="8">
        <f t="shared" si="12"/>
        <v>14.506790318507328</v>
      </c>
      <c r="I99" s="8">
        <f t="shared" si="13"/>
        <v>119.35880000000002</v>
      </c>
      <c r="J99" s="7">
        <f>(1+D99/400)*(F99/100*'US Raw Data'!B98)-B99/100*'US Raw Data'!B99/4+H99/100*'US Raw Data'!B99/4</f>
        <v>29617.215196799996</v>
      </c>
      <c r="K99" s="8">
        <f>J99/'US Raw Data'!B99*100</f>
        <v>119.35879999999999</v>
      </c>
      <c r="L99" s="8">
        <f>'US Raw Data'!F99</f>
        <v>119.3588</v>
      </c>
      <c r="M99" s="8">
        <f t="shared" si="14"/>
        <v>0</v>
      </c>
    </row>
    <row r="100" spans="1:13" x14ac:dyDescent="0.35">
      <c r="A100" t="str">
        <f>'US Construction'!A100</f>
        <v>2022-Q1</v>
      </c>
      <c r="B100" s="8">
        <f>'US Construction'!B100-'US Construction'!D100</f>
        <v>-1.1514099192379419</v>
      </c>
      <c r="C100" s="8">
        <f>'US Construction'!H100</f>
        <v>2.5670116387787343</v>
      </c>
      <c r="D100" s="8">
        <f t="shared" si="10"/>
        <v>2.1506681022084124</v>
      </c>
      <c r="E100" s="8">
        <f>100*('US Raw Data'!B100/'US Raw Data'!B99-1)</f>
        <v>1.7601113905277854</v>
      </c>
      <c r="F100" s="8">
        <f>'US Raw Data'!F99</f>
        <v>119.3588</v>
      </c>
      <c r="G100" s="8">
        <f t="shared" si="11"/>
        <v>-1.4338574366364174</v>
      </c>
      <c r="H100" s="8">
        <f t="shared" si="12"/>
        <v>8.7415798273077172</v>
      </c>
      <c r="I100" s="8">
        <f t="shared" si="13"/>
        <v>120.39819</v>
      </c>
      <c r="J100" s="7">
        <f>(1+D100/400)*(F100/100*'US Raw Data'!B99)-B100/100*'US Raw Data'!B100/4+H100/100*'US Raw Data'!B100/4</f>
        <v>30400.960756719302</v>
      </c>
      <c r="K100" s="8">
        <f>J100/'US Raw Data'!B100*100</f>
        <v>120.39819</v>
      </c>
      <c r="L100" s="8">
        <f>'US Raw Data'!F100</f>
        <v>120.39819</v>
      </c>
      <c r="M100" s="8">
        <f t="shared" si="14"/>
        <v>0</v>
      </c>
    </row>
    <row r="101" spans="1:13" x14ac:dyDescent="0.35">
      <c r="A101" t="str">
        <f>'US Construction'!A101</f>
        <v>2022-Q2</v>
      </c>
      <c r="B101" s="8">
        <f>'US Construction'!B101-'US Construction'!D101</f>
        <v>-1.005862352120694</v>
      </c>
      <c r="C101" s="8">
        <f>'US Construction'!H101</f>
        <v>2.711875603135276</v>
      </c>
      <c r="D101" s="8">
        <f t="shared" si="10"/>
        <v>2.2524222358619141</v>
      </c>
      <c r="E101" s="8">
        <f>100*('US Raw Data'!B101/'US Raw Data'!B100-1)</f>
        <v>2.4195509075578325</v>
      </c>
      <c r="F101" s="8">
        <f>'US Raw Data'!F100</f>
        <v>120.39819</v>
      </c>
      <c r="G101" s="8">
        <f t="shared" si="11"/>
        <v>-2.1823241541663982</v>
      </c>
      <c r="H101" s="8">
        <f t="shared" si="12"/>
        <v>-1.0610457354550746</v>
      </c>
      <c r="I101" s="8">
        <f t="shared" si="13"/>
        <v>118.20207000000001</v>
      </c>
      <c r="J101" s="7">
        <f>(1+D101/400)*(F101/100*'US Raw Data'!B100)-B101/100*'US Raw Data'!B101/4+H101/100*'US Raw Data'!B101/4</f>
        <v>30568.582472744405</v>
      </c>
      <c r="K101" s="8">
        <f>J101/'US Raw Data'!B101*100</f>
        <v>118.20207000000001</v>
      </c>
      <c r="L101" s="8">
        <f>'US Raw Data'!F101</f>
        <v>118.20207000000001</v>
      </c>
      <c r="M101" s="8">
        <f t="shared" si="14"/>
        <v>0</v>
      </c>
    </row>
    <row r="102" spans="1:13" x14ac:dyDescent="0.35">
      <c r="A102" t="str">
        <f>'US Construction'!A102</f>
        <v>2022-Q3</v>
      </c>
      <c r="B102" s="8">
        <f>'US Construction'!B102-'US Construction'!D102</f>
        <v>-1.0526837782552931</v>
      </c>
      <c r="C102" s="8">
        <f>'US Construction'!H102</f>
        <v>2.9081339014307561</v>
      </c>
      <c r="D102" s="8">
        <f t="shared" ref="D102:D115" si="15">C102*100/F102</f>
        <v>2.4603070838190533</v>
      </c>
      <c r="E102" s="8">
        <f>100*('US Raw Data'!B102/'US Raw Data'!B101-1)</f>
        <v>1.8367682480828762</v>
      </c>
      <c r="F102" s="8">
        <f>'US Raw Data'!F101</f>
        <v>118.20207000000001</v>
      </c>
      <c r="G102" s="8">
        <f t="shared" ref="G102:G115" si="16">((1+D102/400)/(1+E102/100)-1)*F102</f>
        <v>-1.4180188941789156</v>
      </c>
      <c r="H102" s="8">
        <f t="shared" ref="H102:H115" si="17">4*(L102-F102-G102+B102/4)</f>
        <v>1.5643917984603624</v>
      </c>
      <c r="I102" s="8">
        <f t="shared" ref="I102:I115" si="18">F102*(1+D102/400)/(1+E102/100)-B102/4+H102/4</f>
        <v>117.43832</v>
      </c>
      <c r="J102" s="7">
        <f>(1+D102/400)*(F102/100*'US Raw Data'!B101)-B102/100*'US Raw Data'!B102/4+H102/100*'US Raw Data'!B102/4</f>
        <v>30928.912967692795</v>
      </c>
      <c r="K102" s="8">
        <f>J102/'US Raw Data'!B102*100</f>
        <v>117.43831999999999</v>
      </c>
      <c r="L102" s="8">
        <f>'US Raw Data'!F102</f>
        <v>117.43832</v>
      </c>
      <c r="M102" s="8">
        <f t="shared" ref="M102:M115" si="19">I102-L102</f>
        <v>0</v>
      </c>
    </row>
    <row r="103" spans="1:13" x14ac:dyDescent="0.35">
      <c r="A103" t="str">
        <f>'US Construction'!A103</f>
        <v>2022-Q4</v>
      </c>
      <c r="B103" s="8">
        <f>'US Construction'!B103-'US Construction'!D103</f>
        <v>-1.4660532853422268</v>
      </c>
      <c r="C103" s="8">
        <f>'US Construction'!H103</f>
        <v>3.1253664143609519</v>
      </c>
      <c r="D103" s="8">
        <f t="shared" si="15"/>
        <v>2.6612833139651109</v>
      </c>
      <c r="E103" s="8">
        <f>100*('US Raw Data'!B103/'US Raw Data'!B102-1)</f>
        <v>1.6487127426840109</v>
      </c>
      <c r="F103" s="8">
        <f>'US Raw Data'!F102</f>
        <v>117.43832</v>
      </c>
      <c r="G103" s="8">
        <f t="shared" si="16"/>
        <v>-1.1361471403649621</v>
      </c>
      <c r="H103" s="8">
        <f t="shared" si="17"/>
        <v>2.7923752761176264</v>
      </c>
      <c r="I103" s="8">
        <f t="shared" si="18"/>
        <v>117.36678000000001</v>
      </c>
      <c r="J103" s="7">
        <f>(1+D103/400)*(F103/100*'US Raw Data'!B102)-B103/100*'US Raw Data'!B103/4+H103/100*'US Raw Data'!B103/4</f>
        <v>31419.690271249201</v>
      </c>
      <c r="K103" s="8">
        <f>J103/'US Raw Data'!B103*100</f>
        <v>117.36678000000001</v>
      </c>
      <c r="L103" s="8">
        <f>'US Raw Data'!F103</f>
        <v>117.36678000000001</v>
      </c>
      <c r="M103" s="8">
        <f t="shared" si="19"/>
        <v>0</v>
      </c>
    </row>
    <row r="104" spans="1:13" x14ac:dyDescent="0.35">
      <c r="A104" t="str">
        <f>'US Construction'!A104</f>
        <v>2023-Q1</v>
      </c>
      <c r="B104" s="8">
        <f>'US Construction'!B104-'US Construction'!D104</f>
        <v>-3.0141262020076525</v>
      </c>
      <c r="C104" s="8">
        <f>'US Construction'!H104</f>
        <v>3.2172225008455202</v>
      </c>
      <c r="D104" s="8">
        <f t="shared" si="15"/>
        <v>2.7411696059528259</v>
      </c>
      <c r="E104" s="8">
        <f>100*('US Raw Data'!B104/'US Raw Data'!B103-1)</f>
        <v>1.66575434450007</v>
      </c>
      <c r="F104" s="8">
        <f>'US Raw Data'!F103</f>
        <v>117.36678000000001</v>
      </c>
      <c r="G104" s="8">
        <f t="shared" si="16"/>
        <v>-1.1318822341485164</v>
      </c>
      <c r="H104" s="8">
        <f t="shared" si="17"/>
        <v>-5.6091572654136082</v>
      </c>
      <c r="I104" s="8">
        <f t="shared" si="18"/>
        <v>115.58614</v>
      </c>
      <c r="J104" s="7">
        <f>(1+D104/400)*(F104/100*'US Raw Data'!B103)-B104/100*'US Raw Data'!B104/4+H104/100*'US Raw Data'!B104/4</f>
        <v>31458.438220723001</v>
      </c>
      <c r="K104" s="8">
        <f>J104/'US Raw Data'!B104*100</f>
        <v>115.58614</v>
      </c>
      <c r="L104" s="8">
        <f>'US Raw Data'!F104</f>
        <v>115.58614</v>
      </c>
      <c r="M104" s="8">
        <f t="shared" si="19"/>
        <v>0</v>
      </c>
    </row>
    <row r="105" spans="1:13" x14ac:dyDescent="0.35">
      <c r="A105" t="str">
        <f>'US Construction'!A105</f>
        <v>2023-Q2</v>
      </c>
      <c r="B105" s="8">
        <f>'US Construction'!B105-'US Construction'!D105</f>
        <v>-3.0082540699609908</v>
      </c>
      <c r="C105" s="8">
        <f>'US Construction'!H105</f>
        <v>3.2851682135561791</v>
      </c>
      <c r="D105" s="8">
        <f t="shared" si="15"/>
        <v>2.8421817819646704</v>
      </c>
      <c r="E105" s="8">
        <f>100*('US Raw Data'!B105/'US Raw Data'!B104-1)</f>
        <v>1.1522812770000002</v>
      </c>
      <c r="F105" s="8">
        <f>'US Raw Data'!F104</f>
        <v>115.58614</v>
      </c>
      <c r="G105" s="8">
        <f t="shared" si="16"/>
        <v>-0.50476903752646385</v>
      </c>
      <c r="H105" s="8">
        <f t="shared" si="17"/>
        <v>6.4404620801448704</v>
      </c>
      <c r="I105" s="8">
        <f t="shared" si="18"/>
        <v>117.44355</v>
      </c>
      <c r="J105" s="7">
        <f>(1+D105/400)*(F105/100*'US Raw Data'!B104)-B105/100*'US Raw Data'!B105/4+H105/100*'US Raw Data'!B105/4</f>
        <v>32332.273908952506</v>
      </c>
      <c r="K105" s="8">
        <f>J105/'US Raw Data'!B105*100</f>
        <v>117.44355000000002</v>
      </c>
      <c r="L105" s="8">
        <f>'US Raw Data'!F105</f>
        <v>117.44355</v>
      </c>
      <c r="M105" s="8">
        <f t="shared" si="19"/>
        <v>0</v>
      </c>
    </row>
    <row r="106" spans="1:13" x14ac:dyDescent="0.35">
      <c r="A106" t="str">
        <f>'US Construction'!A106</f>
        <v>2023-Q3</v>
      </c>
      <c r="B106" s="8">
        <f>'US Construction'!B106-'US Construction'!D106</f>
        <v>-2.69347514853688</v>
      </c>
      <c r="C106" s="8">
        <f>'US Construction'!H106</f>
        <v>3.5121578943449259</v>
      </c>
      <c r="D106" s="8">
        <f t="shared" si="15"/>
        <v>2.9905072644218653</v>
      </c>
      <c r="E106" s="8">
        <f>100*('US Raw Data'!B106/'US Raw Data'!B105-1)</f>
        <v>1.9788954290138605</v>
      </c>
      <c r="F106" s="8">
        <f>'US Raw Data'!F105</f>
        <v>117.44355</v>
      </c>
      <c r="G106" s="8">
        <f t="shared" si="16"/>
        <v>-1.4179851261891174</v>
      </c>
      <c r="H106" s="8">
        <f t="shared" si="17"/>
        <v>5.760145356219585</v>
      </c>
      <c r="I106" s="8">
        <f t="shared" si="18"/>
        <v>118.13897000000001</v>
      </c>
      <c r="J106" s="7">
        <f>(1+D106/400)*(F106/100*'US Raw Data'!B105)-B106/100*'US Raw Data'!B106/4+H106/100*'US Raw Data'!B106/4</f>
        <v>33167.333893486197</v>
      </c>
      <c r="K106" s="8">
        <f>J106/'US Raw Data'!B106*100</f>
        <v>118.13896999999997</v>
      </c>
      <c r="L106" s="8">
        <f>'US Raw Data'!F106</f>
        <v>118.13897</v>
      </c>
      <c r="M106" s="8">
        <f t="shared" si="19"/>
        <v>0</v>
      </c>
    </row>
    <row r="107" spans="1:13" x14ac:dyDescent="0.35">
      <c r="A107" t="str">
        <f>'US Construction'!A107</f>
        <v>2023-Q4</v>
      </c>
      <c r="B107" s="8">
        <f>'US Construction'!B107-'US Construction'!D107</f>
        <v>-2.4981915390412581</v>
      </c>
      <c r="C107" s="8">
        <f>'US Construction'!H107</f>
        <v>3.6740290578975925</v>
      </c>
      <c r="D107" s="8">
        <f t="shared" si="15"/>
        <v>3.1099213560923991</v>
      </c>
      <c r="E107" s="8">
        <f>100*('US Raw Data'!B107/'US Raw Data'!B106-1)</f>
        <v>1.2462258920316049</v>
      </c>
      <c r="F107" s="8">
        <f>'US Raw Data'!F106</f>
        <v>118.13897</v>
      </c>
      <c r="G107" s="8">
        <f t="shared" si="16"/>
        <v>-0.54695487497538875</v>
      </c>
      <c r="H107" s="8">
        <f t="shared" si="17"/>
        <v>5.6115079608602834</v>
      </c>
      <c r="I107" s="8">
        <f t="shared" si="18"/>
        <v>119.61944000000001</v>
      </c>
      <c r="J107" s="7">
        <f>(1+D107/400)*(F107/100*'US Raw Data'!B106)-B107/100*'US Raw Data'!B107/4+H107/100*'US Raw Data'!B107/4</f>
        <v>34001.493277956804</v>
      </c>
      <c r="K107" s="8">
        <f>J107/'US Raw Data'!B107*100</f>
        <v>119.61944</v>
      </c>
      <c r="L107" s="8">
        <f>'US Raw Data'!F107</f>
        <v>119.61944</v>
      </c>
      <c r="M107" s="8">
        <f t="shared" si="19"/>
        <v>0</v>
      </c>
    </row>
    <row r="108" spans="1:13" x14ac:dyDescent="0.35">
      <c r="A108" t="str">
        <f>'US Construction'!A108</f>
        <v>2024-Q1</v>
      </c>
      <c r="B108" s="8">
        <f>'US Construction'!B108-'US Construction'!D108</f>
        <v>-2.5397272921800855</v>
      </c>
      <c r="C108" s="8">
        <f>'US Construction'!H108</f>
        <v>3.7684590195816159</v>
      </c>
      <c r="D108" s="8">
        <f t="shared" si="15"/>
        <v>3.1503734004954511</v>
      </c>
      <c r="E108" s="8">
        <f>100*('US Raw Data'!B108/'US Raw Data'!B107-1)</f>
        <v>0.99715663006307853</v>
      </c>
      <c r="F108" s="8">
        <f>'US Raw Data'!F107</f>
        <v>119.61944</v>
      </c>
      <c r="G108" s="8">
        <f t="shared" si="16"/>
        <v>-0.24820344480302819</v>
      </c>
      <c r="H108" s="8">
        <f t="shared" si="17"/>
        <v>1.8805664870320298</v>
      </c>
      <c r="I108" s="8">
        <f t="shared" si="18"/>
        <v>120.47631</v>
      </c>
      <c r="J108" s="7">
        <f>(1+D108/400)*(F108/100*'US Raw Data'!B107)-B108/100*'US Raw Data'!B108/4+H108/100*'US Raw Data'!B108/4</f>
        <v>34586.533041659102</v>
      </c>
      <c r="K108" s="8">
        <f>J108/'US Raw Data'!B108*100</f>
        <v>120.47631000000001</v>
      </c>
      <c r="L108" s="8">
        <f>'US Raw Data'!F108</f>
        <v>120.47631</v>
      </c>
      <c r="M108" s="8">
        <f t="shared" si="19"/>
        <v>0</v>
      </c>
    </row>
    <row r="109" spans="1:13" x14ac:dyDescent="0.35">
      <c r="A109" t="str">
        <f>'US Construction'!A109</f>
        <v>2024-Q2</v>
      </c>
      <c r="B109" s="8">
        <f>'US Construction'!B109-'US Construction'!D109</f>
        <v>-2.4151951738227737</v>
      </c>
      <c r="C109" s="8">
        <f>'US Construction'!H109</f>
        <v>3.8440811307976155</v>
      </c>
      <c r="D109" s="8">
        <f t="shared" si="15"/>
        <v>3.1907361130147627</v>
      </c>
      <c r="E109" s="8">
        <f>100*('US Raw Data'!B109/'US Raw Data'!B108-1)</f>
        <v>1.5287743439923007</v>
      </c>
      <c r="F109" s="8">
        <f>'US Raw Data'!F108</f>
        <v>120.47631</v>
      </c>
      <c r="G109" s="8">
        <f t="shared" si="16"/>
        <v>-0.86752808832794392</v>
      </c>
      <c r="H109" s="8">
        <f t="shared" si="17"/>
        <v>-2.8377628205109824</v>
      </c>
      <c r="I109" s="8">
        <f t="shared" si="18"/>
        <v>119.50313999999999</v>
      </c>
      <c r="J109" s="7">
        <f>(1+D109/400)*(F109/100*'US Raw Data'!B108)-B109/100*'US Raw Data'!B109/4+H109/100*'US Raw Data'!B109/4</f>
        <v>34831.632797181614</v>
      </c>
      <c r="K109" s="8">
        <f>J109/'US Raw Data'!B109*100</f>
        <v>119.50314000000004</v>
      </c>
      <c r="L109" s="8">
        <f>'US Raw Data'!F109</f>
        <v>119.50314</v>
      </c>
      <c r="M109" s="8">
        <f t="shared" si="19"/>
        <v>0</v>
      </c>
    </row>
    <row r="110" spans="1:13" x14ac:dyDescent="0.35">
      <c r="A110" t="str">
        <f>'US Construction'!A110</f>
        <v>2024-Q3</v>
      </c>
      <c r="B110" s="8">
        <f>'US Construction'!B110-'US Construction'!D110</f>
        <v>-2.7425291911699716</v>
      </c>
      <c r="C110" s="8">
        <f>'US Construction'!H110</f>
        <v>3.9324124943853649</v>
      </c>
      <c r="D110" s="8">
        <f t="shared" si="15"/>
        <v>3.290635287395264</v>
      </c>
      <c r="E110" s="8">
        <f>100*('US Raw Data'!B110/'US Raw Data'!B109-1)</f>
        <v>1.2509673365161733</v>
      </c>
      <c r="F110" s="8">
        <f>'US Raw Data'!F109</f>
        <v>119.50314</v>
      </c>
      <c r="G110" s="8">
        <f t="shared" si="16"/>
        <v>-0.50551825565646191</v>
      </c>
      <c r="H110" s="8">
        <f t="shared" si="17"/>
        <v>1.9538638314558421</v>
      </c>
      <c r="I110" s="8">
        <f t="shared" si="18"/>
        <v>120.17172000000001</v>
      </c>
      <c r="J110" s="7">
        <f>(1+D110/400)*(F110/100*'US Raw Data'!B109)-B110/100*'US Raw Data'!B110/4+H110/100*'US Raw Data'!B110/4</f>
        <v>35464.674229420794</v>
      </c>
      <c r="K110" s="8">
        <f>J110/'US Raw Data'!B110*100</f>
        <v>120.17171999999998</v>
      </c>
      <c r="L110" s="8">
        <f>'US Raw Data'!F110</f>
        <v>120.17171999999999</v>
      </c>
      <c r="M110" s="8">
        <f t="shared" si="19"/>
        <v>0</v>
      </c>
    </row>
    <row r="111" spans="1:13" x14ac:dyDescent="0.35">
      <c r="A111" t="str">
        <f>'US Construction'!A111</f>
        <v>2024-Q4</v>
      </c>
      <c r="B111" s="8">
        <f>'US Construction'!B111-'US Construction'!D111</f>
        <v>-2.6113939556177748</v>
      </c>
      <c r="C111" s="8">
        <f>'US Construction'!H111</f>
        <v>3.9157941077128013</v>
      </c>
      <c r="D111" s="8">
        <f t="shared" si="15"/>
        <v>3.2584988445807399</v>
      </c>
      <c r="E111" s="8">
        <f>100*('US Raw Data'!B111/'US Raw Data'!B110-1)</f>
        <v>1.0623528378474356</v>
      </c>
      <c r="F111" s="8">
        <f>'US Raw Data'!F110</f>
        <v>120.17171999999999</v>
      </c>
      <c r="G111" s="8">
        <f t="shared" si="16"/>
        <v>-0.29456978036075848</v>
      </c>
      <c r="H111" s="8">
        <f t="shared" si="17"/>
        <v>3.6253251658252781</v>
      </c>
      <c r="I111" s="8">
        <f t="shared" si="18"/>
        <v>121.43633</v>
      </c>
      <c r="J111" s="7">
        <f>(1+D111/400)*(F111/100*'US Raw Data'!B110)-B111/100*'US Raw Data'!B111/4+H111/100*'US Raw Data'!B111/4</f>
        <v>36218.606436620605</v>
      </c>
      <c r="K111" s="8">
        <f>J111/'US Raw Data'!B111*100</f>
        <v>121.43633</v>
      </c>
      <c r="L111" s="8">
        <f>'US Raw Data'!F111</f>
        <v>121.43633</v>
      </c>
      <c r="M111" s="8">
        <f t="shared" si="19"/>
        <v>0</v>
      </c>
    </row>
    <row r="112" spans="1:13" x14ac:dyDescent="0.35">
      <c r="A112" t="str">
        <f>'US Construction'!A112</f>
        <v>2025-Q1</v>
      </c>
      <c r="B112" s="8">
        <f>'US Construction'!B112-'US Construction'!D112</f>
        <v>-2.5852642255889258</v>
      </c>
      <c r="C112" s="8">
        <f>'US Construction'!H112</f>
        <v>3.8363957007873415</v>
      </c>
      <c r="D112" s="8">
        <f t="shared" si="15"/>
        <v>3.1591828415658982</v>
      </c>
      <c r="E112" s="8">
        <f>100*('US Raw Data'!B112/'US Raw Data'!B111-1)</f>
        <v>0.72734174765471948</v>
      </c>
      <c r="F112" s="8">
        <f>'US Raw Data'!F111</f>
        <v>121.43633</v>
      </c>
      <c r="G112" s="8">
        <f t="shared" si="16"/>
        <v>7.5294154468111898E-2</v>
      </c>
      <c r="H112" s="8">
        <f t="shared" si="17"/>
        <v>-6.4511608434613397</v>
      </c>
      <c r="I112" s="8">
        <f t="shared" si="18"/>
        <v>120.54514999999998</v>
      </c>
      <c r="J112" s="7">
        <f>(1+D112/400)*(F112/100*'US Raw Data'!B111)-B112/100*'US Raw Data'!B112/4+H112/100*'US Raw Data'!B112/4</f>
        <v>36214.310179019507</v>
      </c>
      <c r="K112" s="8">
        <f>J112/'US Raw Data'!B112*100</f>
        <v>120.54515000000001</v>
      </c>
      <c r="L112" s="8">
        <f>'US Raw Data'!F112</f>
        <v>120.54515000000001</v>
      </c>
      <c r="M112" s="8">
        <f t="shared" si="19"/>
        <v>0</v>
      </c>
    </row>
    <row r="113" spans="1:13" x14ac:dyDescent="0.35">
      <c r="A113" t="str">
        <f>'US Construction'!A113</f>
        <v>2025-Q2</v>
      </c>
      <c r="B113" s="8">
        <f>'US Construction'!B113-'US Construction'!D113</f>
        <v>-2.4001361423897727</v>
      </c>
      <c r="C113" s="8">
        <f>'US Construction'!H113</f>
        <v>3.8642421723132458</v>
      </c>
      <c r="D113" s="8">
        <f t="shared" si="15"/>
        <v>3.2056388600563737</v>
      </c>
      <c r="E113" s="8">
        <f>100*('US Raw Data'!B113/'US Raw Data'!B112-1)</f>
        <v>1.4766471319777041</v>
      </c>
      <c r="F113" s="8">
        <f>'US Raw Data'!F112</f>
        <v>120.54515000000001</v>
      </c>
      <c r="G113" s="8">
        <f t="shared" si="16"/>
        <v>-0.80212145369395549</v>
      </c>
      <c r="H113" s="8">
        <f t="shared" si="17"/>
        <v>-6.2454103276139623</v>
      </c>
      <c r="I113" s="8">
        <f t="shared" si="18"/>
        <v>118.78171</v>
      </c>
      <c r="J113" s="7">
        <f>(1+D113/400)*(F113/100*'US Raw Data'!B112)-B113/100*'US Raw Data'!B113/4+H113/100*'US Raw Data'!B113/4</f>
        <v>36211.470212165907</v>
      </c>
      <c r="K113" s="8">
        <f>J113/'US Raw Data'!B113*100</f>
        <v>118.78171000000002</v>
      </c>
      <c r="L113" s="8">
        <f>'US Raw Data'!F113</f>
        <v>118.78171</v>
      </c>
      <c r="M113" s="8">
        <f t="shared" si="19"/>
        <v>0</v>
      </c>
    </row>
    <row r="114" spans="1:13" x14ac:dyDescent="0.35">
      <c r="A114" t="str">
        <f>'US Construction'!A114</f>
        <v>2025-Q3</v>
      </c>
      <c r="B114" s="8">
        <f>'US Construction'!B114-'US Construction'!D114</f>
        <v>-1.8890072994019853</v>
      </c>
      <c r="C114" s="8">
        <f>'US Construction'!H114</f>
        <v>3.9336077546316837</v>
      </c>
      <c r="D114" s="8">
        <f t="shared" si="15"/>
        <v>3.3116274842580422</v>
      </c>
      <c r="E114" s="8">
        <f>100*('US Raw Data'!B114/'US Raw Data'!B113-1)</f>
        <v>2.0084741945977314</v>
      </c>
      <c r="F114" s="8">
        <f>'US Raw Data'!F113</f>
        <v>118.78171</v>
      </c>
      <c r="G114" s="8">
        <f t="shared" si="16"/>
        <v>-1.3746878047787292</v>
      </c>
      <c r="H114" s="8">
        <f t="shared" si="17"/>
        <v>12.597903919712925</v>
      </c>
      <c r="I114" s="8">
        <f t="shared" si="18"/>
        <v>121.02875</v>
      </c>
      <c r="J114" s="7">
        <f>(1+D114/400)*(F114/100*'US Raw Data'!B113)-B114/100*'US Raw Data'!B114/4+H114/100*'US Raw Data'!B114/4</f>
        <v>37637.553352762494</v>
      </c>
      <c r="K114" s="8">
        <f>J114/'US Raw Data'!B114*100</f>
        <v>121.02875</v>
      </c>
      <c r="L114" s="8">
        <f>'US Raw Data'!F114</f>
        <v>121.02875</v>
      </c>
      <c r="M114" s="8">
        <f t="shared" si="19"/>
        <v>0</v>
      </c>
    </row>
    <row r="115" spans="1:13" x14ac:dyDescent="0.35">
      <c r="A115" t="str">
        <f>'US Construction'!A115</f>
        <v>2025-Q4</v>
      </c>
      <c r="B115" s="8">
        <f>'US Construction'!B115-'US Construction'!D115</f>
        <v>-1.4565633584009099</v>
      </c>
      <c r="C115" s="8">
        <f>'US Construction'!H115</f>
        <v>3.9471796715592276</v>
      </c>
      <c r="D115" s="8">
        <f t="shared" si="15"/>
        <v>3.2613570507496998</v>
      </c>
      <c r="E115" s="8">
        <f>100*('US Raw Data'!B115/'US Raw Data'!B114-1)</f>
        <v>1.0434713430533815</v>
      </c>
      <c r="F115" s="8">
        <f>'US Raw Data'!F114</f>
        <v>121.02875</v>
      </c>
      <c r="G115" s="8">
        <f t="shared" si="16"/>
        <v>-0.2732540772263341</v>
      </c>
      <c r="H115" s="8">
        <f t="shared" si="17"/>
        <v>5.7940529505044287</v>
      </c>
      <c r="I115" s="8">
        <f t="shared" si="18"/>
        <v>122.56814999999999</v>
      </c>
      <c r="J115" s="7">
        <f>(1+D115/400)*(F115/100*'US Raw Data'!B114)-B115/100*'US Raw Data'!B115/4+H115/100*'US Raw Data'!B115/4</f>
        <v>38514.008801469005</v>
      </c>
      <c r="K115" s="8">
        <f>J115/'US Raw Data'!B115*100</f>
        <v>122.56815</v>
      </c>
      <c r="L115" s="8">
        <f>'US Raw Data'!F115</f>
        <v>122.56815</v>
      </c>
      <c r="M115" s="8">
        <f t="shared" si="19"/>
        <v>0</v>
      </c>
    </row>
    <row r="117" spans="1:13" ht="69.75" customHeight="1" x14ac:dyDescent="0.35">
      <c r="A117" s="16" t="s">
        <v>217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</row>
  </sheetData>
  <mergeCells count="3">
    <mergeCell ref="A1:M1"/>
    <mergeCell ref="A2:M2"/>
    <mergeCell ref="A117:M1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showGridLines="0" zoomScaleNormal="100" workbookViewId="0">
      <selection activeCell="I21" sqref="I21"/>
    </sheetView>
  </sheetViews>
  <sheetFormatPr defaultColWidth="8.54296875" defaultRowHeight="14.5" x14ac:dyDescent="0.35"/>
  <cols>
    <col min="1" max="1" width="8" customWidth="1"/>
    <col min="2" max="13" width="15" customWidth="1"/>
  </cols>
  <sheetData>
    <row r="1" spans="1:13" ht="20" x14ac:dyDescent="0.4">
      <c r="A1" s="17" t="s">
        <v>218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09.5" customHeight="1" x14ac:dyDescent="0.35">
      <c r="A2" s="16" t="s">
        <v>219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25" x14ac:dyDescent="0.35">
      <c r="A4" s="4" t="s">
        <v>220</v>
      </c>
      <c r="B4" s="4" t="s">
        <v>177</v>
      </c>
      <c r="C4" s="4" t="s">
        <v>221</v>
      </c>
      <c r="D4" s="4" t="s">
        <v>183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226</v>
      </c>
      <c r="J4" s="4" t="s">
        <v>193</v>
      </c>
      <c r="K4" s="4" t="s">
        <v>195</v>
      </c>
      <c r="L4" s="4" t="s">
        <v>182</v>
      </c>
      <c r="M4" s="4" t="s">
        <v>227</v>
      </c>
    </row>
    <row r="5" spans="1:13" ht="57.5" x14ac:dyDescent="0.35">
      <c r="B5" s="1" t="s">
        <v>228</v>
      </c>
      <c r="C5" s="1" t="s">
        <v>228</v>
      </c>
      <c r="D5" s="1" t="s">
        <v>229</v>
      </c>
      <c r="E5" s="1" t="s">
        <v>230</v>
      </c>
      <c r="F5" s="1" t="s">
        <v>231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</row>
    <row r="6" spans="1:13" x14ac:dyDescent="0.35">
      <c r="A6" t="s">
        <v>239</v>
      </c>
      <c r="B6" s="9">
        <v>19.032</v>
      </c>
      <c r="C6" s="9">
        <v>20.482900000000001</v>
      </c>
      <c r="D6" s="9">
        <v>3.95743</v>
      </c>
      <c r="E6" s="9">
        <v>3.9191500000000001</v>
      </c>
      <c r="F6" s="9">
        <v>3.9938400000000001</v>
      </c>
      <c r="G6" s="9">
        <v>1009.17</v>
      </c>
      <c r="H6" s="9">
        <v>488.19099999999997</v>
      </c>
      <c r="I6" s="8">
        <f>(G6-1008.81)+(H6-487.232)</f>
        <v>1.31899999999996</v>
      </c>
      <c r="J6" s="8">
        <f t="shared" ref="J6:J25" si="0">B6-C6</f>
        <v>-1.4509000000000007</v>
      </c>
      <c r="K6" s="8">
        <f t="shared" ref="K6:K25" si="1">D6*100/L6</f>
        <v>3.2287588578272577</v>
      </c>
      <c r="L6" s="8">
        <f>122.56815</f>
        <v>122.56815</v>
      </c>
      <c r="M6" s="8">
        <f t="shared" ref="M6:M25" si="2">L6*(1+K6/400)/(1+I6/100)-J6/4</f>
        <v>122.31172518752658</v>
      </c>
    </row>
    <row r="7" spans="1:13" x14ac:dyDescent="0.35">
      <c r="A7" t="s">
        <v>240</v>
      </c>
      <c r="B7" s="9">
        <v>19.139299999999999</v>
      </c>
      <c r="C7" s="9">
        <v>20.489599999999999</v>
      </c>
      <c r="D7" s="9">
        <v>3.9495499999999999</v>
      </c>
      <c r="E7" s="9">
        <v>3.8819499999999998</v>
      </c>
      <c r="F7" s="9">
        <v>4.0130600000000003</v>
      </c>
      <c r="G7" s="9">
        <v>1009.66</v>
      </c>
      <c r="H7" s="9">
        <v>489.238</v>
      </c>
      <c r="I7" s="8">
        <f t="shared" ref="I7:I25" si="3">(G7-G6)+(H7-H6)</f>
        <v>1.5370000000000346</v>
      </c>
      <c r="J7" s="8">
        <f t="shared" si="0"/>
        <v>-1.3503000000000007</v>
      </c>
      <c r="K7" s="8">
        <f t="shared" si="1"/>
        <v>3.2290853505210615</v>
      </c>
      <c r="L7" s="8">
        <f t="shared" ref="L7:L25" si="4">M6</f>
        <v>122.31172518752658</v>
      </c>
      <c r="M7" s="8">
        <f t="shared" si="2"/>
        <v>121.77026720828518</v>
      </c>
    </row>
    <row r="8" spans="1:13" x14ac:dyDescent="0.35">
      <c r="A8" t="s">
        <v>241</v>
      </c>
      <c r="B8" s="9">
        <v>19.2987</v>
      </c>
      <c r="C8" s="9">
        <v>20.5015</v>
      </c>
      <c r="D8" s="9">
        <v>3.9568099999999999</v>
      </c>
      <c r="E8" s="9">
        <v>3.8511700000000002</v>
      </c>
      <c r="F8" s="9">
        <v>4.0511100000000004</v>
      </c>
      <c r="G8" s="9">
        <v>1010.13</v>
      </c>
      <c r="H8" s="9">
        <v>490.23099999999999</v>
      </c>
      <c r="I8" s="8">
        <f t="shared" si="3"/>
        <v>1.4630000000000223</v>
      </c>
      <c r="J8" s="8">
        <f t="shared" si="0"/>
        <v>-1.2027999999999999</v>
      </c>
      <c r="K8" s="8">
        <f t="shared" si="1"/>
        <v>3.2494056970672238</v>
      </c>
      <c r="L8" s="8">
        <f t="shared" si="4"/>
        <v>121.77026720828518</v>
      </c>
      <c r="M8" s="8">
        <f t="shared" si="2"/>
        <v>121.29009486146198</v>
      </c>
    </row>
    <row r="9" spans="1:13" x14ac:dyDescent="0.35">
      <c r="A9" t="s">
        <v>242</v>
      </c>
      <c r="B9" s="9">
        <v>19.3462</v>
      </c>
      <c r="C9" s="9">
        <v>20.542400000000001</v>
      </c>
      <c r="D9" s="9">
        <v>3.9784000000000002</v>
      </c>
      <c r="E9" s="9">
        <v>3.8356400000000002</v>
      </c>
      <c r="F9" s="9">
        <v>4.1041699999999999</v>
      </c>
      <c r="G9" s="9">
        <v>1010.65</v>
      </c>
      <c r="H9" s="9">
        <v>491.18599999999998</v>
      </c>
      <c r="I9" s="8">
        <f t="shared" si="3"/>
        <v>1.4749999999999659</v>
      </c>
      <c r="J9" s="8">
        <f t="shared" si="0"/>
        <v>-1.196200000000001</v>
      </c>
      <c r="K9" s="8">
        <f t="shared" si="1"/>
        <v>3.2800699880267588</v>
      </c>
      <c r="L9" s="8">
        <f t="shared" si="4"/>
        <v>121.29009486146198</v>
      </c>
      <c r="M9" s="8">
        <f t="shared" si="2"/>
        <v>120.80626346288447</v>
      </c>
    </row>
    <row r="10" spans="1:13" x14ac:dyDescent="0.35">
      <c r="A10" t="s">
        <v>243</v>
      </c>
      <c r="B10" s="9">
        <v>19.420100000000001</v>
      </c>
      <c r="C10" s="9">
        <v>20.543600000000001</v>
      </c>
      <c r="D10" s="9">
        <v>4.0120199999999997</v>
      </c>
      <c r="E10" s="9">
        <v>3.8221500000000002</v>
      </c>
      <c r="F10" s="9">
        <v>4.1820300000000001</v>
      </c>
      <c r="G10" s="9">
        <v>1011.23</v>
      </c>
      <c r="H10" s="9">
        <v>492.13600000000002</v>
      </c>
      <c r="I10" s="8">
        <f t="shared" si="3"/>
        <v>1.5300000000000864</v>
      </c>
      <c r="J10" s="8">
        <f t="shared" si="0"/>
        <v>-1.1234999999999999</v>
      </c>
      <c r="K10" s="8">
        <f t="shared" si="1"/>
        <v>3.3210364140039976</v>
      </c>
      <c r="L10" s="8">
        <f t="shared" si="4"/>
        <v>120.80626346288447</v>
      </c>
      <c r="M10" s="8">
        <f t="shared" si="2"/>
        <v>120.25454629211504</v>
      </c>
    </row>
    <row r="11" spans="1:13" x14ac:dyDescent="0.35">
      <c r="A11" t="s">
        <v>244</v>
      </c>
      <c r="B11" s="9">
        <v>19.4969</v>
      </c>
      <c r="C11" s="9">
        <v>20.494900000000001</v>
      </c>
      <c r="D11" s="9">
        <v>4.0564400000000003</v>
      </c>
      <c r="E11" s="9">
        <v>3.81616</v>
      </c>
      <c r="F11" s="9">
        <v>4.2591700000000001</v>
      </c>
      <c r="G11" s="9">
        <v>1011.87</v>
      </c>
      <c r="H11" s="9">
        <v>493.10199999999998</v>
      </c>
      <c r="I11" s="8">
        <f t="shared" si="3"/>
        <v>1.6059999999999377</v>
      </c>
      <c r="J11" s="8">
        <f t="shared" si="0"/>
        <v>-0.99800000000000111</v>
      </c>
      <c r="K11" s="8">
        <f t="shared" si="1"/>
        <v>3.3732113463272668</v>
      </c>
      <c r="L11" s="8">
        <f t="shared" si="4"/>
        <v>120.25454629211504</v>
      </c>
      <c r="M11" s="8">
        <f t="shared" si="2"/>
        <v>119.60136533483764</v>
      </c>
    </row>
    <row r="12" spans="1:13" x14ac:dyDescent="0.35">
      <c r="A12" t="s">
        <v>245</v>
      </c>
      <c r="B12" s="9">
        <v>19.579899999999999</v>
      </c>
      <c r="C12" s="9">
        <v>20.3888</v>
      </c>
      <c r="D12" s="9">
        <v>4.1093000000000002</v>
      </c>
      <c r="E12" s="9">
        <v>3.84083</v>
      </c>
      <c r="F12" s="9">
        <v>4.3462899999999998</v>
      </c>
      <c r="G12" s="9">
        <v>1012.59</v>
      </c>
      <c r="H12" s="9">
        <v>494.08199999999999</v>
      </c>
      <c r="I12" s="8">
        <f t="shared" si="3"/>
        <v>1.7000000000000455</v>
      </c>
      <c r="J12" s="8">
        <f t="shared" si="0"/>
        <v>-0.80890000000000128</v>
      </c>
      <c r="K12" s="8">
        <f t="shared" si="1"/>
        <v>3.4358303423172027</v>
      </c>
      <c r="L12" s="8">
        <f t="shared" si="4"/>
        <v>119.60136533483764</v>
      </c>
      <c r="M12" s="8">
        <f t="shared" si="2"/>
        <v>118.81450654851288</v>
      </c>
    </row>
    <row r="13" spans="1:13" x14ac:dyDescent="0.35">
      <c r="A13" t="s">
        <v>246</v>
      </c>
      <c r="B13" s="9">
        <v>19.675000000000001</v>
      </c>
      <c r="C13" s="9">
        <v>20.249300000000002</v>
      </c>
      <c r="D13" s="9">
        <v>4.1685699999999999</v>
      </c>
      <c r="E13" s="9">
        <v>3.8625699999999998</v>
      </c>
      <c r="F13" s="9">
        <v>4.4306599999999996</v>
      </c>
      <c r="G13" s="9">
        <v>1013.37</v>
      </c>
      <c r="H13" s="9">
        <v>495.07100000000003</v>
      </c>
      <c r="I13" s="8">
        <f t="shared" si="3"/>
        <v>1.7690000000000055</v>
      </c>
      <c r="J13" s="8">
        <f t="shared" si="0"/>
        <v>-0.57430000000000092</v>
      </c>
      <c r="K13" s="8">
        <f t="shared" si="1"/>
        <v>3.5084688907898132</v>
      </c>
      <c r="L13" s="8">
        <f t="shared" si="4"/>
        <v>118.81450654851288</v>
      </c>
      <c r="M13" s="8">
        <f t="shared" si="2"/>
        <v>117.91681542538777</v>
      </c>
    </row>
    <row r="14" spans="1:13" x14ac:dyDescent="0.35">
      <c r="A14" t="s">
        <v>247</v>
      </c>
      <c r="B14" s="9">
        <v>19.774999999999999</v>
      </c>
      <c r="C14" s="9">
        <v>20.084499999999998</v>
      </c>
      <c r="D14" s="9">
        <v>4.2320799999999998</v>
      </c>
      <c r="E14" s="9">
        <v>3.88557</v>
      </c>
      <c r="F14" s="9">
        <v>4.5319000000000003</v>
      </c>
      <c r="G14" s="9">
        <v>1014.21</v>
      </c>
      <c r="H14" s="9">
        <v>496.07400000000001</v>
      </c>
      <c r="I14" s="8">
        <f t="shared" si="3"/>
        <v>1.8430000000000177</v>
      </c>
      <c r="J14" s="8">
        <f t="shared" si="0"/>
        <v>-0.30949999999999989</v>
      </c>
      <c r="K14" s="8">
        <f t="shared" si="1"/>
        <v>3.5890385817600894</v>
      </c>
      <c r="L14" s="8">
        <f t="shared" si="4"/>
        <v>117.91681542538777</v>
      </c>
      <c r="M14" s="8">
        <f t="shared" si="2"/>
        <v>116.89918447673161</v>
      </c>
    </row>
    <row r="15" spans="1:13" x14ac:dyDescent="0.35">
      <c r="A15" t="s">
        <v>248</v>
      </c>
      <c r="B15" s="9">
        <v>19.899999999999999</v>
      </c>
      <c r="C15" s="9">
        <v>19.889800000000001</v>
      </c>
      <c r="D15" s="9">
        <v>4.2980999999999998</v>
      </c>
      <c r="E15" s="9">
        <v>3.8928600000000002</v>
      </c>
      <c r="F15" s="9">
        <v>4.6364099999999997</v>
      </c>
      <c r="G15" s="9">
        <v>1015.09</v>
      </c>
      <c r="H15" s="9">
        <v>497.09</v>
      </c>
      <c r="I15" s="8">
        <f t="shared" si="3"/>
        <v>1.8959999999999582</v>
      </c>
      <c r="J15" s="8">
        <f t="shared" si="0"/>
        <v>1.0199999999997544E-2</v>
      </c>
      <c r="K15" s="8">
        <f t="shared" si="1"/>
        <v>3.6767578997572241</v>
      </c>
      <c r="L15" s="8">
        <f t="shared" si="4"/>
        <v>116.89918447673161</v>
      </c>
      <c r="M15" s="8">
        <f t="shared" si="2"/>
        <v>115.77599820280643</v>
      </c>
    </row>
    <row r="16" spans="1:13" x14ac:dyDescent="0.35">
      <c r="A16" t="s">
        <v>249</v>
      </c>
      <c r="B16" s="9">
        <v>20.046900000000001</v>
      </c>
      <c r="C16" s="9">
        <v>19.670400000000001</v>
      </c>
      <c r="D16" s="9">
        <v>4.3654000000000002</v>
      </c>
      <c r="E16" s="9">
        <v>3.9090400000000001</v>
      </c>
      <c r="F16" s="9">
        <v>4.7416099999999997</v>
      </c>
      <c r="G16" s="9">
        <v>1016.01</v>
      </c>
      <c r="H16" s="9">
        <v>498.12200000000001</v>
      </c>
      <c r="I16" s="8">
        <f t="shared" si="3"/>
        <v>1.9519999999999982</v>
      </c>
      <c r="J16" s="8">
        <f t="shared" si="0"/>
        <v>0.37650000000000006</v>
      </c>
      <c r="K16" s="8">
        <f t="shared" si="1"/>
        <v>3.7705569960649945</v>
      </c>
      <c r="L16" s="8">
        <f t="shared" si="4"/>
        <v>115.77599820280643</v>
      </c>
      <c r="M16" s="8">
        <f t="shared" si="2"/>
        <v>114.53564999490587</v>
      </c>
    </row>
    <row r="17" spans="1:13" x14ac:dyDescent="0.35">
      <c r="A17" t="s">
        <v>250</v>
      </c>
      <c r="B17" s="9">
        <v>20.2121</v>
      </c>
      <c r="C17" s="9">
        <v>19.433199999999999</v>
      </c>
      <c r="D17" s="9">
        <v>4.4327399999999999</v>
      </c>
      <c r="E17" s="9">
        <v>3.94096</v>
      </c>
      <c r="F17" s="9">
        <v>4.8580899999999998</v>
      </c>
      <c r="G17" s="9">
        <v>1016.96</v>
      </c>
      <c r="H17" s="9">
        <v>499.16800000000001</v>
      </c>
      <c r="I17" s="8">
        <f t="shared" si="3"/>
        <v>1.9960000000000377</v>
      </c>
      <c r="J17" s="8">
        <f t="shared" si="0"/>
        <v>0.77890000000000015</v>
      </c>
      <c r="K17" s="8">
        <f t="shared" si="1"/>
        <v>3.8701836504155276</v>
      </c>
      <c r="L17" s="8">
        <f t="shared" si="4"/>
        <v>114.53564999490587</v>
      </c>
      <c r="M17" s="8">
        <f t="shared" si="2"/>
        <v>113.18603012265757</v>
      </c>
    </row>
    <row r="18" spans="1:13" x14ac:dyDescent="0.35">
      <c r="A18" t="s">
        <v>251</v>
      </c>
      <c r="B18" s="9">
        <v>20.3919</v>
      </c>
      <c r="C18" s="9">
        <v>19.183399999999999</v>
      </c>
      <c r="D18" s="9">
        <v>4.4994699999999996</v>
      </c>
      <c r="E18" s="9">
        <v>3.96408</v>
      </c>
      <c r="F18" s="9">
        <v>4.9929600000000001</v>
      </c>
      <c r="G18" s="9">
        <v>1017.92</v>
      </c>
      <c r="H18" s="9">
        <v>500.22899999999998</v>
      </c>
      <c r="I18" s="8">
        <f t="shared" si="3"/>
        <v>2.0209999999999013</v>
      </c>
      <c r="J18" s="8">
        <f t="shared" si="0"/>
        <v>1.2085000000000008</v>
      </c>
      <c r="K18" s="8">
        <f t="shared" si="1"/>
        <v>3.9752874052778497</v>
      </c>
      <c r="L18" s="8">
        <f t="shared" si="4"/>
        <v>113.18603012265757</v>
      </c>
      <c r="M18" s="8">
        <f t="shared" si="2"/>
        <v>111.74431408867555</v>
      </c>
    </row>
    <row r="19" spans="1:13" x14ac:dyDescent="0.35">
      <c r="A19" t="s">
        <v>252</v>
      </c>
      <c r="B19" s="9">
        <v>20.578900000000001</v>
      </c>
      <c r="C19" s="9">
        <v>18.925999999999998</v>
      </c>
      <c r="D19" s="9">
        <v>4.56515</v>
      </c>
      <c r="E19" s="9">
        <v>3.9800399999999998</v>
      </c>
      <c r="F19" s="9">
        <v>5.0787699999999996</v>
      </c>
      <c r="G19" s="9">
        <v>1018.88</v>
      </c>
      <c r="H19" s="9">
        <v>501.30200000000002</v>
      </c>
      <c r="I19" s="8">
        <f t="shared" si="3"/>
        <v>2.0330000000000723</v>
      </c>
      <c r="J19" s="8">
        <f t="shared" si="0"/>
        <v>1.6529000000000025</v>
      </c>
      <c r="K19" s="8">
        <f t="shared" si="1"/>
        <v>4.0853532792525717</v>
      </c>
      <c r="L19" s="8">
        <f t="shared" si="4"/>
        <v>111.74431408867555</v>
      </c>
      <c r="M19" s="8">
        <f t="shared" si="2"/>
        <v>110.22313930240755</v>
      </c>
    </row>
    <row r="20" spans="1:13" x14ac:dyDescent="0.35">
      <c r="A20" t="s">
        <v>253</v>
      </c>
      <c r="B20" s="9">
        <v>20.768000000000001</v>
      </c>
      <c r="C20" s="9">
        <v>18.666599999999999</v>
      </c>
      <c r="D20" s="9">
        <v>4.6293499999999996</v>
      </c>
      <c r="E20" s="9">
        <v>3.9914999999999998</v>
      </c>
      <c r="F20" s="9">
        <v>5.1841699999999999</v>
      </c>
      <c r="G20" s="9">
        <v>1019.84</v>
      </c>
      <c r="H20" s="9">
        <v>502.38600000000002</v>
      </c>
      <c r="I20" s="8">
        <f t="shared" si="3"/>
        <v>2.0440000000000396</v>
      </c>
      <c r="J20" s="8">
        <f t="shared" si="0"/>
        <v>2.1014000000000017</v>
      </c>
      <c r="K20" s="8">
        <f t="shared" si="1"/>
        <v>4.1999801759401381</v>
      </c>
      <c r="L20" s="8">
        <f t="shared" si="4"/>
        <v>110.22313930240755</v>
      </c>
      <c r="M20" s="8">
        <f t="shared" si="2"/>
        <v>108.6241118031511</v>
      </c>
    </row>
    <row r="21" spans="1:13" x14ac:dyDescent="0.35">
      <c r="A21" t="s">
        <v>254</v>
      </c>
      <c r="B21" s="9">
        <v>20.954699999999999</v>
      </c>
      <c r="C21" s="9">
        <v>18.409500000000001</v>
      </c>
      <c r="D21" s="9">
        <v>4.6917999999999997</v>
      </c>
      <c r="E21" s="9">
        <v>4.0096100000000003</v>
      </c>
      <c r="F21" s="9">
        <v>5.3003799999999996</v>
      </c>
      <c r="G21" s="9">
        <v>1020.79</v>
      </c>
      <c r="H21" s="9">
        <v>503.47800000000001</v>
      </c>
      <c r="I21" s="8">
        <f t="shared" si="3"/>
        <v>2.0419999999999163</v>
      </c>
      <c r="J21" s="8">
        <f t="shared" si="0"/>
        <v>2.5451999999999977</v>
      </c>
      <c r="K21" s="8">
        <f t="shared" si="1"/>
        <v>4.3192988390114451</v>
      </c>
      <c r="L21" s="8">
        <f t="shared" si="4"/>
        <v>108.6241118031511</v>
      </c>
      <c r="M21" s="8">
        <f t="shared" si="2"/>
        <v>106.9635724085682</v>
      </c>
    </row>
    <row r="22" spans="1:13" x14ac:dyDescent="0.35">
      <c r="A22" t="s">
        <v>255</v>
      </c>
      <c r="B22" s="9">
        <v>21.136099999999999</v>
      </c>
      <c r="C22" s="9">
        <v>18.157499999999999</v>
      </c>
      <c r="D22" s="9">
        <v>4.7523299999999997</v>
      </c>
      <c r="E22" s="9">
        <v>4.0153999999999996</v>
      </c>
      <c r="F22" s="9">
        <v>5.4033300000000004</v>
      </c>
      <c r="G22" s="9">
        <v>1021.74</v>
      </c>
      <c r="H22" s="9">
        <v>504.57799999999997</v>
      </c>
      <c r="I22" s="8">
        <f t="shared" si="3"/>
        <v>2.0500000000000114</v>
      </c>
      <c r="J22" s="8">
        <f t="shared" si="0"/>
        <v>2.9786000000000001</v>
      </c>
      <c r="K22" s="8">
        <f t="shared" si="1"/>
        <v>4.4429424831171023</v>
      </c>
      <c r="L22" s="8">
        <f t="shared" si="4"/>
        <v>106.9635724085682</v>
      </c>
      <c r="M22" s="8">
        <f t="shared" si="2"/>
        <v>105.23443369286446</v>
      </c>
    </row>
    <row r="23" spans="1:13" x14ac:dyDescent="0.35">
      <c r="A23" t="s">
        <v>256</v>
      </c>
      <c r="B23" s="9">
        <v>21.31</v>
      </c>
      <c r="C23" s="9">
        <v>17.912500000000001</v>
      </c>
      <c r="D23" s="9">
        <v>4.8109299999999999</v>
      </c>
      <c r="E23" s="9">
        <v>4.0372000000000003</v>
      </c>
      <c r="F23" s="9">
        <v>5.5002199999999997</v>
      </c>
      <c r="G23" s="9">
        <v>1022.68</v>
      </c>
      <c r="H23" s="9">
        <v>505.68400000000003</v>
      </c>
      <c r="I23" s="8">
        <f t="shared" si="3"/>
        <v>2.0459999999999923</v>
      </c>
      <c r="J23" s="8">
        <f t="shared" si="0"/>
        <v>3.3974999999999973</v>
      </c>
      <c r="K23" s="8">
        <f t="shared" si="1"/>
        <v>4.5716310062931527</v>
      </c>
      <c r="L23" s="8">
        <f t="shared" si="4"/>
        <v>105.23443369286446</v>
      </c>
      <c r="M23" s="8">
        <f t="shared" si="2"/>
        <v>103.45374927029424</v>
      </c>
    </row>
    <row r="24" spans="1:13" x14ac:dyDescent="0.35">
      <c r="A24" t="s">
        <v>257</v>
      </c>
      <c r="B24" s="9">
        <v>21.4755</v>
      </c>
      <c r="C24" s="9">
        <v>17.676200000000001</v>
      </c>
      <c r="D24" s="9">
        <v>4.8676700000000004</v>
      </c>
      <c r="E24" s="9">
        <v>4.0344899999999999</v>
      </c>
      <c r="F24" s="9">
        <v>5.6071600000000004</v>
      </c>
      <c r="G24" s="9">
        <v>1023.61</v>
      </c>
      <c r="H24" s="9">
        <v>506.798</v>
      </c>
      <c r="I24" s="8">
        <f t="shared" si="3"/>
        <v>2.0440000000000396</v>
      </c>
      <c r="J24" s="8">
        <f t="shared" si="0"/>
        <v>3.7992999999999988</v>
      </c>
      <c r="K24" s="8">
        <f t="shared" si="1"/>
        <v>4.7051653848544523</v>
      </c>
      <c r="L24" s="8">
        <f t="shared" si="4"/>
        <v>103.45374927029424</v>
      </c>
      <c r="M24" s="8">
        <f t="shared" si="2"/>
        <v>101.62422812443083</v>
      </c>
    </row>
    <row r="25" spans="1:13" x14ac:dyDescent="0.35">
      <c r="A25" t="s">
        <v>258</v>
      </c>
      <c r="B25" s="9">
        <v>21.632100000000001</v>
      </c>
      <c r="C25" s="9">
        <v>17.448799999999999</v>
      </c>
      <c r="D25" s="9">
        <v>4.9227600000000002</v>
      </c>
      <c r="E25" s="9">
        <v>4.0274099999999997</v>
      </c>
      <c r="F25" s="9">
        <v>5.7359900000000001</v>
      </c>
      <c r="G25" s="9">
        <v>1024.53</v>
      </c>
      <c r="H25" s="9">
        <v>507.91800000000001</v>
      </c>
      <c r="I25" s="8">
        <f t="shared" si="3"/>
        <v>2.0399999999999636</v>
      </c>
      <c r="J25" s="8">
        <f t="shared" si="0"/>
        <v>4.1833000000000027</v>
      </c>
      <c r="K25" s="8">
        <f t="shared" si="1"/>
        <v>4.8440810728446273</v>
      </c>
      <c r="L25" s="8">
        <f t="shared" si="4"/>
        <v>101.62422812443083</v>
      </c>
      <c r="M25" s="8">
        <f t="shared" si="2"/>
        <v>99.752801150951484</v>
      </c>
    </row>
    <row r="27" spans="1:13" ht="55.5" customHeight="1" x14ac:dyDescent="0.35">
      <c r="A27" s="16" t="s">
        <v>259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</sheetData>
  <mergeCells count="3">
    <mergeCell ref="A1:M1"/>
    <mergeCell ref="A2:M2"/>
    <mergeCell ref="A27:M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"/>
  <sheetViews>
    <sheetView showGridLines="0" zoomScaleNormal="100" workbookViewId="0"/>
  </sheetViews>
  <sheetFormatPr defaultColWidth="8.54296875" defaultRowHeight="14.5" x14ac:dyDescent="0.35"/>
  <cols>
    <col min="1" max="1" width="28" customWidth="1"/>
    <col min="2" max="2" width="115" customWidth="1"/>
  </cols>
  <sheetData>
    <row r="1" spans="1:2" ht="20" x14ac:dyDescent="0.4">
      <c r="A1" s="17" t="s">
        <v>260</v>
      </c>
      <c r="B1" s="17"/>
    </row>
    <row r="3" spans="1:2" ht="18" customHeight="1" x14ac:dyDescent="0.35">
      <c r="A3" s="15" t="s">
        <v>1</v>
      </c>
      <c r="B3" s="15"/>
    </row>
    <row r="4" spans="1:2" ht="45.75" customHeight="1" x14ac:dyDescent="0.35">
      <c r="A4" s="2" t="s">
        <v>2</v>
      </c>
      <c r="B4" s="3" t="s">
        <v>3</v>
      </c>
    </row>
    <row r="5" spans="1:2" ht="31.5" customHeight="1" x14ac:dyDescent="0.35">
      <c r="A5" s="2" t="s">
        <v>4</v>
      </c>
      <c r="B5" s="3" t="s">
        <v>5</v>
      </c>
    </row>
    <row r="6" spans="1:2" ht="18" customHeight="1" x14ac:dyDescent="0.35">
      <c r="A6" s="2"/>
      <c r="B6" s="3"/>
    </row>
    <row r="7" spans="1:2" ht="18" customHeight="1" x14ac:dyDescent="0.35">
      <c r="A7" s="15" t="s">
        <v>6</v>
      </c>
      <c r="B7" s="15"/>
    </row>
    <row r="8" spans="1:2" ht="18" customHeight="1" x14ac:dyDescent="0.35">
      <c r="A8" s="2" t="s">
        <v>7</v>
      </c>
      <c r="B8" s="3" t="s">
        <v>8</v>
      </c>
    </row>
    <row r="9" spans="1:2" ht="18" customHeight="1" x14ac:dyDescent="0.35">
      <c r="A9" s="2" t="s">
        <v>9</v>
      </c>
      <c r="B9" s="3" t="s">
        <v>10</v>
      </c>
    </row>
    <row r="10" spans="1:2" ht="18" customHeight="1" x14ac:dyDescent="0.35">
      <c r="A10" s="2" t="s">
        <v>11</v>
      </c>
      <c r="B10" s="3" t="s">
        <v>12</v>
      </c>
    </row>
    <row r="11" spans="1:2" ht="18" customHeight="1" x14ac:dyDescent="0.35">
      <c r="A11" s="2" t="s">
        <v>13</v>
      </c>
      <c r="B11" s="3" t="s">
        <v>14</v>
      </c>
    </row>
    <row r="12" spans="1:2" ht="18" customHeight="1" x14ac:dyDescent="0.35">
      <c r="A12" s="2"/>
      <c r="B12" s="3"/>
    </row>
    <row r="13" spans="1:2" ht="18" customHeight="1" x14ac:dyDescent="0.35">
      <c r="A13" s="15" t="s">
        <v>15</v>
      </c>
      <c r="B13" s="15"/>
    </row>
    <row r="14" spans="1:2" ht="18" customHeight="1" x14ac:dyDescent="0.35">
      <c r="A14" s="2" t="s">
        <v>16</v>
      </c>
      <c r="B14" s="3" t="s">
        <v>17</v>
      </c>
    </row>
    <row r="15" spans="1:2" ht="18" customHeight="1" x14ac:dyDescent="0.35">
      <c r="A15" s="2" t="s">
        <v>18</v>
      </c>
      <c r="B15" s="3" t="s">
        <v>19</v>
      </c>
    </row>
    <row r="16" spans="1:2" ht="18" customHeight="1" x14ac:dyDescent="0.35">
      <c r="A16" s="2" t="s">
        <v>20</v>
      </c>
      <c r="B16" s="3" t="s">
        <v>21</v>
      </c>
    </row>
    <row r="17" spans="1:2" ht="18" customHeight="1" x14ac:dyDescent="0.35">
      <c r="A17" s="2" t="s">
        <v>22</v>
      </c>
      <c r="B17" s="3" t="s">
        <v>23</v>
      </c>
    </row>
    <row r="18" spans="1:2" ht="18" customHeight="1" x14ac:dyDescent="0.35">
      <c r="A18" s="2"/>
      <c r="B18" s="3"/>
    </row>
    <row r="19" spans="1:2" ht="18" customHeight="1" x14ac:dyDescent="0.35">
      <c r="A19" s="15" t="s">
        <v>24</v>
      </c>
      <c r="B19" s="15"/>
    </row>
    <row r="20" spans="1:2" x14ac:dyDescent="0.35">
      <c r="A20" s="4" t="s">
        <v>25</v>
      </c>
      <c r="B20" s="4" t="s">
        <v>26</v>
      </c>
    </row>
    <row r="21" spans="1:2" ht="18" customHeight="1" x14ac:dyDescent="0.35">
      <c r="A21" s="5" t="s">
        <v>261</v>
      </c>
      <c r="B21" s="3" t="s">
        <v>262</v>
      </c>
    </row>
    <row r="22" spans="1:2" ht="18" customHeight="1" x14ac:dyDescent="0.35">
      <c r="A22" s="5" t="s">
        <v>263</v>
      </c>
      <c r="B22" s="3" t="s">
        <v>264</v>
      </c>
    </row>
    <row r="23" spans="1:2" ht="18" customHeight="1" x14ac:dyDescent="0.35">
      <c r="A23" s="5" t="s">
        <v>265</v>
      </c>
      <c r="B23" s="3" t="s">
        <v>266</v>
      </c>
    </row>
    <row r="24" spans="1:2" ht="18" customHeight="1" x14ac:dyDescent="0.35">
      <c r="A24" s="5" t="s">
        <v>267</v>
      </c>
      <c r="B24" s="3" t="s">
        <v>268</v>
      </c>
    </row>
    <row r="25" spans="1:2" ht="18" customHeight="1" x14ac:dyDescent="0.35">
      <c r="A25" s="5" t="s">
        <v>27</v>
      </c>
      <c r="B25" s="3" t="s">
        <v>269</v>
      </c>
    </row>
    <row r="27" spans="1:2" ht="16.5" x14ac:dyDescent="0.35">
      <c r="A27" s="15" t="s">
        <v>37</v>
      </c>
      <c r="B27" s="15"/>
    </row>
    <row r="28" spans="1:2" ht="31.5" customHeight="1" x14ac:dyDescent="0.35">
      <c r="A28" s="6" t="s">
        <v>38</v>
      </c>
      <c r="B28" s="3" t="s">
        <v>39</v>
      </c>
    </row>
    <row r="29" spans="1:2" ht="31.5" customHeight="1" x14ac:dyDescent="0.35">
      <c r="A29" s="6" t="s">
        <v>40</v>
      </c>
      <c r="B29" s="3" t="s">
        <v>41</v>
      </c>
    </row>
    <row r="30" spans="1:2" ht="31.5" customHeight="1" x14ac:dyDescent="0.35">
      <c r="A30" s="6" t="s">
        <v>42</v>
      </c>
      <c r="B30" s="3" t="s">
        <v>43</v>
      </c>
    </row>
    <row r="31" spans="1:2" ht="18" customHeight="1" x14ac:dyDescent="0.35">
      <c r="A31" s="6" t="s">
        <v>44</v>
      </c>
      <c r="B31" s="3" t="s">
        <v>45</v>
      </c>
    </row>
    <row r="32" spans="1:2" ht="18" customHeight="1" x14ac:dyDescent="0.35">
      <c r="A32" s="6" t="s">
        <v>46</v>
      </c>
      <c r="B32" s="3" t="s">
        <v>270</v>
      </c>
    </row>
    <row r="33" spans="1:2" ht="31.5" customHeight="1" x14ac:dyDescent="0.35">
      <c r="A33" s="6" t="s">
        <v>48</v>
      </c>
      <c r="B33" s="3" t="s">
        <v>49</v>
      </c>
    </row>
    <row r="35" spans="1:2" ht="27.75" customHeight="1" x14ac:dyDescent="0.35">
      <c r="A35" s="16" t="s">
        <v>271</v>
      </c>
      <c r="B35" s="16"/>
    </row>
  </sheetData>
  <mergeCells count="7">
    <mergeCell ref="A27:B27"/>
    <mergeCell ref="A35:B35"/>
    <mergeCell ref="A1:B1"/>
    <mergeCell ref="A3:B3"/>
    <mergeCell ref="A7:B7"/>
    <mergeCell ref="A13:B13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8"/>
  <sheetViews>
    <sheetView showGridLines="0" zoomScaleNormal="100" workbookViewId="0"/>
  </sheetViews>
  <sheetFormatPr defaultColWidth="8.54296875" defaultRowHeight="14.5" x14ac:dyDescent="0.35"/>
  <cols>
    <col min="1" max="1" width="10" customWidth="1"/>
    <col min="2" max="6" width="24" customWidth="1"/>
  </cols>
  <sheetData>
    <row r="1" spans="1:7" ht="20" x14ac:dyDescent="0.4">
      <c r="A1" s="17" t="s">
        <v>272</v>
      </c>
      <c r="B1" s="17"/>
      <c r="C1" s="17"/>
      <c r="D1" s="17"/>
      <c r="E1" s="17"/>
      <c r="F1" s="17"/>
      <c r="G1" s="17"/>
    </row>
    <row r="3" spans="1:7" ht="25" x14ac:dyDescent="0.35">
      <c r="A3" s="4" t="s">
        <v>53</v>
      </c>
      <c r="B3" s="4" t="s">
        <v>273</v>
      </c>
      <c r="C3" s="4" t="s">
        <v>274</v>
      </c>
      <c r="D3" s="4" t="s">
        <v>275</v>
      </c>
      <c r="E3" s="4" t="s">
        <v>276</v>
      </c>
      <c r="F3" s="4" t="s">
        <v>277</v>
      </c>
    </row>
    <row r="4" spans="1:7" ht="23" x14ac:dyDescent="0.35">
      <c r="B4" s="1" t="s">
        <v>278</v>
      </c>
      <c r="C4" s="1" t="s">
        <v>279</v>
      </c>
      <c r="D4" s="1" t="s">
        <v>280</v>
      </c>
      <c r="E4" s="1" t="s">
        <v>281</v>
      </c>
      <c r="F4" s="1" t="s">
        <v>282</v>
      </c>
    </row>
    <row r="5" spans="1:7" x14ac:dyDescent="0.35">
      <c r="A5" t="s">
        <v>71</v>
      </c>
      <c r="B5" s="7">
        <v>106101</v>
      </c>
      <c r="C5" s="7">
        <v>88583</v>
      </c>
      <c r="D5" s="7">
        <v>7941</v>
      </c>
      <c r="E5" s="7">
        <v>353300</v>
      </c>
      <c r="F5" s="7">
        <v>273551</v>
      </c>
    </row>
    <row r="6" spans="1:7" x14ac:dyDescent="0.35">
      <c r="A6" t="s">
        <v>72</v>
      </c>
      <c r="B6" s="7">
        <v>97108</v>
      </c>
      <c r="C6" s="7">
        <v>87401</v>
      </c>
      <c r="D6" s="7">
        <v>8806</v>
      </c>
      <c r="E6" s="7">
        <v>341800</v>
      </c>
      <c r="F6" s="7">
        <v>275103</v>
      </c>
    </row>
    <row r="7" spans="1:7" x14ac:dyDescent="0.35">
      <c r="A7" t="s">
        <v>73</v>
      </c>
      <c r="B7" s="7">
        <v>101376</v>
      </c>
      <c r="C7" s="7">
        <v>90818</v>
      </c>
      <c r="D7" s="7">
        <v>8408</v>
      </c>
      <c r="E7" s="7">
        <v>326600</v>
      </c>
      <c r="F7" s="7">
        <v>277076</v>
      </c>
    </row>
    <row r="8" spans="1:7" x14ac:dyDescent="0.35">
      <c r="A8" t="s">
        <v>74</v>
      </c>
      <c r="B8" s="7">
        <v>95606</v>
      </c>
      <c r="C8" s="7">
        <v>93164</v>
      </c>
      <c r="D8" s="7">
        <v>9090</v>
      </c>
      <c r="E8" s="7">
        <v>333300</v>
      </c>
      <c r="F8" s="7">
        <v>279029</v>
      </c>
    </row>
    <row r="9" spans="1:7" x14ac:dyDescent="0.35">
      <c r="A9" t="s">
        <v>75</v>
      </c>
      <c r="B9" s="7">
        <v>112322</v>
      </c>
      <c r="C9" s="7">
        <v>94677</v>
      </c>
      <c r="D9" s="7">
        <v>8353</v>
      </c>
      <c r="E9" s="7">
        <v>322000</v>
      </c>
      <c r="F9" s="7">
        <v>283724</v>
      </c>
    </row>
    <row r="10" spans="1:7" x14ac:dyDescent="0.35">
      <c r="A10" t="s">
        <v>76</v>
      </c>
      <c r="B10" s="7">
        <v>99956</v>
      </c>
      <c r="C10" s="7">
        <v>94300</v>
      </c>
      <c r="D10" s="7">
        <v>8130</v>
      </c>
      <c r="E10" s="7">
        <v>330300</v>
      </c>
      <c r="F10" s="7">
        <v>287603</v>
      </c>
    </row>
    <row r="11" spans="1:7" x14ac:dyDescent="0.35">
      <c r="A11" t="s">
        <v>77</v>
      </c>
      <c r="B11" s="7">
        <v>103742</v>
      </c>
      <c r="C11" s="7">
        <v>95848</v>
      </c>
      <c r="D11" s="7">
        <v>7608</v>
      </c>
      <c r="E11" s="7">
        <v>324600</v>
      </c>
      <c r="F11" s="7">
        <v>289333</v>
      </c>
    </row>
    <row r="12" spans="1:7" x14ac:dyDescent="0.35">
      <c r="A12" t="s">
        <v>78</v>
      </c>
      <c r="B12" s="7">
        <v>96971</v>
      </c>
      <c r="C12" s="7">
        <v>100049</v>
      </c>
      <c r="D12" s="7">
        <v>8185</v>
      </c>
      <c r="E12" s="7">
        <v>335500</v>
      </c>
      <c r="F12" s="7">
        <v>289882</v>
      </c>
    </row>
    <row r="13" spans="1:7" x14ac:dyDescent="0.35">
      <c r="A13" t="s">
        <v>79</v>
      </c>
      <c r="B13" s="7">
        <v>111742</v>
      </c>
      <c r="C13" s="7">
        <v>102469</v>
      </c>
      <c r="D13" s="7">
        <v>7375</v>
      </c>
      <c r="E13" s="7">
        <v>330600</v>
      </c>
      <c r="F13" s="7">
        <v>293878</v>
      </c>
    </row>
    <row r="14" spans="1:7" x14ac:dyDescent="0.35">
      <c r="A14" t="s">
        <v>80</v>
      </c>
      <c r="B14" s="7">
        <v>99718</v>
      </c>
      <c r="C14" s="7">
        <v>102328</v>
      </c>
      <c r="D14" s="7">
        <v>8018</v>
      </c>
      <c r="E14" s="7">
        <v>339100</v>
      </c>
      <c r="F14" s="7">
        <v>297001</v>
      </c>
    </row>
    <row r="15" spans="1:7" x14ac:dyDescent="0.35">
      <c r="A15" t="s">
        <v>81</v>
      </c>
      <c r="B15" s="7">
        <v>105076</v>
      </c>
      <c r="C15" s="7">
        <v>104237</v>
      </c>
      <c r="D15" s="7">
        <v>6825</v>
      </c>
      <c r="E15" s="7">
        <v>343600</v>
      </c>
      <c r="F15" s="7">
        <v>299863</v>
      </c>
    </row>
    <row r="16" spans="1:7" x14ac:dyDescent="0.35">
      <c r="A16" t="s">
        <v>82</v>
      </c>
      <c r="B16" s="7">
        <v>99790</v>
      </c>
      <c r="C16" s="7">
        <v>106936</v>
      </c>
      <c r="D16" s="7">
        <v>8443</v>
      </c>
      <c r="E16" s="7">
        <v>368700</v>
      </c>
      <c r="F16" s="7">
        <v>303904</v>
      </c>
    </row>
    <row r="17" spans="1:6" x14ac:dyDescent="0.35">
      <c r="A17" t="s">
        <v>83</v>
      </c>
      <c r="B17" s="7">
        <v>113199</v>
      </c>
      <c r="C17" s="7">
        <v>112361</v>
      </c>
      <c r="D17" s="7">
        <v>7411</v>
      </c>
      <c r="E17" s="7">
        <v>369200</v>
      </c>
      <c r="F17" s="7">
        <v>307576</v>
      </c>
    </row>
    <row r="18" spans="1:6" x14ac:dyDescent="0.35">
      <c r="A18" t="s">
        <v>84</v>
      </c>
      <c r="B18" s="7">
        <v>106726</v>
      </c>
      <c r="C18" s="7">
        <v>113608</v>
      </c>
      <c r="D18" s="7">
        <v>8376</v>
      </c>
      <c r="E18" s="7">
        <v>375500</v>
      </c>
      <c r="F18" s="7">
        <v>313623</v>
      </c>
    </row>
    <row r="19" spans="1:6" x14ac:dyDescent="0.35">
      <c r="A19" t="s">
        <v>85</v>
      </c>
      <c r="B19" s="7">
        <v>110923</v>
      </c>
      <c r="C19" s="7">
        <v>115734</v>
      </c>
      <c r="D19" s="7">
        <v>7653</v>
      </c>
      <c r="E19" s="7">
        <v>383400</v>
      </c>
      <c r="F19" s="7">
        <v>318875</v>
      </c>
    </row>
    <row r="20" spans="1:6" x14ac:dyDescent="0.35">
      <c r="A20" t="s">
        <v>86</v>
      </c>
      <c r="B20" s="7">
        <v>108465</v>
      </c>
      <c r="C20" s="7">
        <v>116439</v>
      </c>
      <c r="D20" s="7">
        <v>8867</v>
      </c>
      <c r="E20" s="7">
        <v>404600</v>
      </c>
      <c r="F20" s="7">
        <v>322428</v>
      </c>
    </row>
    <row r="21" spans="1:6" x14ac:dyDescent="0.35">
      <c r="A21" t="s">
        <v>87</v>
      </c>
      <c r="B21" s="7">
        <v>124761</v>
      </c>
      <c r="C21" s="7">
        <v>120822</v>
      </c>
      <c r="D21" s="7">
        <v>7771</v>
      </c>
      <c r="E21" s="7">
        <v>404500</v>
      </c>
      <c r="F21" s="7">
        <v>324300</v>
      </c>
    </row>
    <row r="22" spans="1:6" x14ac:dyDescent="0.35">
      <c r="A22" t="s">
        <v>88</v>
      </c>
      <c r="B22" s="7">
        <v>112132</v>
      </c>
      <c r="C22" s="7">
        <v>120895</v>
      </c>
      <c r="D22" s="7">
        <v>8743</v>
      </c>
      <c r="E22" s="7">
        <v>430200</v>
      </c>
      <c r="F22" s="7">
        <v>331067</v>
      </c>
    </row>
    <row r="23" spans="1:6" x14ac:dyDescent="0.35">
      <c r="A23" t="s">
        <v>89</v>
      </c>
      <c r="B23" s="7">
        <v>119468</v>
      </c>
      <c r="C23" s="7">
        <v>125190</v>
      </c>
      <c r="D23" s="7">
        <v>8627</v>
      </c>
      <c r="E23" s="7">
        <v>438000</v>
      </c>
      <c r="F23" s="7">
        <v>332518</v>
      </c>
    </row>
    <row r="24" spans="1:6" x14ac:dyDescent="0.35">
      <c r="A24" t="s">
        <v>90</v>
      </c>
      <c r="B24" s="7">
        <v>117490</v>
      </c>
      <c r="C24" s="7">
        <v>126638</v>
      </c>
      <c r="D24" s="7">
        <v>9820</v>
      </c>
      <c r="E24" s="7">
        <v>463800</v>
      </c>
      <c r="F24" s="7">
        <v>339258</v>
      </c>
    </row>
    <row r="25" spans="1:6" x14ac:dyDescent="0.35">
      <c r="A25" t="s">
        <v>91</v>
      </c>
      <c r="B25" s="7">
        <v>134125</v>
      </c>
      <c r="C25" s="7">
        <v>132852</v>
      </c>
      <c r="D25" s="7">
        <v>9222</v>
      </c>
      <c r="E25" s="7">
        <v>460900</v>
      </c>
      <c r="F25" s="7">
        <v>341839</v>
      </c>
    </row>
    <row r="26" spans="1:6" x14ac:dyDescent="0.35">
      <c r="A26" t="s">
        <v>92</v>
      </c>
      <c r="B26" s="7">
        <v>120296</v>
      </c>
      <c r="C26" s="7">
        <v>125944</v>
      </c>
      <c r="D26" s="7">
        <v>9822</v>
      </c>
      <c r="E26" s="7">
        <v>473300</v>
      </c>
      <c r="F26" s="7">
        <v>349602</v>
      </c>
    </row>
    <row r="27" spans="1:6" x14ac:dyDescent="0.35">
      <c r="A27" t="s">
        <v>93</v>
      </c>
      <c r="B27" s="7">
        <v>129579</v>
      </c>
      <c r="C27" s="7">
        <v>132490</v>
      </c>
      <c r="D27" s="7">
        <v>9241</v>
      </c>
      <c r="E27" s="7">
        <v>483300</v>
      </c>
      <c r="F27" s="7">
        <v>353424</v>
      </c>
    </row>
    <row r="28" spans="1:6" x14ac:dyDescent="0.35">
      <c r="A28" t="s">
        <v>94</v>
      </c>
      <c r="B28" s="7">
        <v>124953</v>
      </c>
      <c r="C28" s="7">
        <v>135184</v>
      </c>
      <c r="D28" s="7">
        <v>10499</v>
      </c>
      <c r="E28" s="7">
        <v>503500</v>
      </c>
      <c r="F28" s="7">
        <v>358384</v>
      </c>
    </row>
    <row r="29" spans="1:6" x14ac:dyDescent="0.35">
      <c r="A29" t="s">
        <v>95</v>
      </c>
      <c r="B29" s="7">
        <v>144900</v>
      </c>
      <c r="C29" s="7">
        <v>139980</v>
      </c>
      <c r="D29" s="7">
        <v>9444</v>
      </c>
      <c r="E29" s="7">
        <v>499400</v>
      </c>
      <c r="F29" s="7">
        <v>362595</v>
      </c>
    </row>
    <row r="30" spans="1:6" x14ac:dyDescent="0.35">
      <c r="A30" t="s">
        <v>96</v>
      </c>
      <c r="B30" s="7">
        <v>128312</v>
      </c>
      <c r="C30" s="7">
        <v>133238</v>
      </c>
      <c r="D30" s="7">
        <v>10203</v>
      </c>
      <c r="E30" s="7">
        <v>520000</v>
      </c>
      <c r="F30" s="7">
        <v>368522</v>
      </c>
    </row>
    <row r="31" spans="1:6" x14ac:dyDescent="0.35">
      <c r="A31" t="s">
        <v>97</v>
      </c>
      <c r="B31" s="7">
        <v>136232</v>
      </c>
      <c r="C31" s="7">
        <v>139430</v>
      </c>
      <c r="D31" s="7">
        <v>9945</v>
      </c>
      <c r="E31" s="7">
        <v>524600</v>
      </c>
      <c r="F31" s="7">
        <v>372582</v>
      </c>
    </row>
    <row r="32" spans="1:6" x14ac:dyDescent="0.35">
      <c r="A32" t="s">
        <v>98</v>
      </c>
      <c r="B32" s="7">
        <v>131759</v>
      </c>
      <c r="C32" s="7">
        <v>139105</v>
      </c>
      <c r="D32" s="7">
        <v>11505</v>
      </c>
      <c r="E32" s="7">
        <v>539000</v>
      </c>
      <c r="F32" s="7">
        <v>374381</v>
      </c>
    </row>
    <row r="33" spans="1:6" x14ac:dyDescent="0.35">
      <c r="A33" t="s">
        <v>99</v>
      </c>
      <c r="B33" s="7">
        <v>155198</v>
      </c>
      <c r="C33" s="7">
        <v>147198</v>
      </c>
      <c r="D33" s="7">
        <v>10962</v>
      </c>
      <c r="E33" s="7">
        <v>535200</v>
      </c>
      <c r="F33" s="7">
        <v>378672</v>
      </c>
    </row>
    <row r="34" spans="1:6" x14ac:dyDescent="0.35">
      <c r="A34" t="s">
        <v>100</v>
      </c>
      <c r="B34" s="7">
        <v>135241</v>
      </c>
      <c r="C34" s="7">
        <v>138819</v>
      </c>
      <c r="D34" s="7">
        <v>11652</v>
      </c>
      <c r="E34" s="7">
        <v>551200</v>
      </c>
      <c r="F34" s="7">
        <v>387949</v>
      </c>
    </row>
    <row r="35" spans="1:6" x14ac:dyDescent="0.35">
      <c r="A35" t="s">
        <v>101</v>
      </c>
      <c r="B35" s="7">
        <v>144396</v>
      </c>
      <c r="C35" s="7">
        <v>146914</v>
      </c>
      <c r="D35" s="7">
        <v>10982</v>
      </c>
      <c r="E35" s="7">
        <v>553000</v>
      </c>
      <c r="F35" s="7">
        <v>390894</v>
      </c>
    </row>
    <row r="36" spans="1:6" x14ac:dyDescent="0.35">
      <c r="A36" t="s">
        <v>102</v>
      </c>
      <c r="B36" s="7">
        <v>140980</v>
      </c>
      <c r="C36" s="7">
        <v>149885</v>
      </c>
      <c r="D36" s="7">
        <v>14427</v>
      </c>
      <c r="E36" s="7">
        <v>574700</v>
      </c>
      <c r="F36" s="7">
        <v>394214</v>
      </c>
    </row>
    <row r="37" spans="1:6" x14ac:dyDescent="0.35">
      <c r="A37" t="s">
        <v>103</v>
      </c>
      <c r="B37" s="7">
        <v>166774</v>
      </c>
      <c r="C37" s="7">
        <v>161380</v>
      </c>
      <c r="D37" s="7">
        <v>12415</v>
      </c>
      <c r="E37" s="7">
        <v>567200</v>
      </c>
      <c r="F37" s="7">
        <v>399716</v>
      </c>
    </row>
    <row r="38" spans="1:6" x14ac:dyDescent="0.35">
      <c r="A38" t="s">
        <v>104</v>
      </c>
      <c r="B38" s="7">
        <v>139719</v>
      </c>
      <c r="C38" s="7">
        <v>151089</v>
      </c>
      <c r="D38" s="7">
        <v>13965</v>
      </c>
      <c r="E38" s="7">
        <v>600100</v>
      </c>
      <c r="F38" s="7">
        <v>402687</v>
      </c>
    </row>
    <row r="39" spans="1:6" x14ac:dyDescent="0.35">
      <c r="A39" t="s">
        <v>105</v>
      </c>
      <c r="B39" s="7">
        <v>146934</v>
      </c>
      <c r="C39" s="7">
        <v>162474</v>
      </c>
      <c r="D39" s="7">
        <v>13373</v>
      </c>
      <c r="E39" s="7">
        <v>681200</v>
      </c>
      <c r="F39" s="7">
        <v>402137</v>
      </c>
    </row>
    <row r="40" spans="1:6" x14ac:dyDescent="0.35">
      <c r="A40" t="s">
        <v>106</v>
      </c>
      <c r="B40" s="7">
        <v>168497</v>
      </c>
      <c r="C40" s="7">
        <v>188062</v>
      </c>
      <c r="D40" s="7">
        <v>38880</v>
      </c>
      <c r="E40" s="7">
        <v>749900</v>
      </c>
      <c r="F40" s="7">
        <v>397677</v>
      </c>
    </row>
    <row r="41" spans="1:6" x14ac:dyDescent="0.35">
      <c r="A41" t="s">
        <v>107</v>
      </c>
      <c r="B41" s="7">
        <v>169588</v>
      </c>
      <c r="C41" s="7">
        <v>186831</v>
      </c>
      <c r="D41" s="7">
        <v>23728</v>
      </c>
      <c r="E41" s="7">
        <v>787200</v>
      </c>
      <c r="F41" s="7">
        <v>389775</v>
      </c>
    </row>
    <row r="42" spans="1:6" x14ac:dyDescent="0.35">
      <c r="A42" t="s">
        <v>108</v>
      </c>
      <c r="B42" s="7">
        <v>148534</v>
      </c>
      <c r="C42" s="7">
        <v>174504</v>
      </c>
      <c r="D42" s="7">
        <v>25354</v>
      </c>
      <c r="E42" s="7">
        <v>849700</v>
      </c>
      <c r="F42" s="7">
        <v>389151</v>
      </c>
    </row>
    <row r="43" spans="1:6" x14ac:dyDescent="0.35">
      <c r="A43" t="s">
        <v>109</v>
      </c>
      <c r="B43" s="7">
        <v>153070</v>
      </c>
      <c r="C43" s="7">
        <v>175367</v>
      </c>
      <c r="D43" s="7">
        <v>17377</v>
      </c>
      <c r="E43" s="7">
        <v>877500</v>
      </c>
      <c r="F43" s="7">
        <v>391179</v>
      </c>
    </row>
    <row r="44" spans="1:6" x14ac:dyDescent="0.35">
      <c r="A44" t="s">
        <v>110</v>
      </c>
      <c r="B44" s="7">
        <v>147703</v>
      </c>
      <c r="C44" s="7">
        <v>182703</v>
      </c>
      <c r="D44" s="7">
        <v>22144</v>
      </c>
      <c r="E44" s="7">
        <v>958600</v>
      </c>
      <c r="F44" s="7">
        <v>389300</v>
      </c>
    </row>
    <row r="45" spans="1:6" x14ac:dyDescent="0.35">
      <c r="A45" t="s">
        <v>111</v>
      </c>
      <c r="B45" s="7">
        <v>172789</v>
      </c>
      <c r="C45" s="7">
        <v>190041</v>
      </c>
      <c r="D45" s="7">
        <v>21709</v>
      </c>
      <c r="E45" s="7">
        <v>1027900</v>
      </c>
      <c r="F45" s="7">
        <v>398126</v>
      </c>
    </row>
    <row r="46" spans="1:6" x14ac:dyDescent="0.35">
      <c r="A46" t="s">
        <v>112</v>
      </c>
      <c r="B46" s="7">
        <v>156881</v>
      </c>
      <c r="C46" s="7">
        <v>177328</v>
      </c>
      <c r="D46" s="7">
        <v>24144</v>
      </c>
      <c r="E46" s="7">
        <v>1068100</v>
      </c>
      <c r="F46" s="7">
        <v>402937</v>
      </c>
    </row>
    <row r="47" spans="1:6" x14ac:dyDescent="0.35">
      <c r="A47" t="s">
        <v>113</v>
      </c>
      <c r="B47" s="7">
        <v>160802</v>
      </c>
      <c r="C47" s="7">
        <v>182960</v>
      </c>
      <c r="D47" s="7">
        <v>21311</v>
      </c>
      <c r="E47" s="7">
        <v>1106900</v>
      </c>
      <c r="F47" s="7">
        <v>406177</v>
      </c>
    </row>
    <row r="48" spans="1:6" x14ac:dyDescent="0.35">
      <c r="A48" t="s">
        <v>114</v>
      </c>
      <c r="B48" s="7">
        <v>153696</v>
      </c>
      <c r="C48" s="7">
        <v>185330</v>
      </c>
      <c r="D48" s="7">
        <v>24065</v>
      </c>
      <c r="E48" s="7">
        <v>1152500</v>
      </c>
      <c r="F48" s="7">
        <v>408599</v>
      </c>
    </row>
    <row r="49" spans="1:6" x14ac:dyDescent="0.35">
      <c r="A49" t="s">
        <v>115</v>
      </c>
      <c r="B49" s="7">
        <v>185303</v>
      </c>
      <c r="C49" s="7">
        <v>191840</v>
      </c>
      <c r="D49" s="7">
        <v>23073</v>
      </c>
      <c r="E49" s="7">
        <v>1168700</v>
      </c>
      <c r="F49" s="7">
        <v>416521</v>
      </c>
    </row>
    <row r="50" spans="1:6" x14ac:dyDescent="0.35">
      <c r="A50" t="s">
        <v>116</v>
      </c>
      <c r="B50" s="7">
        <v>164301</v>
      </c>
      <c r="C50" s="7">
        <v>178245</v>
      </c>
      <c r="D50" s="7">
        <v>25806</v>
      </c>
      <c r="E50" s="7">
        <v>1202900</v>
      </c>
      <c r="F50" s="7">
        <v>414040</v>
      </c>
    </row>
    <row r="51" spans="1:6" x14ac:dyDescent="0.35">
      <c r="A51" t="s">
        <v>117</v>
      </c>
      <c r="B51" s="7">
        <v>169995</v>
      </c>
      <c r="C51" s="7">
        <v>182851</v>
      </c>
      <c r="D51" s="7">
        <v>22738</v>
      </c>
      <c r="E51" s="7">
        <v>1219100</v>
      </c>
      <c r="F51" s="7">
        <v>418119</v>
      </c>
    </row>
    <row r="52" spans="1:6" x14ac:dyDescent="0.35">
      <c r="A52" t="s">
        <v>118</v>
      </c>
      <c r="B52" s="7">
        <v>162306</v>
      </c>
      <c r="C52" s="7">
        <v>184918</v>
      </c>
      <c r="D52" s="7">
        <v>25797</v>
      </c>
      <c r="E52" s="7">
        <v>1250600</v>
      </c>
      <c r="F52" s="7">
        <v>421265</v>
      </c>
    </row>
    <row r="53" spans="1:6" x14ac:dyDescent="0.35">
      <c r="A53" t="s">
        <v>119</v>
      </c>
      <c r="B53" s="7">
        <v>184006</v>
      </c>
      <c r="C53" s="7">
        <v>193007</v>
      </c>
      <c r="D53" s="7">
        <v>21730</v>
      </c>
      <c r="E53" s="7">
        <v>1261100</v>
      </c>
      <c r="F53" s="7">
        <v>426653</v>
      </c>
    </row>
    <row r="54" spans="1:6" x14ac:dyDescent="0.35">
      <c r="A54" t="s">
        <v>120</v>
      </c>
      <c r="B54" s="7">
        <v>163695</v>
      </c>
      <c r="C54" s="7">
        <v>191934</v>
      </c>
      <c r="D54" s="7">
        <v>25693</v>
      </c>
      <c r="E54" s="7">
        <v>1290100</v>
      </c>
      <c r="F54" s="7">
        <v>426698</v>
      </c>
    </row>
    <row r="55" spans="1:6" x14ac:dyDescent="0.35">
      <c r="A55" t="s">
        <v>121</v>
      </c>
      <c r="B55" s="7">
        <v>171789</v>
      </c>
      <c r="C55" s="7">
        <v>182412</v>
      </c>
      <c r="D55" s="7">
        <v>20391</v>
      </c>
      <c r="E55" s="7">
        <v>1308900</v>
      </c>
      <c r="F55" s="7">
        <v>433287</v>
      </c>
    </row>
    <row r="56" spans="1:6" x14ac:dyDescent="0.35">
      <c r="A56" t="s">
        <v>122</v>
      </c>
      <c r="B56" s="7">
        <v>164675</v>
      </c>
      <c r="C56" s="7">
        <v>187821</v>
      </c>
      <c r="D56" s="7">
        <v>24517</v>
      </c>
      <c r="E56" s="7">
        <v>1354300</v>
      </c>
      <c r="F56" s="7">
        <v>435070</v>
      </c>
    </row>
    <row r="57" spans="1:6" x14ac:dyDescent="0.35">
      <c r="A57" t="s">
        <v>123</v>
      </c>
      <c r="B57" s="7">
        <v>184883</v>
      </c>
      <c r="C57" s="7">
        <v>188413</v>
      </c>
      <c r="D57" s="7">
        <v>20919</v>
      </c>
      <c r="E57" s="7">
        <v>1366200</v>
      </c>
      <c r="F57" s="7">
        <v>440038</v>
      </c>
    </row>
    <row r="58" spans="1:6" x14ac:dyDescent="0.35">
      <c r="A58" t="s">
        <v>124</v>
      </c>
      <c r="B58" s="7">
        <v>169551</v>
      </c>
      <c r="C58" s="7">
        <v>184528</v>
      </c>
      <c r="D58" s="7">
        <v>24474</v>
      </c>
      <c r="E58" s="7">
        <v>1397700</v>
      </c>
      <c r="F58" s="7">
        <v>443626</v>
      </c>
    </row>
    <row r="59" spans="1:6" x14ac:dyDescent="0.35">
      <c r="A59" t="s">
        <v>125</v>
      </c>
      <c r="B59" s="7">
        <v>174097</v>
      </c>
      <c r="C59" s="7">
        <v>183949</v>
      </c>
      <c r="D59" s="7">
        <v>19448</v>
      </c>
      <c r="E59" s="7">
        <v>1415400</v>
      </c>
      <c r="F59" s="7">
        <v>450725</v>
      </c>
    </row>
    <row r="60" spans="1:6" x14ac:dyDescent="0.35">
      <c r="A60" t="s">
        <v>126</v>
      </c>
      <c r="B60" s="7">
        <v>168838</v>
      </c>
      <c r="C60" s="7">
        <v>188148</v>
      </c>
      <c r="D60" s="7">
        <v>22701</v>
      </c>
      <c r="E60" s="7">
        <v>1452600</v>
      </c>
      <c r="F60" s="7">
        <v>454683</v>
      </c>
    </row>
    <row r="61" spans="1:6" x14ac:dyDescent="0.35">
      <c r="A61" t="s">
        <v>127</v>
      </c>
      <c r="B61" s="7">
        <v>188592</v>
      </c>
      <c r="C61" s="7">
        <v>190761</v>
      </c>
      <c r="D61" s="7">
        <v>17609</v>
      </c>
      <c r="E61" s="7">
        <v>1461100</v>
      </c>
      <c r="F61" s="7">
        <v>460682</v>
      </c>
    </row>
    <row r="62" spans="1:6" x14ac:dyDescent="0.35">
      <c r="A62" t="s">
        <v>128</v>
      </c>
      <c r="B62" s="7">
        <v>168730</v>
      </c>
      <c r="C62" s="7">
        <v>185463</v>
      </c>
      <c r="D62" s="7">
        <v>21146</v>
      </c>
      <c r="E62" s="7">
        <v>1497900</v>
      </c>
      <c r="F62" s="7">
        <v>464667</v>
      </c>
    </row>
    <row r="63" spans="1:6" x14ac:dyDescent="0.35">
      <c r="A63" t="s">
        <v>129</v>
      </c>
      <c r="B63" s="7">
        <v>175793</v>
      </c>
      <c r="C63" s="7">
        <v>186652</v>
      </c>
      <c r="D63" s="7">
        <v>15887</v>
      </c>
      <c r="E63" s="7">
        <v>1513900</v>
      </c>
      <c r="F63" s="7">
        <v>474115</v>
      </c>
    </row>
    <row r="64" spans="1:6" x14ac:dyDescent="0.35">
      <c r="A64" t="s">
        <v>130</v>
      </c>
      <c r="B64" s="7">
        <v>172128</v>
      </c>
      <c r="C64" s="7">
        <v>190367</v>
      </c>
      <c r="D64" s="7">
        <v>17835</v>
      </c>
      <c r="E64" s="7">
        <v>1550800</v>
      </c>
      <c r="F64" s="7">
        <v>475602</v>
      </c>
    </row>
    <row r="65" spans="1:6" x14ac:dyDescent="0.35">
      <c r="A65" t="s">
        <v>131</v>
      </c>
      <c r="B65" s="7">
        <v>195428</v>
      </c>
      <c r="C65" s="7">
        <v>191054</v>
      </c>
      <c r="D65" s="7">
        <v>12709</v>
      </c>
      <c r="E65" s="7">
        <v>1551900</v>
      </c>
      <c r="F65" s="7">
        <v>478016</v>
      </c>
    </row>
    <row r="66" spans="1:6" x14ac:dyDescent="0.35">
      <c r="A66" t="s">
        <v>132</v>
      </c>
      <c r="B66" s="7">
        <v>173839</v>
      </c>
      <c r="C66" s="7">
        <v>187082</v>
      </c>
      <c r="D66" s="7">
        <v>18725</v>
      </c>
      <c r="E66" s="7">
        <v>1577900</v>
      </c>
      <c r="F66" s="7">
        <v>479382</v>
      </c>
    </row>
    <row r="67" spans="1:6" x14ac:dyDescent="0.35">
      <c r="A67" t="s">
        <v>133</v>
      </c>
      <c r="B67" s="7">
        <v>180785</v>
      </c>
      <c r="C67" s="7">
        <v>189070</v>
      </c>
      <c r="D67" s="7">
        <v>16047</v>
      </c>
      <c r="E67" s="7">
        <v>1583500</v>
      </c>
      <c r="F67" s="7">
        <v>482690</v>
      </c>
    </row>
    <row r="68" spans="1:6" x14ac:dyDescent="0.35">
      <c r="A68" t="s">
        <v>134</v>
      </c>
      <c r="B68" s="7">
        <v>174942</v>
      </c>
      <c r="C68" s="7">
        <v>188183</v>
      </c>
      <c r="D68" s="7">
        <v>17164</v>
      </c>
      <c r="E68" s="7">
        <v>1602900</v>
      </c>
      <c r="F68" s="7">
        <v>487928</v>
      </c>
    </row>
    <row r="69" spans="1:6" x14ac:dyDescent="0.35">
      <c r="A69" t="s">
        <v>135</v>
      </c>
      <c r="B69" s="7">
        <v>203924</v>
      </c>
      <c r="C69" s="7">
        <v>194041</v>
      </c>
      <c r="D69" s="7">
        <v>15008</v>
      </c>
      <c r="E69" s="7">
        <v>1595000</v>
      </c>
      <c r="F69" s="7">
        <v>492644</v>
      </c>
    </row>
    <row r="70" spans="1:6" x14ac:dyDescent="0.35">
      <c r="A70" t="s">
        <v>136</v>
      </c>
      <c r="B70" s="7">
        <v>181122</v>
      </c>
      <c r="C70" s="7">
        <v>190863</v>
      </c>
      <c r="D70" s="7">
        <v>18892</v>
      </c>
      <c r="E70" s="7">
        <v>1620000</v>
      </c>
      <c r="F70" s="7">
        <v>497056</v>
      </c>
    </row>
    <row r="71" spans="1:6" x14ac:dyDescent="0.35">
      <c r="A71" t="s">
        <v>137</v>
      </c>
      <c r="B71" s="7">
        <v>190795</v>
      </c>
      <c r="C71" s="7">
        <v>195310</v>
      </c>
      <c r="D71" s="7">
        <v>17387</v>
      </c>
      <c r="E71" s="7">
        <v>1628700</v>
      </c>
      <c r="F71" s="7">
        <v>504373</v>
      </c>
    </row>
    <row r="72" spans="1:6" x14ac:dyDescent="0.35">
      <c r="A72" t="s">
        <v>138</v>
      </c>
      <c r="B72" s="7">
        <v>184943</v>
      </c>
      <c r="C72" s="7">
        <v>190707</v>
      </c>
      <c r="D72" s="7">
        <v>17126</v>
      </c>
      <c r="E72" s="7">
        <v>1690600</v>
      </c>
      <c r="F72" s="7">
        <v>510682</v>
      </c>
    </row>
    <row r="73" spans="1:6" x14ac:dyDescent="0.35">
      <c r="A73" t="s">
        <v>139</v>
      </c>
      <c r="B73" s="7">
        <v>221243</v>
      </c>
      <c r="C73" s="7">
        <v>197524</v>
      </c>
      <c r="D73" s="7">
        <v>15433</v>
      </c>
      <c r="E73" s="7">
        <v>1714500</v>
      </c>
      <c r="F73" s="7">
        <v>517306</v>
      </c>
    </row>
    <row r="74" spans="1:6" x14ac:dyDescent="0.35">
      <c r="A74" t="s">
        <v>140</v>
      </c>
      <c r="B74" s="7">
        <v>191875</v>
      </c>
      <c r="C74" s="7">
        <v>200454</v>
      </c>
      <c r="D74" s="7">
        <v>21227</v>
      </c>
      <c r="E74" s="7">
        <v>1750100</v>
      </c>
      <c r="F74" s="7">
        <v>521616</v>
      </c>
    </row>
    <row r="75" spans="1:6" x14ac:dyDescent="0.35">
      <c r="A75" t="s">
        <v>141</v>
      </c>
      <c r="B75" s="7">
        <v>198612</v>
      </c>
      <c r="C75" s="7">
        <v>198847</v>
      </c>
      <c r="D75" s="7">
        <v>17571</v>
      </c>
      <c r="E75" s="7">
        <v>1773500</v>
      </c>
      <c r="F75" s="7">
        <v>525161</v>
      </c>
    </row>
    <row r="76" spans="1:6" x14ac:dyDescent="0.35">
      <c r="A76" t="s">
        <v>142</v>
      </c>
      <c r="B76" s="7">
        <v>194097</v>
      </c>
      <c r="C76" s="7">
        <v>197785</v>
      </c>
      <c r="D76" s="7">
        <v>18854</v>
      </c>
      <c r="E76" s="7">
        <v>1744600</v>
      </c>
      <c r="F76" s="7">
        <v>533139</v>
      </c>
    </row>
    <row r="77" spans="1:6" x14ac:dyDescent="0.35">
      <c r="A77" t="s">
        <v>143</v>
      </c>
      <c r="B77" s="7">
        <v>219476</v>
      </c>
      <c r="C77" s="7">
        <v>203338</v>
      </c>
      <c r="D77" s="7">
        <v>15567</v>
      </c>
      <c r="E77" s="7">
        <v>1757800</v>
      </c>
      <c r="F77" s="7">
        <v>535163</v>
      </c>
    </row>
    <row r="78" spans="1:6" x14ac:dyDescent="0.35">
      <c r="A78" t="s">
        <v>144</v>
      </c>
      <c r="B78" s="7">
        <v>195710</v>
      </c>
      <c r="C78" s="7">
        <v>199683</v>
      </c>
      <c r="D78" s="7">
        <v>19417</v>
      </c>
      <c r="E78" s="7">
        <v>1779900</v>
      </c>
      <c r="F78" s="7">
        <v>540719</v>
      </c>
    </row>
    <row r="79" spans="1:6" x14ac:dyDescent="0.35">
      <c r="A79" t="s">
        <v>145</v>
      </c>
      <c r="B79" s="7">
        <v>205591</v>
      </c>
      <c r="C79" s="7">
        <v>203608</v>
      </c>
      <c r="D79" s="7">
        <v>17448</v>
      </c>
      <c r="E79" s="7">
        <v>1775700</v>
      </c>
      <c r="F79" s="7">
        <v>545160</v>
      </c>
    </row>
    <row r="80" spans="1:6" x14ac:dyDescent="0.35">
      <c r="A80" t="s">
        <v>146</v>
      </c>
      <c r="B80" s="7">
        <v>200171</v>
      </c>
      <c r="C80" s="7">
        <v>205212</v>
      </c>
      <c r="D80" s="7">
        <v>19298</v>
      </c>
      <c r="E80" s="7">
        <v>1798600</v>
      </c>
      <c r="F80" s="7">
        <v>550517</v>
      </c>
    </row>
    <row r="81" spans="1:6" x14ac:dyDescent="0.35">
      <c r="A81" t="s">
        <v>147</v>
      </c>
      <c r="B81" s="7">
        <v>233241</v>
      </c>
      <c r="C81" s="7">
        <v>209825</v>
      </c>
      <c r="D81" s="7">
        <v>13048</v>
      </c>
      <c r="E81" s="7">
        <v>1776000</v>
      </c>
      <c r="F81" s="7">
        <v>553984</v>
      </c>
    </row>
    <row r="82" spans="1:6" x14ac:dyDescent="0.35">
      <c r="A82" t="s">
        <v>148</v>
      </c>
      <c r="B82" s="7">
        <v>200264</v>
      </c>
      <c r="C82" s="7">
        <v>208406</v>
      </c>
      <c r="D82" s="7">
        <v>21609</v>
      </c>
      <c r="E82" s="7">
        <v>1808700</v>
      </c>
      <c r="F82" s="7">
        <v>560995</v>
      </c>
    </row>
    <row r="83" spans="1:6" x14ac:dyDescent="0.35">
      <c r="A83" t="s">
        <v>149</v>
      </c>
      <c r="B83" s="7">
        <v>211136</v>
      </c>
      <c r="C83" s="7">
        <v>209119</v>
      </c>
      <c r="D83" s="7">
        <v>15280</v>
      </c>
      <c r="E83" s="7">
        <v>1808000</v>
      </c>
      <c r="F83" s="7">
        <v>567451</v>
      </c>
    </row>
    <row r="84" spans="1:6" x14ac:dyDescent="0.35">
      <c r="A84" t="s">
        <v>150</v>
      </c>
      <c r="B84" s="7">
        <v>201244</v>
      </c>
      <c r="C84" s="7">
        <v>208375</v>
      </c>
      <c r="D84" s="7">
        <v>16167</v>
      </c>
      <c r="E84" s="7">
        <v>1837500</v>
      </c>
      <c r="F84" s="7">
        <v>570531</v>
      </c>
    </row>
    <row r="85" spans="1:6" x14ac:dyDescent="0.35">
      <c r="A85" t="s">
        <v>151</v>
      </c>
      <c r="B85" s="7">
        <v>233890</v>
      </c>
      <c r="C85" s="7">
        <v>218511</v>
      </c>
      <c r="D85" s="7">
        <v>13881</v>
      </c>
      <c r="E85" s="7">
        <v>1815800</v>
      </c>
      <c r="F85" s="7">
        <v>559365</v>
      </c>
    </row>
    <row r="86" spans="1:6" x14ac:dyDescent="0.35">
      <c r="A86" t="s">
        <v>152</v>
      </c>
      <c r="B86" s="7">
        <v>174040</v>
      </c>
      <c r="C86" s="7">
        <v>290360</v>
      </c>
      <c r="D86" s="7">
        <v>15086</v>
      </c>
      <c r="E86" s="7">
        <v>2024400</v>
      </c>
      <c r="F86" s="7">
        <v>481227</v>
      </c>
    </row>
    <row r="87" spans="1:6" x14ac:dyDescent="0.35">
      <c r="A87" t="s">
        <v>153</v>
      </c>
      <c r="B87" s="7">
        <v>195662</v>
      </c>
      <c r="C87" s="7">
        <v>253616</v>
      </c>
      <c r="D87" s="7">
        <v>13916</v>
      </c>
      <c r="E87" s="7">
        <v>2069000</v>
      </c>
      <c r="F87" s="7">
        <v>540319</v>
      </c>
    </row>
    <row r="88" spans="1:6" x14ac:dyDescent="0.35">
      <c r="A88" t="s">
        <v>154</v>
      </c>
      <c r="B88" s="7">
        <v>203676</v>
      </c>
      <c r="C88" s="7">
        <v>250989</v>
      </c>
      <c r="D88" s="7">
        <v>11892</v>
      </c>
      <c r="E88" s="7">
        <v>2152500</v>
      </c>
      <c r="F88" s="7">
        <v>543809</v>
      </c>
    </row>
    <row r="89" spans="1:6" x14ac:dyDescent="0.35">
      <c r="A89" t="s">
        <v>155</v>
      </c>
      <c r="B89" s="7">
        <v>239942</v>
      </c>
      <c r="C89" s="7">
        <v>265488</v>
      </c>
      <c r="D89" s="7">
        <v>12295</v>
      </c>
      <c r="E89" s="7">
        <v>2155100</v>
      </c>
      <c r="F89" s="7">
        <v>545116</v>
      </c>
    </row>
    <row r="90" spans="1:6" x14ac:dyDescent="0.35">
      <c r="A90" t="s">
        <v>156</v>
      </c>
      <c r="B90" s="7">
        <v>209864</v>
      </c>
      <c r="C90" s="7">
        <v>253226</v>
      </c>
      <c r="D90" s="7">
        <v>21448</v>
      </c>
      <c r="E90" s="7">
        <v>2225400</v>
      </c>
      <c r="F90" s="7">
        <v>576525</v>
      </c>
    </row>
    <row r="91" spans="1:6" x14ac:dyDescent="0.35">
      <c r="A91" t="s">
        <v>157</v>
      </c>
      <c r="B91" s="7">
        <v>226382</v>
      </c>
      <c r="C91" s="7">
        <v>245635</v>
      </c>
      <c r="D91" s="7">
        <v>18420</v>
      </c>
      <c r="E91" s="7">
        <v>2236600</v>
      </c>
      <c r="F91" s="7">
        <v>592707</v>
      </c>
    </row>
    <row r="92" spans="1:6" x14ac:dyDescent="0.35">
      <c r="A92" t="s">
        <v>158</v>
      </c>
      <c r="B92" s="7">
        <v>231558</v>
      </c>
      <c r="C92" s="7">
        <v>240691</v>
      </c>
      <c r="D92" s="7">
        <v>22562</v>
      </c>
      <c r="E92" s="7">
        <v>2364700</v>
      </c>
      <c r="F92" s="7">
        <v>608304</v>
      </c>
    </row>
    <row r="93" spans="1:6" x14ac:dyDescent="0.35">
      <c r="A93" t="s">
        <v>159</v>
      </c>
      <c r="B93" s="7">
        <v>275087</v>
      </c>
      <c r="C93" s="7">
        <v>258644</v>
      </c>
      <c r="D93" s="7">
        <v>22756</v>
      </c>
      <c r="E93" s="7">
        <v>2380800</v>
      </c>
      <c r="F93" s="7">
        <v>623014</v>
      </c>
    </row>
    <row r="94" spans="1:6" x14ac:dyDescent="0.35">
      <c r="A94" t="s">
        <v>160</v>
      </c>
      <c r="B94" s="7">
        <v>239908</v>
      </c>
      <c r="C94" s="7">
        <v>264045</v>
      </c>
      <c r="D94" s="7">
        <v>41185</v>
      </c>
      <c r="E94" s="7">
        <v>2425900</v>
      </c>
      <c r="F94" s="7">
        <v>639293</v>
      </c>
    </row>
    <row r="95" spans="1:6" x14ac:dyDescent="0.35">
      <c r="A95" t="s">
        <v>161</v>
      </c>
      <c r="B95" s="7">
        <v>259573</v>
      </c>
      <c r="C95" s="7">
        <v>266057</v>
      </c>
      <c r="D95" s="7">
        <v>32093</v>
      </c>
      <c r="E95" s="7">
        <v>2443800</v>
      </c>
      <c r="F95" s="7">
        <v>650233</v>
      </c>
    </row>
    <row r="96" spans="1:6" x14ac:dyDescent="0.35">
      <c r="A96" t="s">
        <v>162</v>
      </c>
      <c r="B96" s="7">
        <v>258335</v>
      </c>
      <c r="C96" s="7">
        <v>282334</v>
      </c>
      <c r="D96" s="7">
        <v>43583</v>
      </c>
      <c r="E96" s="7">
        <v>2501300</v>
      </c>
      <c r="F96" s="7">
        <v>668409</v>
      </c>
    </row>
    <row r="97" spans="1:6" x14ac:dyDescent="0.35">
      <c r="A97" t="s">
        <v>163</v>
      </c>
      <c r="B97" s="7">
        <v>306222</v>
      </c>
      <c r="C97" s="7">
        <v>307321</v>
      </c>
      <c r="D97" s="7">
        <v>33326</v>
      </c>
      <c r="E97" s="7">
        <v>2545500</v>
      </c>
      <c r="F97" s="7">
        <v>679194</v>
      </c>
    </row>
    <row r="98" spans="1:6" x14ac:dyDescent="0.35">
      <c r="A98" t="s">
        <v>164</v>
      </c>
      <c r="B98" s="7">
        <v>262912</v>
      </c>
      <c r="C98" s="7">
        <v>298725</v>
      </c>
      <c r="D98" s="7">
        <v>48265</v>
      </c>
      <c r="E98" s="7">
        <v>2610400</v>
      </c>
      <c r="F98" s="7">
        <v>689618</v>
      </c>
    </row>
    <row r="99" spans="1:6" x14ac:dyDescent="0.35">
      <c r="A99" t="s">
        <v>165</v>
      </c>
      <c r="B99" s="7">
        <v>276977</v>
      </c>
      <c r="C99" s="7">
        <v>287447</v>
      </c>
      <c r="D99" s="7">
        <v>33302</v>
      </c>
      <c r="E99" s="7">
        <v>2609700</v>
      </c>
      <c r="F99" s="7">
        <v>692982</v>
      </c>
    </row>
    <row r="100" spans="1:6" x14ac:dyDescent="0.35">
      <c r="A100" t="s">
        <v>166</v>
      </c>
      <c r="B100" s="7">
        <v>274005</v>
      </c>
      <c r="C100" s="7">
        <v>294124</v>
      </c>
      <c r="D100" s="7">
        <v>38616</v>
      </c>
      <c r="E100" s="7">
        <v>2695700</v>
      </c>
      <c r="F100" s="7">
        <v>690370</v>
      </c>
    </row>
    <row r="101" spans="1:6" x14ac:dyDescent="0.35">
      <c r="A101" t="s">
        <v>167</v>
      </c>
      <c r="B101" s="7">
        <v>319070</v>
      </c>
      <c r="C101" s="7">
        <v>310824</v>
      </c>
      <c r="D101" s="7">
        <v>32729</v>
      </c>
      <c r="E101" s="7">
        <v>2685600</v>
      </c>
      <c r="F101" s="7">
        <v>705573</v>
      </c>
    </row>
    <row r="102" spans="1:6" x14ac:dyDescent="0.35">
      <c r="A102" t="s">
        <v>168</v>
      </c>
      <c r="B102" s="7">
        <v>267063</v>
      </c>
      <c r="C102" s="7">
        <v>300023</v>
      </c>
      <c r="D102" s="7">
        <v>41284</v>
      </c>
      <c r="E102" s="7">
        <v>2730900</v>
      </c>
      <c r="F102" s="7">
        <v>717865</v>
      </c>
    </row>
    <row r="103" spans="1:6" x14ac:dyDescent="0.35">
      <c r="A103" t="s">
        <v>169</v>
      </c>
      <c r="B103" s="7">
        <v>275787</v>
      </c>
      <c r="C103" s="7">
        <v>296104</v>
      </c>
      <c r="D103" s="7">
        <v>29834</v>
      </c>
      <c r="E103" s="7">
        <v>2757800</v>
      </c>
      <c r="F103" s="7">
        <v>729877</v>
      </c>
    </row>
    <row r="104" spans="1:6" x14ac:dyDescent="0.35">
      <c r="A104" t="s">
        <v>170</v>
      </c>
      <c r="B104" s="7">
        <v>273783</v>
      </c>
      <c r="C104" s="7">
        <v>307809</v>
      </c>
      <c r="D104" s="7">
        <v>31663</v>
      </c>
      <c r="E104" s="7">
        <v>2815400</v>
      </c>
      <c r="F104" s="7">
        <v>738129</v>
      </c>
    </row>
    <row r="105" spans="1:6" x14ac:dyDescent="0.35">
      <c r="A105" t="s">
        <v>171</v>
      </c>
      <c r="B105" s="7">
        <v>328100</v>
      </c>
      <c r="C105" s="7">
        <v>322093</v>
      </c>
      <c r="D105" s="7">
        <v>28072</v>
      </c>
      <c r="E105" s="7">
        <v>2804800</v>
      </c>
      <c r="F105" s="7">
        <v>748000</v>
      </c>
    </row>
    <row r="106" spans="1:6" x14ac:dyDescent="0.35">
      <c r="A106" t="s">
        <v>172</v>
      </c>
      <c r="B106" s="7">
        <v>277246</v>
      </c>
      <c r="C106" s="7">
        <v>321288</v>
      </c>
      <c r="D106" s="7">
        <v>43519</v>
      </c>
      <c r="E106" s="7">
        <v>2867600</v>
      </c>
      <c r="F106" s="7">
        <v>757927</v>
      </c>
    </row>
    <row r="107" spans="1:6" x14ac:dyDescent="0.35">
      <c r="A107" t="s">
        <v>173</v>
      </c>
      <c r="B107" s="7">
        <v>298338</v>
      </c>
      <c r="C107" s="7">
        <v>318952</v>
      </c>
      <c r="D107" s="7">
        <v>33335</v>
      </c>
      <c r="E107" s="7">
        <v>2913400</v>
      </c>
      <c r="F107" s="7">
        <v>764673</v>
      </c>
    </row>
    <row r="108" spans="1:6" x14ac:dyDescent="0.35">
      <c r="A108" t="s">
        <v>174</v>
      </c>
      <c r="B108" s="7">
        <v>294399</v>
      </c>
      <c r="C108" s="7">
        <v>314524</v>
      </c>
      <c r="D108" s="7">
        <v>28690</v>
      </c>
      <c r="E108" s="7">
        <v>2925600</v>
      </c>
      <c r="F108" s="7">
        <v>769261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9"/>
  <sheetViews>
    <sheetView showGridLines="0" zoomScaleNormal="100" workbookViewId="0"/>
  </sheetViews>
  <sheetFormatPr defaultColWidth="8.54296875" defaultRowHeight="14.5" x14ac:dyDescent="0.35"/>
  <cols>
    <col min="1" max="1" width="10" customWidth="1"/>
    <col min="2" max="10" width="15" customWidth="1"/>
  </cols>
  <sheetData>
    <row r="1" spans="1:10" ht="20" x14ac:dyDescent="0.4">
      <c r="A1" s="17" t="s">
        <v>283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55.5" customHeight="1" x14ac:dyDescent="0.35">
      <c r="A2" s="16" t="s">
        <v>284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25" x14ac:dyDescent="0.35">
      <c r="A4" s="4" t="s">
        <v>53</v>
      </c>
      <c r="B4" s="4" t="s">
        <v>285</v>
      </c>
      <c r="C4" s="4" t="s">
        <v>286</v>
      </c>
      <c r="D4" s="4" t="s">
        <v>287</v>
      </c>
      <c r="E4" s="4" t="s">
        <v>177</v>
      </c>
      <c r="F4" s="4" t="s">
        <v>221</v>
      </c>
      <c r="G4" s="4" t="s">
        <v>181</v>
      </c>
      <c r="H4" s="4" t="s">
        <v>227</v>
      </c>
      <c r="I4" s="4" t="s">
        <v>182</v>
      </c>
      <c r="J4" s="4" t="s">
        <v>183</v>
      </c>
    </row>
    <row r="5" spans="1:10" ht="57.5" x14ac:dyDescent="0.35">
      <c r="B5" s="1" t="s">
        <v>288</v>
      </c>
      <c r="C5" s="1" t="s">
        <v>289</v>
      </c>
      <c r="D5" s="1" t="s">
        <v>290</v>
      </c>
      <c r="E5" s="1" t="s">
        <v>291</v>
      </c>
      <c r="F5" s="1" t="s">
        <v>292</v>
      </c>
      <c r="G5" s="1" t="s">
        <v>293</v>
      </c>
      <c r="H5" s="1" t="s">
        <v>294</v>
      </c>
      <c r="I5" s="1" t="s">
        <v>295</v>
      </c>
      <c r="J5" s="1" t="s">
        <v>296</v>
      </c>
    </row>
    <row r="6" spans="1:10" x14ac:dyDescent="0.35">
      <c r="A6" t="str">
        <f>'UK Raw Data'!A5</f>
        <v>2000-Q1</v>
      </c>
      <c r="B6" s="7">
        <f>SUM('UK Raw Data'!B5:B5)</f>
        <v>106101</v>
      </c>
      <c r="C6" s="7">
        <f>SUM('UK Raw Data'!C5:C5)-SUM('UK Raw Data'!D5:D5)</f>
        <v>80642</v>
      </c>
      <c r="D6" s="7">
        <f>SUM('UK Raw Data'!F5:F5)</f>
        <v>273551</v>
      </c>
      <c r="E6" s="8">
        <f t="shared" ref="E6:E37" si="0">100*B6/D6</f>
        <v>38.786551685060559</v>
      </c>
      <c r="F6" s="8">
        <f t="shared" ref="F6:F37" si="1">100*C6/D6</f>
        <v>29.479694828386663</v>
      </c>
      <c r="G6" s="8">
        <f>100*4*'UK Raw Data'!D5/'UK Raw Data'!E5</f>
        <v>8.9906594961788855</v>
      </c>
      <c r="H6" s="8">
        <f>100*'UK Raw Data'!E5/D6</f>
        <v>129.15324747487671</v>
      </c>
      <c r="I6" s="8">
        <f>H6</f>
        <v>129.15324747487671</v>
      </c>
      <c r="J6" s="8">
        <f t="shared" ref="J6:J37" si="2">G6*I6/100</f>
        <v>11.611728708723419</v>
      </c>
    </row>
    <row r="7" spans="1:10" x14ac:dyDescent="0.35">
      <c r="A7" t="str">
        <f>'UK Raw Data'!A6</f>
        <v>2000-Q2</v>
      </c>
      <c r="B7" s="7">
        <f>SUM('UK Raw Data'!B5:B6)</f>
        <v>203209</v>
      </c>
      <c r="C7" s="7">
        <f>SUM('UK Raw Data'!C5:C6)-SUM('UK Raw Data'!D5:D6)</f>
        <v>159237</v>
      </c>
      <c r="D7" s="7">
        <f>SUM('UK Raw Data'!F5:F6)</f>
        <v>548654</v>
      </c>
      <c r="E7" s="8">
        <f t="shared" si="0"/>
        <v>37.037732341329871</v>
      </c>
      <c r="F7" s="8">
        <f t="shared" si="1"/>
        <v>29.023209527315942</v>
      </c>
      <c r="G7" s="8">
        <f>100*4*'UK Raw Data'!D6/'UK Raw Data'!E5</f>
        <v>9.9699971695442962</v>
      </c>
      <c r="H7" s="8">
        <f>100*'UK Raw Data'!E6/D7</f>
        <v>62.297914532656286</v>
      </c>
      <c r="I7" s="8">
        <f t="shared" ref="I7:I38" si="3">H6</f>
        <v>129.15324747487671</v>
      </c>
      <c r="J7" s="8">
        <f t="shared" si="2"/>
        <v>12.876575117619748</v>
      </c>
    </row>
    <row r="8" spans="1:10" x14ac:dyDescent="0.35">
      <c r="A8" t="str">
        <f>'UK Raw Data'!A7</f>
        <v>2000-Q3</v>
      </c>
      <c r="B8" s="7">
        <f>SUM('UK Raw Data'!B5:B7)</f>
        <v>304585</v>
      </c>
      <c r="C8" s="7">
        <f>SUM('UK Raw Data'!C5:C7)-SUM('UK Raw Data'!D5:D7)</f>
        <v>241647</v>
      </c>
      <c r="D8" s="7">
        <f>SUM('UK Raw Data'!F5:F7)</f>
        <v>825730</v>
      </c>
      <c r="E8" s="8">
        <f t="shared" si="0"/>
        <v>36.886754750342121</v>
      </c>
      <c r="F8" s="8">
        <f t="shared" si="1"/>
        <v>29.26465067273806</v>
      </c>
      <c r="G8" s="8">
        <f>100*4*'UK Raw Data'!D7/'UK Raw Data'!E6</f>
        <v>9.839672322995904</v>
      </c>
      <c r="H8" s="8">
        <f>100*'UK Raw Data'!E7/D8</f>
        <v>39.552880481513327</v>
      </c>
      <c r="I8" s="8">
        <f t="shared" si="3"/>
        <v>62.297914532656286</v>
      </c>
      <c r="J8" s="8">
        <f t="shared" si="2"/>
        <v>6.1299106540734236</v>
      </c>
    </row>
    <row r="9" spans="1:10" x14ac:dyDescent="0.35">
      <c r="A9" t="str">
        <f>'UK Raw Data'!A8</f>
        <v>2000-Q4</v>
      </c>
      <c r="B9" s="7">
        <f>SUM('UK Raw Data'!B5:B8)</f>
        <v>400191</v>
      </c>
      <c r="C9" s="7">
        <f>SUM('UK Raw Data'!C5:C8)-SUM('UK Raw Data'!D5:D8)</f>
        <v>325721</v>
      </c>
      <c r="D9" s="7">
        <f>SUM('UK Raw Data'!F5:F8)</f>
        <v>1104759</v>
      </c>
      <c r="E9" s="8">
        <f t="shared" si="0"/>
        <v>36.224280589703277</v>
      </c>
      <c r="F9" s="8">
        <f t="shared" si="1"/>
        <v>29.483443900434395</v>
      </c>
      <c r="G9" s="8">
        <f>100*4*'UK Raw Data'!D8/'UK Raw Data'!E7</f>
        <v>11.132884262094304</v>
      </c>
      <c r="H9" s="8">
        <f>100*'UK Raw Data'!E8/D9</f>
        <v>30.169475876639158</v>
      </c>
      <c r="I9" s="8">
        <f t="shared" si="3"/>
        <v>39.552880481513327</v>
      </c>
      <c r="J9" s="8">
        <f t="shared" si="2"/>
        <v>4.4033764063313665</v>
      </c>
    </row>
    <row r="10" spans="1:10" x14ac:dyDescent="0.35">
      <c r="A10" t="str">
        <f>'UK Raw Data'!A9</f>
        <v>2001-Q1</v>
      </c>
      <c r="B10" s="7">
        <f>SUM('UK Raw Data'!B6:B9)</f>
        <v>406412</v>
      </c>
      <c r="C10" s="7">
        <f>SUM('UK Raw Data'!C6:C9)-SUM('UK Raw Data'!D6:D9)</f>
        <v>331403</v>
      </c>
      <c r="D10" s="7">
        <f>SUM('UK Raw Data'!F6:F9)</f>
        <v>1114932</v>
      </c>
      <c r="E10" s="8">
        <f t="shared" si="0"/>
        <v>36.451729791592669</v>
      </c>
      <c r="F10" s="8">
        <f t="shared" si="1"/>
        <v>29.724054919941306</v>
      </c>
      <c r="G10" s="8">
        <f>100*4*'UK Raw Data'!D9/'UK Raw Data'!E8</f>
        <v>10.024602460246024</v>
      </c>
      <c r="H10" s="8">
        <f>100*'UK Raw Data'!E9/D10</f>
        <v>28.880685100077852</v>
      </c>
      <c r="I10" s="8">
        <f t="shared" si="3"/>
        <v>30.169475876639158</v>
      </c>
      <c r="J10" s="8">
        <f t="shared" si="2"/>
        <v>3.0243700209728996</v>
      </c>
    </row>
    <row r="11" spans="1:10" x14ac:dyDescent="0.35">
      <c r="A11" t="str">
        <f>'UK Raw Data'!A10</f>
        <v>2001-Q2</v>
      </c>
      <c r="B11" s="7">
        <f>SUM('UK Raw Data'!B7:B10)</f>
        <v>409260</v>
      </c>
      <c r="C11" s="7">
        <f>SUM('UK Raw Data'!C7:C10)-SUM('UK Raw Data'!D7:D10)</f>
        <v>338978</v>
      </c>
      <c r="D11" s="7">
        <f>SUM('UK Raw Data'!F7:F10)</f>
        <v>1127432</v>
      </c>
      <c r="E11" s="8">
        <f t="shared" si="0"/>
        <v>36.300193714565488</v>
      </c>
      <c r="F11" s="8">
        <f t="shared" si="1"/>
        <v>30.066380943595711</v>
      </c>
      <c r="G11" s="8">
        <f>100*4*'UK Raw Data'!D10/'UK Raw Data'!E9</f>
        <v>10.099378881987578</v>
      </c>
      <c r="H11" s="8">
        <f>100*'UK Raw Data'!E10/D11</f>
        <v>29.296667116065535</v>
      </c>
      <c r="I11" s="8">
        <f t="shared" si="3"/>
        <v>28.880685100077852</v>
      </c>
      <c r="J11" s="8">
        <f t="shared" si="2"/>
        <v>2.9167698119705956</v>
      </c>
    </row>
    <row r="12" spans="1:10" x14ac:dyDescent="0.35">
      <c r="A12" t="str">
        <f>'UK Raw Data'!A11</f>
        <v>2001-Q3</v>
      </c>
      <c r="B12" s="7">
        <f>SUM('UK Raw Data'!B8:B11)</f>
        <v>411626</v>
      </c>
      <c r="C12" s="7">
        <f>SUM('UK Raw Data'!C8:C11)-SUM('UK Raw Data'!D8:D11)</f>
        <v>344808</v>
      </c>
      <c r="D12" s="7">
        <f>SUM('UK Raw Data'!F8:F11)</f>
        <v>1139689</v>
      </c>
      <c r="E12" s="8">
        <f t="shared" si="0"/>
        <v>36.117396938989494</v>
      </c>
      <c r="F12" s="8">
        <f t="shared" si="1"/>
        <v>30.254569448331956</v>
      </c>
      <c r="G12" s="8">
        <f>100*4*'UK Raw Data'!D11/'UK Raw Data'!E10</f>
        <v>9.2134423251589457</v>
      </c>
      <c r="H12" s="8">
        <f>100*'UK Raw Data'!E11/D12</f>
        <v>28.481454151088588</v>
      </c>
      <c r="I12" s="8">
        <f t="shared" si="3"/>
        <v>29.296667116065535</v>
      </c>
      <c r="J12" s="8">
        <f t="shared" si="2"/>
        <v>2.699231527932505</v>
      </c>
    </row>
    <row r="13" spans="1:10" x14ac:dyDescent="0.35">
      <c r="A13" t="str">
        <f>'UK Raw Data'!A12</f>
        <v>2001-Q4</v>
      </c>
      <c r="B13" s="7">
        <f>SUM('UK Raw Data'!B9:B12)</f>
        <v>412991</v>
      </c>
      <c r="C13" s="7">
        <f>SUM('UK Raw Data'!C9:C12)-SUM('UK Raw Data'!D9:D12)</f>
        <v>352598</v>
      </c>
      <c r="D13" s="7">
        <f>SUM('UK Raw Data'!F9:F12)</f>
        <v>1150542</v>
      </c>
      <c r="E13" s="8">
        <f t="shared" si="0"/>
        <v>35.895343238230332</v>
      </c>
      <c r="F13" s="8">
        <f t="shared" si="1"/>
        <v>30.646251940389835</v>
      </c>
      <c r="G13" s="8">
        <f>100*4*'UK Raw Data'!D12/'UK Raw Data'!E11</f>
        <v>10.086260012322859</v>
      </c>
      <c r="H13" s="8">
        <f>100*'UK Raw Data'!E12/D13</f>
        <v>29.160169728701778</v>
      </c>
      <c r="I13" s="8">
        <f t="shared" si="3"/>
        <v>28.481454151088588</v>
      </c>
      <c r="J13" s="8">
        <f t="shared" si="2"/>
        <v>2.8727135209693171</v>
      </c>
    </row>
    <row r="14" spans="1:10" x14ac:dyDescent="0.35">
      <c r="A14" t="str">
        <f>'UK Raw Data'!A13</f>
        <v>2002-Q1</v>
      </c>
      <c r="B14" s="7">
        <f>SUM('UK Raw Data'!B10:B13)</f>
        <v>412411</v>
      </c>
      <c r="C14" s="7">
        <f>SUM('UK Raw Data'!C10:C13)-SUM('UK Raw Data'!D10:D13)</f>
        <v>361368</v>
      </c>
      <c r="D14" s="7">
        <f>SUM('UK Raw Data'!F10:F13)</f>
        <v>1160696</v>
      </c>
      <c r="E14" s="8">
        <f t="shared" si="0"/>
        <v>35.531353601632127</v>
      </c>
      <c r="F14" s="8">
        <f t="shared" si="1"/>
        <v>31.133733552971666</v>
      </c>
      <c r="G14" s="8">
        <f>100*4*'UK Raw Data'!D13/'UK Raw Data'!E12</f>
        <v>8.7928464977645309</v>
      </c>
      <c r="H14" s="8">
        <f>100*'UK Raw Data'!E13/D14</f>
        <v>28.482910253847692</v>
      </c>
      <c r="I14" s="8">
        <f t="shared" si="3"/>
        <v>29.160169728701778</v>
      </c>
      <c r="J14" s="8">
        <f t="shared" si="2"/>
        <v>2.564008962732347</v>
      </c>
    </row>
    <row r="15" spans="1:10" x14ac:dyDescent="0.35">
      <c r="A15" t="str">
        <f>'UK Raw Data'!A14</f>
        <v>2002-Q2</v>
      </c>
      <c r="B15" s="7">
        <f>SUM('UK Raw Data'!B11:B14)</f>
        <v>412173</v>
      </c>
      <c r="C15" s="7">
        <f>SUM('UK Raw Data'!C11:C14)-SUM('UK Raw Data'!D11:D14)</f>
        <v>369508</v>
      </c>
      <c r="D15" s="7">
        <f>SUM('UK Raw Data'!F11:F14)</f>
        <v>1170094</v>
      </c>
      <c r="E15" s="8">
        <f t="shared" si="0"/>
        <v>35.225631444995017</v>
      </c>
      <c r="F15" s="8">
        <f t="shared" si="1"/>
        <v>31.579343198067846</v>
      </c>
      <c r="G15" s="8">
        <f>100*4*'UK Raw Data'!D14/'UK Raw Data'!E13</f>
        <v>9.7011494252873565</v>
      </c>
      <c r="H15" s="8">
        <f>100*'UK Raw Data'!E14/D15</f>
        <v>28.980577628805889</v>
      </c>
      <c r="I15" s="8">
        <f t="shared" si="3"/>
        <v>28.482910253847692</v>
      </c>
      <c r="J15" s="8">
        <f t="shared" si="2"/>
        <v>2.7631696843962588</v>
      </c>
    </row>
    <row r="16" spans="1:10" x14ac:dyDescent="0.35">
      <c r="A16" t="str">
        <f>'UK Raw Data'!A15</f>
        <v>2002-Q3</v>
      </c>
      <c r="B16" s="7">
        <f>SUM('UK Raw Data'!B12:B15)</f>
        <v>413507</v>
      </c>
      <c r="C16" s="7">
        <f>SUM('UK Raw Data'!C12:C15)-SUM('UK Raw Data'!D12:D15)</f>
        <v>378680</v>
      </c>
      <c r="D16" s="7">
        <f>SUM('UK Raw Data'!F12:F15)</f>
        <v>1180624</v>
      </c>
      <c r="E16" s="8">
        <f t="shared" si="0"/>
        <v>35.024444700429605</v>
      </c>
      <c r="F16" s="8">
        <f t="shared" si="1"/>
        <v>32.074563959397743</v>
      </c>
      <c r="G16" s="8">
        <f>100*4*'UK Raw Data'!D15/'UK Raw Data'!E14</f>
        <v>8.0507225007372458</v>
      </c>
      <c r="H16" s="8">
        <f>100*'UK Raw Data'!E15/D16</f>
        <v>29.103253872528427</v>
      </c>
      <c r="I16" s="8">
        <f t="shared" si="3"/>
        <v>28.980577628805889</v>
      </c>
      <c r="J16" s="8">
        <f t="shared" si="2"/>
        <v>2.3331458840059001</v>
      </c>
    </row>
    <row r="17" spans="1:10" x14ac:dyDescent="0.35">
      <c r="A17" t="str">
        <f>'UK Raw Data'!A16</f>
        <v>2002-Q4</v>
      </c>
      <c r="B17" s="7">
        <f>SUM('UK Raw Data'!B13:B16)</f>
        <v>416326</v>
      </c>
      <c r="C17" s="7">
        <f>SUM('UK Raw Data'!C13:C16)-SUM('UK Raw Data'!D13:D16)</f>
        <v>385309</v>
      </c>
      <c r="D17" s="7">
        <f>SUM('UK Raw Data'!F13:F16)</f>
        <v>1194646</v>
      </c>
      <c r="E17" s="8">
        <f t="shared" si="0"/>
        <v>34.84931937996695</v>
      </c>
      <c r="F17" s="8">
        <f t="shared" si="1"/>
        <v>32.252985403207312</v>
      </c>
      <c r="G17" s="8">
        <f>100*4*'UK Raw Data'!D16/'UK Raw Data'!E15</f>
        <v>9.8288707799767163</v>
      </c>
      <c r="H17" s="8">
        <f>100*'UK Raw Data'!E16/D17</f>
        <v>30.862699075709457</v>
      </c>
      <c r="I17" s="8">
        <f t="shared" si="3"/>
        <v>29.103253872528427</v>
      </c>
      <c r="J17" s="8">
        <f t="shared" si="2"/>
        <v>2.8605212158993885</v>
      </c>
    </row>
    <row r="18" spans="1:10" x14ac:dyDescent="0.35">
      <c r="A18" t="str">
        <f>'UK Raw Data'!A17</f>
        <v>2003-Q1</v>
      </c>
      <c r="B18" s="7">
        <f>SUM('UK Raw Data'!B14:B17)</f>
        <v>417783</v>
      </c>
      <c r="C18" s="7">
        <f>SUM('UK Raw Data'!C14:C17)-SUM('UK Raw Data'!D14:D17)</f>
        <v>395165</v>
      </c>
      <c r="D18" s="7">
        <f>SUM('UK Raw Data'!F14:F17)</f>
        <v>1208344</v>
      </c>
      <c r="E18" s="8">
        <f t="shared" si="0"/>
        <v>34.574839615208916</v>
      </c>
      <c r="F18" s="8">
        <f t="shared" si="1"/>
        <v>32.703021656084694</v>
      </c>
      <c r="G18" s="8">
        <f>100*4*'UK Raw Data'!D17/'UK Raw Data'!E16</f>
        <v>8.0401410360726882</v>
      </c>
      <c r="H18" s="8">
        <f>100*'UK Raw Data'!E17/D18</f>
        <v>30.554213038671108</v>
      </c>
      <c r="I18" s="8">
        <f t="shared" si="3"/>
        <v>30.862699075709457</v>
      </c>
      <c r="J18" s="8">
        <f t="shared" si="2"/>
        <v>2.4814045332257426</v>
      </c>
    </row>
    <row r="19" spans="1:10" x14ac:dyDescent="0.35">
      <c r="A19" t="str">
        <f>'UK Raw Data'!A18</f>
        <v>2003-Q2</v>
      </c>
      <c r="B19" s="7">
        <f>SUM('UK Raw Data'!B15:B18)</f>
        <v>424791</v>
      </c>
      <c r="C19" s="7">
        <f>SUM('UK Raw Data'!C15:C18)-SUM('UK Raw Data'!D15:D18)</f>
        <v>406087</v>
      </c>
      <c r="D19" s="7">
        <f>SUM('UK Raw Data'!F15:F18)</f>
        <v>1224966</v>
      </c>
      <c r="E19" s="8">
        <f t="shared" si="0"/>
        <v>34.677778811820083</v>
      </c>
      <c r="F19" s="8">
        <f t="shared" si="1"/>
        <v>33.1508792897109</v>
      </c>
      <c r="G19" s="8">
        <f>100*4*'UK Raw Data'!D18/'UK Raw Data'!E17</f>
        <v>9.0747562296858071</v>
      </c>
      <c r="H19" s="8">
        <f>100*'UK Raw Data'!E18/D19</f>
        <v>30.653912026946053</v>
      </c>
      <c r="I19" s="8">
        <f t="shared" si="3"/>
        <v>30.554213038671108</v>
      </c>
      <c r="J19" s="8">
        <f t="shared" si="2"/>
        <v>2.7727203511582799</v>
      </c>
    </row>
    <row r="20" spans="1:10" x14ac:dyDescent="0.35">
      <c r="A20" t="str">
        <f>'UK Raw Data'!A19</f>
        <v>2003-Q3</v>
      </c>
      <c r="B20" s="7">
        <f>SUM('UK Raw Data'!B16:B19)</f>
        <v>430638</v>
      </c>
      <c r="C20" s="7">
        <f>SUM('UK Raw Data'!C16:C19)-SUM('UK Raw Data'!D16:D19)</f>
        <v>416756</v>
      </c>
      <c r="D20" s="7">
        <f>SUM('UK Raw Data'!F16:F19)</f>
        <v>1243978</v>
      </c>
      <c r="E20" s="8">
        <f t="shared" si="0"/>
        <v>34.617814784505832</v>
      </c>
      <c r="F20" s="8">
        <f t="shared" si="1"/>
        <v>33.501878650587066</v>
      </c>
      <c r="G20" s="8">
        <f>100*4*'UK Raw Data'!D19/'UK Raw Data'!E18</f>
        <v>8.1523302263648461</v>
      </c>
      <c r="H20" s="8">
        <f>100*'UK Raw Data'!E19/D20</f>
        <v>30.820480748051814</v>
      </c>
      <c r="I20" s="8">
        <f t="shared" si="3"/>
        <v>30.653912026946053</v>
      </c>
      <c r="J20" s="8">
        <f t="shared" si="2"/>
        <v>2.4990081357360121</v>
      </c>
    </row>
    <row r="21" spans="1:10" x14ac:dyDescent="0.35">
      <c r="A21" t="str">
        <f>'UK Raw Data'!A20</f>
        <v>2003-Q4</v>
      </c>
      <c r="B21" s="7">
        <f>SUM('UK Raw Data'!B17:B20)</f>
        <v>439313</v>
      </c>
      <c r="C21" s="7">
        <f>SUM('UK Raw Data'!C17:C20)-SUM('UK Raw Data'!D17:D20)</f>
        <v>425835</v>
      </c>
      <c r="D21" s="7">
        <f>SUM('UK Raw Data'!F17:F20)</f>
        <v>1262502</v>
      </c>
      <c r="E21" s="8">
        <f t="shared" si="0"/>
        <v>34.797014182947827</v>
      </c>
      <c r="F21" s="8">
        <f t="shared" si="1"/>
        <v>33.729451517700568</v>
      </c>
      <c r="G21" s="8">
        <f>100*4*'UK Raw Data'!D20/'UK Raw Data'!E19</f>
        <v>9.2509128847157012</v>
      </c>
      <c r="H21" s="8">
        <f>100*'UK Raw Data'!E20/D21</f>
        <v>32.047473984199627</v>
      </c>
      <c r="I21" s="8">
        <f t="shared" si="3"/>
        <v>30.820480748051814</v>
      </c>
      <c r="J21" s="8">
        <f t="shared" si="2"/>
        <v>2.8511758246528474</v>
      </c>
    </row>
    <row r="22" spans="1:10" x14ac:dyDescent="0.35">
      <c r="A22" t="str">
        <f>'UK Raw Data'!A21</f>
        <v>2004-Q1</v>
      </c>
      <c r="B22" s="7">
        <f>SUM('UK Raw Data'!B18:B21)</f>
        <v>450875</v>
      </c>
      <c r="C22" s="7">
        <f>SUM('UK Raw Data'!C18:C21)-SUM('UK Raw Data'!D18:D21)</f>
        <v>433936</v>
      </c>
      <c r="D22" s="7">
        <f>SUM('UK Raw Data'!F18:F21)</f>
        <v>1279226</v>
      </c>
      <c r="E22" s="8">
        <f t="shared" si="0"/>
        <v>35.245922143546174</v>
      </c>
      <c r="F22" s="8">
        <f t="shared" si="1"/>
        <v>33.921762065498982</v>
      </c>
      <c r="G22" s="8">
        <f>100*4*'UK Raw Data'!D21/'UK Raw Data'!E20</f>
        <v>7.6826495304003952</v>
      </c>
      <c r="H22" s="8">
        <f>100*'UK Raw Data'!E21/D22</f>
        <v>31.620683131831278</v>
      </c>
      <c r="I22" s="8">
        <f t="shared" si="3"/>
        <v>32.047473984199627</v>
      </c>
      <c r="J22" s="8">
        <f t="shared" si="2"/>
        <v>2.4620951095523016</v>
      </c>
    </row>
    <row r="23" spans="1:10" x14ac:dyDescent="0.35">
      <c r="A23" t="str">
        <f>'UK Raw Data'!A22</f>
        <v>2004-Q2</v>
      </c>
      <c r="B23" s="7">
        <f>SUM('UK Raw Data'!B19:B22)</f>
        <v>456281</v>
      </c>
      <c r="C23" s="7">
        <f>SUM('UK Raw Data'!C19:C22)-SUM('UK Raw Data'!D19:D22)</f>
        <v>440856</v>
      </c>
      <c r="D23" s="7">
        <f>SUM('UK Raw Data'!F19:F22)</f>
        <v>1296670</v>
      </c>
      <c r="E23" s="8">
        <f t="shared" si="0"/>
        <v>35.188675607517716</v>
      </c>
      <c r="F23" s="8">
        <f t="shared" si="1"/>
        <v>33.999089976632447</v>
      </c>
      <c r="G23" s="8">
        <f>100*4*'UK Raw Data'!D22/'UK Raw Data'!E21</f>
        <v>8.6457354758961689</v>
      </c>
      <c r="H23" s="8">
        <f>100*'UK Raw Data'!E22/D23</f>
        <v>33.177292603360918</v>
      </c>
      <c r="I23" s="8">
        <f t="shared" si="3"/>
        <v>31.620683131831278</v>
      </c>
      <c r="J23" s="8">
        <f t="shared" si="2"/>
        <v>2.7338406192494524</v>
      </c>
    </row>
    <row r="24" spans="1:10" x14ac:dyDescent="0.35">
      <c r="A24" t="str">
        <f>'UK Raw Data'!A23</f>
        <v>2004-Q3</v>
      </c>
      <c r="B24" s="7">
        <f>SUM('UK Raw Data'!B20:B23)</f>
        <v>464826</v>
      </c>
      <c r="C24" s="7">
        <f>SUM('UK Raw Data'!C20:C23)-SUM('UK Raw Data'!D20:D23)</f>
        <v>449338</v>
      </c>
      <c r="D24" s="7">
        <f>SUM('UK Raw Data'!F20:F23)</f>
        <v>1310313</v>
      </c>
      <c r="E24" s="8">
        <f t="shared" si="0"/>
        <v>35.474424813002692</v>
      </c>
      <c r="F24" s="8">
        <f t="shared" si="1"/>
        <v>34.29241715529038</v>
      </c>
      <c r="G24" s="8">
        <f>100*4*'UK Raw Data'!D23/'UK Raw Data'!E22</f>
        <v>8.0213854021385398</v>
      </c>
      <c r="H24" s="8">
        <f>100*'UK Raw Data'!E23/D24</f>
        <v>33.427127716812699</v>
      </c>
      <c r="I24" s="8">
        <f t="shared" si="3"/>
        <v>33.177292603360918</v>
      </c>
      <c r="J24" s="8">
        <f t="shared" si="2"/>
        <v>2.6612785057107824</v>
      </c>
    </row>
    <row r="25" spans="1:10" x14ac:dyDescent="0.35">
      <c r="A25" t="str">
        <f>'UK Raw Data'!A24</f>
        <v>2004-Q4</v>
      </c>
      <c r="B25" s="7">
        <f>SUM('UK Raw Data'!B21:B24)</f>
        <v>473851</v>
      </c>
      <c r="C25" s="7">
        <f>SUM('UK Raw Data'!C21:C24)-SUM('UK Raw Data'!D21:D24)</f>
        <v>458584</v>
      </c>
      <c r="D25" s="7">
        <f>SUM('UK Raw Data'!F21:F24)</f>
        <v>1327143</v>
      </c>
      <c r="E25" s="8">
        <f t="shared" si="0"/>
        <v>35.704592496814584</v>
      </c>
      <c r="F25" s="8">
        <f t="shared" si="1"/>
        <v>34.554226635712958</v>
      </c>
      <c r="G25" s="8">
        <f>100*4*'UK Raw Data'!D24/'UK Raw Data'!E23</f>
        <v>8.968036529680365</v>
      </c>
      <c r="H25" s="8">
        <f>100*'UK Raw Data'!E24/D25</f>
        <v>34.947251351210831</v>
      </c>
      <c r="I25" s="8">
        <f t="shared" si="3"/>
        <v>33.427127716812699</v>
      </c>
      <c r="J25" s="8">
        <f t="shared" si="2"/>
        <v>2.9977570244666731</v>
      </c>
    </row>
    <row r="26" spans="1:10" x14ac:dyDescent="0.35">
      <c r="A26" t="str">
        <f>'UK Raw Data'!A25</f>
        <v>2005-Q1</v>
      </c>
      <c r="B26" s="7">
        <f>SUM('UK Raw Data'!B22:B25)</f>
        <v>483215</v>
      </c>
      <c r="C26" s="7">
        <f>SUM('UK Raw Data'!C22:C25)-SUM('UK Raw Data'!D22:D25)</f>
        <v>469163</v>
      </c>
      <c r="D26" s="7">
        <f>SUM('UK Raw Data'!F22:F25)</f>
        <v>1344682</v>
      </c>
      <c r="E26" s="8">
        <f t="shared" si="0"/>
        <v>35.935262017339419</v>
      </c>
      <c r="F26" s="8">
        <f t="shared" si="1"/>
        <v>34.890256581109881</v>
      </c>
      <c r="G26" s="8">
        <f>100*4*'UK Raw Data'!D25/'UK Raw Data'!E24</f>
        <v>7.9534282018111258</v>
      </c>
      <c r="H26" s="8">
        <f>100*'UK Raw Data'!E25/D26</f>
        <v>34.275761852988289</v>
      </c>
      <c r="I26" s="8">
        <f t="shared" si="3"/>
        <v>34.947251351210831</v>
      </c>
      <c r="J26" s="8">
        <f t="shared" si="2"/>
        <v>2.7795045447250222</v>
      </c>
    </row>
    <row r="27" spans="1:10" x14ac:dyDescent="0.35">
      <c r="A27" t="str">
        <f>'UK Raw Data'!A26</f>
        <v>2005-Q2</v>
      </c>
      <c r="B27" s="7">
        <f>SUM('UK Raw Data'!B23:B26)</f>
        <v>491379</v>
      </c>
      <c r="C27" s="7">
        <f>SUM('UK Raw Data'!C23:C26)-SUM('UK Raw Data'!D23:D26)</f>
        <v>473133</v>
      </c>
      <c r="D27" s="7">
        <f>SUM('UK Raw Data'!F23:F26)</f>
        <v>1363217</v>
      </c>
      <c r="E27" s="8">
        <f t="shared" si="0"/>
        <v>36.045545206669225</v>
      </c>
      <c r="F27" s="8">
        <f t="shared" si="1"/>
        <v>34.707093588181486</v>
      </c>
      <c r="G27" s="8">
        <f>100*4*'UK Raw Data'!D26/'UK Raw Data'!E25</f>
        <v>8.5241917986548064</v>
      </c>
      <c r="H27" s="8">
        <f>100*'UK Raw Data'!E26/D27</f>
        <v>34.719344022264984</v>
      </c>
      <c r="I27" s="8">
        <f t="shared" si="3"/>
        <v>34.275761852988289</v>
      </c>
      <c r="J27" s="8">
        <f t="shared" si="2"/>
        <v>2.9217316807988807</v>
      </c>
    </row>
    <row r="28" spans="1:10" x14ac:dyDescent="0.35">
      <c r="A28" t="str">
        <f>'UK Raw Data'!A27</f>
        <v>2005-Q3</v>
      </c>
      <c r="B28" s="7">
        <f>SUM('UK Raw Data'!B24:B27)</f>
        <v>501490</v>
      </c>
      <c r="C28" s="7">
        <f>SUM('UK Raw Data'!C24:C27)-SUM('UK Raw Data'!D24:D27)</f>
        <v>479819</v>
      </c>
      <c r="D28" s="7">
        <f>SUM('UK Raw Data'!F24:F27)</f>
        <v>1384123</v>
      </c>
      <c r="E28" s="8">
        <f t="shared" si="0"/>
        <v>36.23160658409693</v>
      </c>
      <c r="F28" s="8">
        <f t="shared" si="1"/>
        <v>34.665922031495754</v>
      </c>
      <c r="G28" s="8">
        <f>100*4*'UK Raw Data'!D27/'UK Raw Data'!E26</f>
        <v>7.809845763786182</v>
      </c>
      <c r="H28" s="8">
        <f>100*'UK Raw Data'!E27/D28</f>
        <v>34.917417021464132</v>
      </c>
      <c r="I28" s="8">
        <f t="shared" si="3"/>
        <v>34.719344022264984</v>
      </c>
      <c r="J28" s="8">
        <f t="shared" si="2"/>
        <v>2.7115272183372126</v>
      </c>
    </row>
    <row r="29" spans="1:10" x14ac:dyDescent="0.35">
      <c r="A29" t="str">
        <f>'UK Raw Data'!A28</f>
        <v>2005-Q4</v>
      </c>
      <c r="B29" s="7">
        <f>SUM('UK Raw Data'!B25:B28)</f>
        <v>508953</v>
      </c>
      <c r="C29" s="7">
        <f>SUM('UK Raw Data'!C25:C28)-SUM('UK Raw Data'!D25:D28)</f>
        <v>487686</v>
      </c>
      <c r="D29" s="7">
        <f>SUM('UK Raw Data'!F25:F28)</f>
        <v>1403249</v>
      </c>
      <c r="E29" s="8">
        <f t="shared" si="0"/>
        <v>36.269614302237166</v>
      </c>
      <c r="F29" s="8">
        <f t="shared" si="1"/>
        <v>34.754060042088042</v>
      </c>
      <c r="G29" s="8">
        <f>100*4*'UK Raw Data'!D28/'UK Raw Data'!E27</f>
        <v>8.6894268570246229</v>
      </c>
      <c r="H29" s="8">
        <f>100*'UK Raw Data'!E28/D29</f>
        <v>35.881016127572515</v>
      </c>
      <c r="I29" s="8">
        <f t="shared" si="3"/>
        <v>34.917417021464132</v>
      </c>
      <c r="J29" s="8">
        <f t="shared" si="2"/>
        <v>3.0341234124423915</v>
      </c>
    </row>
    <row r="30" spans="1:10" x14ac:dyDescent="0.35">
      <c r="A30" t="str">
        <f>'UK Raw Data'!A29</f>
        <v>2006-Q1</v>
      </c>
      <c r="B30" s="7">
        <f>SUM('UK Raw Data'!B26:B29)</f>
        <v>519728</v>
      </c>
      <c r="C30" s="7">
        <f>SUM('UK Raw Data'!C26:C29)-SUM('UK Raw Data'!D26:D29)</f>
        <v>494592</v>
      </c>
      <c r="D30" s="7">
        <f>SUM('UK Raw Data'!F26:F29)</f>
        <v>1424005</v>
      </c>
      <c r="E30" s="8">
        <f t="shared" si="0"/>
        <v>36.497624657216797</v>
      </c>
      <c r="F30" s="8">
        <f t="shared" si="1"/>
        <v>34.732462315792432</v>
      </c>
      <c r="G30" s="8">
        <f>100*4*'UK Raw Data'!D29/'UK Raw Data'!E28</f>
        <v>7.5026812313803379</v>
      </c>
      <c r="H30" s="8">
        <f>100*'UK Raw Data'!E29/D30</f>
        <v>35.070101579699511</v>
      </c>
      <c r="I30" s="8">
        <f t="shared" si="3"/>
        <v>35.881016127572515</v>
      </c>
      <c r="J30" s="8">
        <f t="shared" si="2"/>
        <v>2.6920382626319355</v>
      </c>
    </row>
    <row r="31" spans="1:10" x14ac:dyDescent="0.35">
      <c r="A31" t="str">
        <f>'UK Raw Data'!A30</f>
        <v>2006-Q2</v>
      </c>
      <c r="B31" s="7">
        <f>SUM('UK Raw Data'!B27:B30)</f>
        <v>527744</v>
      </c>
      <c r="C31" s="7">
        <f>SUM('UK Raw Data'!C27:C30)-SUM('UK Raw Data'!D27:D30)</f>
        <v>501505</v>
      </c>
      <c r="D31" s="7">
        <f>SUM('UK Raw Data'!F27:F30)</f>
        <v>1442925</v>
      </c>
      <c r="E31" s="8">
        <f t="shared" si="0"/>
        <v>36.574596739262262</v>
      </c>
      <c r="F31" s="8">
        <f t="shared" si="1"/>
        <v>34.756137706394995</v>
      </c>
      <c r="G31" s="8">
        <f>100*4*'UK Raw Data'!D30/'UK Raw Data'!E29</f>
        <v>8.172206647977573</v>
      </c>
      <c r="H31" s="8">
        <f>100*'UK Raw Data'!E30/D31</f>
        <v>36.037909108235006</v>
      </c>
      <c r="I31" s="8">
        <f t="shared" si="3"/>
        <v>35.070101579699511</v>
      </c>
      <c r="J31" s="8">
        <f t="shared" si="2"/>
        <v>2.8660011727486916</v>
      </c>
    </row>
    <row r="32" spans="1:10" x14ac:dyDescent="0.35">
      <c r="A32" t="str">
        <f>'UK Raw Data'!A31</f>
        <v>2006-Q3</v>
      </c>
      <c r="B32" s="7">
        <f>SUM('UK Raw Data'!B28:B31)</f>
        <v>534397</v>
      </c>
      <c r="C32" s="7">
        <f>SUM('UK Raw Data'!C28:C31)-SUM('UK Raw Data'!D28:D31)</f>
        <v>507741</v>
      </c>
      <c r="D32" s="7">
        <f>SUM('UK Raw Data'!F28:F31)</f>
        <v>1462083</v>
      </c>
      <c r="E32" s="8">
        <f t="shared" si="0"/>
        <v>36.550387358310026</v>
      </c>
      <c r="F32" s="8">
        <f t="shared" si="1"/>
        <v>34.727235047531501</v>
      </c>
      <c r="G32" s="8">
        <f>100*4*'UK Raw Data'!D31/'UK Raw Data'!E30</f>
        <v>7.65</v>
      </c>
      <c r="H32" s="8">
        <f>100*'UK Raw Data'!E31/D32</f>
        <v>35.880315960174627</v>
      </c>
      <c r="I32" s="8">
        <f t="shared" si="3"/>
        <v>36.037909108235006</v>
      </c>
      <c r="J32" s="8">
        <f t="shared" si="2"/>
        <v>2.756900046779978</v>
      </c>
    </row>
    <row r="33" spans="1:10" x14ac:dyDescent="0.35">
      <c r="A33" t="str">
        <f>'UK Raw Data'!A32</f>
        <v>2006-Q4</v>
      </c>
      <c r="B33" s="7">
        <f>SUM('UK Raw Data'!B29:B32)</f>
        <v>541203</v>
      </c>
      <c r="C33" s="7">
        <f>SUM('UK Raw Data'!C29:C32)-SUM('UK Raw Data'!D29:D32)</f>
        <v>510656</v>
      </c>
      <c r="D33" s="7">
        <f>SUM('UK Raw Data'!F29:F32)</f>
        <v>1478080</v>
      </c>
      <c r="E33" s="8">
        <f t="shared" si="0"/>
        <v>36.615271162589302</v>
      </c>
      <c r="F33" s="8">
        <f t="shared" si="1"/>
        <v>34.548603593851482</v>
      </c>
      <c r="G33" s="8">
        <f>100*4*'UK Raw Data'!D32/'UK Raw Data'!E31</f>
        <v>8.7723980175371707</v>
      </c>
      <c r="H33" s="8">
        <f>100*'UK Raw Data'!E32/D33</f>
        <v>36.466226455942845</v>
      </c>
      <c r="I33" s="8">
        <f t="shared" si="3"/>
        <v>35.880315960174627</v>
      </c>
      <c r="J33" s="8">
        <f t="shared" si="2"/>
        <v>3.147564125976432</v>
      </c>
    </row>
    <row r="34" spans="1:10" x14ac:dyDescent="0.35">
      <c r="A34" t="str">
        <f>'UK Raw Data'!A33</f>
        <v>2007-Q1</v>
      </c>
      <c r="B34" s="7">
        <f>SUM('UK Raw Data'!B30:B33)</f>
        <v>551501</v>
      </c>
      <c r="C34" s="7">
        <f>SUM('UK Raw Data'!C30:C33)-SUM('UK Raw Data'!D30:D33)</f>
        <v>516356</v>
      </c>
      <c r="D34" s="7">
        <f>SUM('UK Raw Data'!F30:F33)</f>
        <v>1494157</v>
      </c>
      <c r="E34" s="8">
        <f t="shared" si="0"/>
        <v>36.910512081394394</v>
      </c>
      <c r="F34" s="8">
        <f t="shared" si="1"/>
        <v>34.558349624570909</v>
      </c>
      <c r="G34" s="8">
        <f>100*4*'UK Raw Data'!D33/'UK Raw Data'!E32</f>
        <v>8.1350649350649356</v>
      </c>
      <c r="H34" s="8">
        <f>100*'UK Raw Data'!E33/D34</f>
        <v>35.819529005318721</v>
      </c>
      <c r="I34" s="8">
        <f t="shared" si="3"/>
        <v>36.466226455942845</v>
      </c>
      <c r="J34" s="8">
        <f t="shared" si="2"/>
        <v>2.9665512015587789</v>
      </c>
    </row>
    <row r="35" spans="1:10" x14ac:dyDescent="0.35">
      <c r="A35" t="str">
        <f>'UK Raw Data'!A34</f>
        <v>2007-Q2</v>
      </c>
      <c r="B35" s="7">
        <f>SUM('UK Raw Data'!B31:B34)</f>
        <v>558430</v>
      </c>
      <c r="C35" s="7">
        <f>SUM('UK Raw Data'!C31:C34)-SUM('UK Raw Data'!D31:D34)</f>
        <v>520488</v>
      </c>
      <c r="D35" s="7">
        <f>SUM('UK Raw Data'!F31:F34)</f>
        <v>1513584</v>
      </c>
      <c r="E35" s="8">
        <f t="shared" si="0"/>
        <v>36.894549625260311</v>
      </c>
      <c r="F35" s="8">
        <f t="shared" si="1"/>
        <v>34.3877842260489</v>
      </c>
      <c r="G35" s="8">
        <f>100*4*'UK Raw Data'!D34/'UK Raw Data'!E33</f>
        <v>8.7085201793721971</v>
      </c>
      <c r="H35" s="8">
        <f>100*'UK Raw Data'!E34/D35</f>
        <v>36.416875442657954</v>
      </c>
      <c r="I35" s="8">
        <f t="shared" si="3"/>
        <v>35.819529005318721</v>
      </c>
      <c r="J35" s="8">
        <f t="shared" si="2"/>
        <v>3.1193509115842577</v>
      </c>
    </row>
    <row r="36" spans="1:10" x14ac:dyDescent="0.35">
      <c r="A36" t="str">
        <f>'UK Raw Data'!A35</f>
        <v>2007-Q3</v>
      </c>
      <c r="B36" s="7">
        <f>SUM('UK Raw Data'!B32:B35)</f>
        <v>566594</v>
      </c>
      <c r="C36" s="7">
        <f>SUM('UK Raw Data'!C32:C35)-SUM('UK Raw Data'!D32:D35)</f>
        <v>526935</v>
      </c>
      <c r="D36" s="7">
        <f>SUM('UK Raw Data'!F32:F35)</f>
        <v>1531896</v>
      </c>
      <c r="E36" s="8">
        <f t="shared" si="0"/>
        <v>36.986453388480683</v>
      </c>
      <c r="F36" s="8">
        <f t="shared" si="1"/>
        <v>34.397570070030866</v>
      </c>
      <c r="G36" s="8">
        <f>100*4*'UK Raw Data'!D35/'UK Raw Data'!E34</f>
        <v>7.9695210449927432</v>
      </c>
      <c r="H36" s="8">
        <f>100*'UK Raw Data'!E35/D36</f>
        <v>36.09905633280588</v>
      </c>
      <c r="I36" s="8">
        <f t="shared" si="3"/>
        <v>36.416875442657954</v>
      </c>
      <c r="J36" s="8">
        <f t="shared" si="2"/>
        <v>2.9022505523314197</v>
      </c>
    </row>
    <row r="37" spans="1:10" x14ac:dyDescent="0.35">
      <c r="A37" t="str">
        <f>'UK Raw Data'!A36</f>
        <v>2007-Q4</v>
      </c>
      <c r="B37" s="7">
        <f>SUM('UK Raw Data'!B33:B36)</f>
        <v>575815</v>
      </c>
      <c r="C37" s="7">
        <f>SUM('UK Raw Data'!C33:C36)-SUM('UK Raw Data'!D33:D36)</f>
        <v>534793</v>
      </c>
      <c r="D37" s="7">
        <f>SUM('UK Raw Data'!F33:F36)</f>
        <v>1551729</v>
      </c>
      <c r="E37" s="8">
        <f t="shared" si="0"/>
        <v>37.107961506165061</v>
      </c>
      <c r="F37" s="8">
        <f t="shared" si="1"/>
        <v>34.464329789544436</v>
      </c>
      <c r="G37" s="8">
        <f>100*4*'UK Raw Data'!D36/'UK Raw Data'!E35</f>
        <v>10.435443037974684</v>
      </c>
      <c r="H37" s="8">
        <f>100*'UK Raw Data'!E36/D37</f>
        <v>37.036106175756203</v>
      </c>
      <c r="I37" s="8">
        <f t="shared" si="3"/>
        <v>36.09905633280588</v>
      </c>
      <c r="J37" s="8">
        <f t="shared" si="2"/>
        <v>3.7670964608563504</v>
      </c>
    </row>
    <row r="38" spans="1:10" x14ac:dyDescent="0.35">
      <c r="A38" t="str">
        <f>'UK Raw Data'!A37</f>
        <v>2008-Q1</v>
      </c>
      <c r="B38" s="7">
        <f>SUM('UK Raw Data'!B34:B37)</f>
        <v>587391</v>
      </c>
      <c r="C38" s="7">
        <f>SUM('UK Raw Data'!C34:C37)-SUM('UK Raw Data'!D34:D37)</f>
        <v>547522</v>
      </c>
      <c r="D38" s="7">
        <f>SUM('UK Raw Data'!F34:F37)</f>
        <v>1572773</v>
      </c>
      <c r="E38" s="8">
        <f t="shared" ref="E38:E69" si="4">100*B38/D38</f>
        <v>37.347474810414475</v>
      </c>
      <c r="F38" s="8">
        <f t="shared" ref="F38:F69" si="5">100*C38/D38</f>
        <v>34.812525393047821</v>
      </c>
      <c r="G38" s="8">
        <f>100*4*'UK Raw Data'!D37/'UK Raw Data'!E36</f>
        <v>8.641030102662258</v>
      </c>
      <c r="H38" s="8">
        <f>100*'UK Raw Data'!E37/D38</f>
        <v>36.063691327356203</v>
      </c>
      <c r="I38" s="8">
        <f t="shared" si="3"/>
        <v>37.036106175756203</v>
      </c>
      <c r="J38" s="8">
        <f t="shared" ref="J38:J69" si="6">G38*I38/100</f>
        <v>3.2003010835010492</v>
      </c>
    </row>
    <row r="39" spans="1:10" x14ac:dyDescent="0.35">
      <c r="A39" t="str">
        <f>'UK Raw Data'!A38</f>
        <v>2008-Q2</v>
      </c>
      <c r="B39" s="7">
        <f>SUM('UK Raw Data'!B35:B38)</f>
        <v>591869</v>
      </c>
      <c r="C39" s="7">
        <f>SUM('UK Raw Data'!C35:C38)-SUM('UK Raw Data'!D35:D38)</f>
        <v>557479</v>
      </c>
      <c r="D39" s="7">
        <f>SUM('UK Raw Data'!F35:F38)</f>
        <v>1587511</v>
      </c>
      <c r="E39" s="8">
        <f t="shared" si="4"/>
        <v>37.282828276465487</v>
      </c>
      <c r="F39" s="8">
        <f t="shared" si="5"/>
        <v>35.116544074340275</v>
      </c>
      <c r="G39" s="8">
        <f>100*4*'UK Raw Data'!D38/'UK Raw Data'!E37</f>
        <v>9.8483779971791261</v>
      </c>
      <c r="H39" s="8">
        <f>100*'UK Raw Data'!E38/D39</f>
        <v>37.801312872792693</v>
      </c>
      <c r="I39" s="8">
        <f t="shared" ref="I39:I70" si="7">H38</f>
        <v>36.063691327356203</v>
      </c>
      <c r="J39" s="8">
        <f t="shared" si="6"/>
        <v>3.551688641653945</v>
      </c>
    </row>
    <row r="40" spans="1:10" x14ac:dyDescent="0.35">
      <c r="A40" t="str">
        <f>'UK Raw Data'!A39</f>
        <v>2008-Q3</v>
      </c>
      <c r="B40" s="7">
        <f>SUM('UK Raw Data'!B36:B39)</f>
        <v>594407</v>
      </c>
      <c r="C40" s="7">
        <f>SUM('UK Raw Data'!C36:C39)-SUM('UK Raw Data'!D36:D39)</f>
        <v>570648</v>
      </c>
      <c r="D40" s="7">
        <f>SUM('UK Raw Data'!F36:F39)</f>
        <v>1598754</v>
      </c>
      <c r="E40" s="8">
        <f t="shared" si="4"/>
        <v>37.17939095070286</v>
      </c>
      <c r="F40" s="8">
        <f t="shared" si="5"/>
        <v>35.693296154380221</v>
      </c>
      <c r="G40" s="8">
        <f>100*4*'UK Raw Data'!D39/'UK Raw Data'!E38</f>
        <v>8.9138476920513252</v>
      </c>
      <c r="H40" s="8">
        <f>100*'UK Raw Data'!E39/D40</f>
        <v>42.60818112104802</v>
      </c>
      <c r="I40" s="8">
        <f t="shared" si="7"/>
        <v>37.801312872792693</v>
      </c>
      <c r="J40" s="8">
        <f t="shared" si="6"/>
        <v>3.369551455076532</v>
      </c>
    </row>
    <row r="41" spans="1:10" x14ac:dyDescent="0.35">
      <c r="A41" t="str">
        <f>'UK Raw Data'!A40</f>
        <v>2008-Q4</v>
      </c>
      <c r="B41" s="7">
        <f>SUM('UK Raw Data'!B37:B40)</f>
        <v>621924</v>
      </c>
      <c r="C41" s="7">
        <f>SUM('UK Raw Data'!C37:C40)-SUM('UK Raw Data'!D37:D40)</f>
        <v>584372</v>
      </c>
      <c r="D41" s="7">
        <f>SUM('UK Raw Data'!F37:F40)</f>
        <v>1602217</v>
      </c>
      <c r="E41" s="8">
        <f t="shared" si="4"/>
        <v>38.816464935773368</v>
      </c>
      <c r="F41" s="8">
        <f t="shared" si="5"/>
        <v>36.472712497745313</v>
      </c>
      <c r="G41" s="8">
        <f>100*4*'UK Raw Data'!D40/'UK Raw Data'!E39</f>
        <v>22.830299471520846</v>
      </c>
      <c r="H41" s="8">
        <f>100*'UK Raw Data'!E40/D41</f>
        <v>46.803897349734775</v>
      </c>
      <c r="I41" s="8">
        <f t="shared" si="7"/>
        <v>42.60818112104802</v>
      </c>
      <c r="J41" s="8">
        <f t="shared" si="6"/>
        <v>9.7275753493032706</v>
      </c>
    </row>
    <row r="42" spans="1:10" x14ac:dyDescent="0.35">
      <c r="A42" t="str">
        <f>'UK Raw Data'!A41</f>
        <v>2009-Q1</v>
      </c>
      <c r="B42" s="7">
        <f>SUM('UK Raw Data'!B38:B41)</f>
        <v>624738</v>
      </c>
      <c r="C42" s="7">
        <f>SUM('UK Raw Data'!C38:C41)-SUM('UK Raw Data'!D38:D41)</f>
        <v>598510</v>
      </c>
      <c r="D42" s="7">
        <f>SUM('UK Raw Data'!F38:F41)</f>
        <v>1592276</v>
      </c>
      <c r="E42" s="8">
        <f t="shared" si="4"/>
        <v>39.235534543006366</v>
      </c>
      <c r="F42" s="8">
        <f t="shared" si="5"/>
        <v>37.588332675993357</v>
      </c>
      <c r="G42" s="8">
        <f>100*4*'UK Raw Data'!D41/'UK Raw Data'!E40</f>
        <v>12.656620882784372</v>
      </c>
      <c r="H42" s="8">
        <f>100*'UK Raw Data'!E41/D42</f>
        <v>49.438665156040784</v>
      </c>
      <c r="I42" s="8">
        <f t="shared" si="7"/>
        <v>46.803897349734775</v>
      </c>
      <c r="J42" s="8">
        <f t="shared" si="6"/>
        <v>5.9237918459234926</v>
      </c>
    </row>
    <row r="43" spans="1:10" x14ac:dyDescent="0.35">
      <c r="A43" t="str">
        <f>'UK Raw Data'!A42</f>
        <v>2009-Q2</v>
      </c>
      <c r="B43" s="7">
        <f>SUM('UK Raw Data'!B39:B42)</f>
        <v>633553</v>
      </c>
      <c r="C43" s="7">
        <f>SUM('UK Raw Data'!C39:C42)-SUM('UK Raw Data'!D39:D42)</f>
        <v>610536</v>
      </c>
      <c r="D43" s="7">
        <f>SUM('UK Raw Data'!F39:F42)</f>
        <v>1578740</v>
      </c>
      <c r="E43" s="8">
        <f t="shared" si="4"/>
        <v>40.130293778582917</v>
      </c>
      <c r="F43" s="8">
        <f t="shared" si="5"/>
        <v>38.67235896981137</v>
      </c>
      <c r="G43" s="8">
        <f>100*4*'UK Raw Data'!D42/'UK Raw Data'!E41</f>
        <v>12.883130081300813</v>
      </c>
      <c r="H43" s="8">
        <f>100*'UK Raw Data'!E42/D43</f>
        <v>53.821401877446569</v>
      </c>
      <c r="I43" s="8">
        <f t="shared" si="7"/>
        <v>49.438665156040784</v>
      </c>
      <c r="J43" s="8">
        <f t="shared" si="6"/>
        <v>6.3692475425114745</v>
      </c>
    </row>
    <row r="44" spans="1:10" x14ac:dyDescent="0.35">
      <c r="A44" t="str">
        <f>'UK Raw Data'!A43</f>
        <v>2009-Q3</v>
      </c>
      <c r="B44" s="7">
        <f>SUM('UK Raw Data'!B40:B43)</f>
        <v>639689</v>
      </c>
      <c r="C44" s="7">
        <f>SUM('UK Raw Data'!C40:C43)-SUM('UK Raw Data'!D40:D43)</f>
        <v>619425</v>
      </c>
      <c r="D44" s="7">
        <f>SUM('UK Raw Data'!F40:F43)</f>
        <v>1567782</v>
      </c>
      <c r="E44" s="8">
        <f t="shared" si="4"/>
        <v>40.802165096933116</v>
      </c>
      <c r="F44" s="8">
        <f t="shared" si="5"/>
        <v>39.509638457387574</v>
      </c>
      <c r="G44" s="8">
        <f>100*4*'UK Raw Data'!D43/'UK Raw Data'!E42</f>
        <v>8.1802989290337766</v>
      </c>
      <c r="H44" s="8">
        <f>100*'UK Raw Data'!E43/D44</f>
        <v>55.970791857541421</v>
      </c>
      <c r="I44" s="8">
        <f t="shared" si="7"/>
        <v>53.821401877446569</v>
      </c>
      <c r="J44" s="8">
        <f t="shared" si="6"/>
        <v>4.4027515613717263</v>
      </c>
    </row>
    <row r="45" spans="1:10" x14ac:dyDescent="0.35">
      <c r="A45" t="str">
        <f>'UK Raw Data'!A44</f>
        <v>2009-Q4</v>
      </c>
      <c r="B45" s="7">
        <f>SUM('UK Raw Data'!B41:B44)</f>
        <v>618895</v>
      </c>
      <c r="C45" s="7">
        <f>SUM('UK Raw Data'!C41:C44)-SUM('UK Raw Data'!D41:D44)</f>
        <v>630802</v>
      </c>
      <c r="D45" s="7">
        <f>SUM('UK Raw Data'!F41:F44)</f>
        <v>1559405</v>
      </c>
      <c r="E45" s="8">
        <f t="shared" si="4"/>
        <v>39.68789377999942</v>
      </c>
      <c r="F45" s="8">
        <f t="shared" si="5"/>
        <v>40.451454240559698</v>
      </c>
      <c r="G45" s="8">
        <f>100*4*'UK Raw Data'!D44/'UK Raw Data'!E43</f>
        <v>10.094131054131054</v>
      </c>
      <c r="H45" s="8">
        <f>100*'UK Raw Data'!E44/D45</f>
        <v>61.472164062575146</v>
      </c>
      <c r="I45" s="8">
        <f t="shared" si="7"/>
        <v>55.970791857541421</v>
      </c>
      <c r="J45" s="8">
        <f t="shared" si="6"/>
        <v>5.6497650821351444</v>
      </c>
    </row>
    <row r="46" spans="1:10" x14ac:dyDescent="0.35">
      <c r="A46" t="str">
        <f>'UK Raw Data'!A45</f>
        <v>2010-Q1</v>
      </c>
      <c r="B46" s="7">
        <f>SUM('UK Raw Data'!B42:B45)</f>
        <v>622096</v>
      </c>
      <c r="C46" s="7">
        <f>SUM('UK Raw Data'!C42:C45)-SUM('UK Raw Data'!D42:D45)</f>
        <v>636031</v>
      </c>
      <c r="D46" s="7">
        <f>SUM('UK Raw Data'!F42:F45)</f>
        <v>1567756</v>
      </c>
      <c r="E46" s="8">
        <f t="shared" si="4"/>
        <v>39.680664593214757</v>
      </c>
      <c r="F46" s="8">
        <f t="shared" si="5"/>
        <v>40.569514643860394</v>
      </c>
      <c r="G46" s="8">
        <f>100*4*'UK Raw Data'!D45/'UK Raw Data'!E44</f>
        <v>9.0586271646150642</v>
      </c>
      <c r="H46" s="8">
        <f>100*'UK Raw Data'!E45/D46</f>
        <v>65.565049663340474</v>
      </c>
      <c r="I46" s="8">
        <f t="shared" si="7"/>
        <v>61.472164062575146</v>
      </c>
      <c r="J46" s="8">
        <f t="shared" si="6"/>
        <v>5.568534152449172</v>
      </c>
    </row>
    <row r="47" spans="1:10" x14ac:dyDescent="0.35">
      <c r="A47" t="str">
        <f>'UK Raw Data'!A46</f>
        <v>2010-Q2</v>
      </c>
      <c r="B47" s="7">
        <f>SUM('UK Raw Data'!B43:B46)</f>
        <v>630443</v>
      </c>
      <c r="C47" s="7">
        <f>SUM('UK Raw Data'!C43:C46)-SUM('UK Raw Data'!D43:D46)</f>
        <v>640065</v>
      </c>
      <c r="D47" s="7">
        <f>SUM('UK Raw Data'!F43:F46)</f>
        <v>1581542</v>
      </c>
      <c r="E47" s="8">
        <f t="shared" si="4"/>
        <v>39.862551863940382</v>
      </c>
      <c r="F47" s="8">
        <f t="shared" si="5"/>
        <v>40.470945444382764</v>
      </c>
      <c r="G47" s="8">
        <f>100*4*'UK Raw Data'!D46/'UK Raw Data'!E45</f>
        <v>9.3954664850666401</v>
      </c>
      <c r="H47" s="8">
        <f>100*'UK Raw Data'!E46/D47</f>
        <v>67.535354736074041</v>
      </c>
      <c r="I47" s="8">
        <f t="shared" si="7"/>
        <v>65.565049663340474</v>
      </c>
      <c r="J47" s="8">
        <f t="shared" si="6"/>
        <v>6.1601422670364521</v>
      </c>
    </row>
    <row r="48" spans="1:10" x14ac:dyDescent="0.35">
      <c r="A48" t="str">
        <f>'UK Raw Data'!A47</f>
        <v>2010-Q3</v>
      </c>
      <c r="B48" s="7">
        <f>SUM('UK Raw Data'!B44:B47)</f>
        <v>638175</v>
      </c>
      <c r="C48" s="7">
        <f>SUM('UK Raw Data'!C44:C47)-SUM('UK Raw Data'!D44:D47)</f>
        <v>643724</v>
      </c>
      <c r="D48" s="7">
        <f>SUM('UK Raw Data'!F44:F47)</f>
        <v>1596540</v>
      </c>
      <c r="E48" s="8">
        <f t="shared" si="4"/>
        <v>39.972377766920964</v>
      </c>
      <c r="F48" s="8">
        <f t="shared" si="5"/>
        <v>40.319941874303183</v>
      </c>
      <c r="G48" s="8">
        <f>100*4*'UK Raw Data'!D47/'UK Raw Data'!E46</f>
        <v>7.9809006647317666</v>
      </c>
      <c r="H48" s="8">
        <f>100*'UK Raw Data'!E47/D48</f>
        <v>69.331178673882278</v>
      </c>
      <c r="I48" s="8">
        <f t="shared" si="7"/>
        <v>67.535354736074041</v>
      </c>
      <c r="J48" s="8">
        <f t="shared" si="6"/>
        <v>5.3899295750602905</v>
      </c>
    </row>
    <row r="49" spans="1:10" x14ac:dyDescent="0.35">
      <c r="A49" t="str">
        <f>'UK Raw Data'!A48</f>
        <v>2010-Q4</v>
      </c>
      <c r="B49" s="7">
        <f>SUM('UK Raw Data'!B45:B48)</f>
        <v>644168</v>
      </c>
      <c r="C49" s="7">
        <f>SUM('UK Raw Data'!C45:C48)-SUM('UK Raw Data'!D45:D48)</f>
        <v>644430</v>
      </c>
      <c r="D49" s="7">
        <f>SUM('UK Raw Data'!F45:F48)</f>
        <v>1615839</v>
      </c>
      <c r="E49" s="8">
        <f t="shared" si="4"/>
        <v>39.865852971737901</v>
      </c>
      <c r="F49" s="8">
        <f t="shared" si="5"/>
        <v>39.88206745845347</v>
      </c>
      <c r="G49" s="8">
        <f>100*4*'UK Raw Data'!D48/'UK Raw Data'!E47</f>
        <v>8.6963592013732036</v>
      </c>
      <c r="H49" s="8">
        <f>100*'UK Raw Data'!E48/D49</f>
        <v>71.325175342345375</v>
      </c>
      <c r="I49" s="8">
        <f t="shared" si="7"/>
        <v>69.331178673882278</v>
      </c>
      <c r="J49" s="8">
        <f t="shared" si="6"/>
        <v>6.0292883360266583</v>
      </c>
    </row>
    <row r="50" spans="1:10" x14ac:dyDescent="0.35">
      <c r="A50" t="str">
        <f>'UK Raw Data'!A49</f>
        <v>2011-Q1</v>
      </c>
      <c r="B50" s="7">
        <f>SUM('UK Raw Data'!B46:B49)</f>
        <v>656682</v>
      </c>
      <c r="C50" s="7">
        <f>SUM('UK Raw Data'!C46:C49)-SUM('UK Raw Data'!D46:D49)</f>
        <v>644865</v>
      </c>
      <c r="D50" s="7">
        <f>SUM('UK Raw Data'!F46:F49)</f>
        <v>1634234</v>
      </c>
      <c r="E50" s="8">
        <f t="shared" si="4"/>
        <v>40.182862429737725</v>
      </c>
      <c r="F50" s="8">
        <f t="shared" si="5"/>
        <v>39.459771366891154</v>
      </c>
      <c r="G50" s="8">
        <f>100*4*'UK Raw Data'!D49/'UK Raw Data'!E48</f>
        <v>8.0079826464208246</v>
      </c>
      <c r="H50" s="8">
        <f>100*'UK Raw Data'!E49/D50</f>
        <v>71.51362656755397</v>
      </c>
      <c r="I50" s="8">
        <f t="shared" si="7"/>
        <v>71.325175342345375</v>
      </c>
      <c r="J50" s="8">
        <f t="shared" si="6"/>
        <v>5.7117076639442423</v>
      </c>
    </row>
    <row r="51" spans="1:10" x14ac:dyDescent="0.35">
      <c r="A51" t="str">
        <f>'UK Raw Data'!A50</f>
        <v>2011-Q2</v>
      </c>
      <c r="B51" s="7">
        <f>SUM('UK Raw Data'!B47:B50)</f>
        <v>664102</v>
      </c>
      <c r="C51" s="7">
        <f>SUM('UK Raw Data'!C47:C50)-SUM('UK Raw Data'!D47:D50)</f>
        <v>644120</v>
      </c>
      <c r="D51" s="7">
        <f>SUM('UK Raw Data'!F47:F50)</f>
        <v>1645337</v>
      </c>
      <c r="E51" s="8">
        <f t="shared" si="4"/>
        <v>40.362673421919034</v>
      </c>
      <c r="F51" s="8">
        <f t="shared" si="5"/>
        <v>39.148210974408279</v>
      </c>
      <c r="G51" s="8">
        <f>100*4*'UK Raw Data'!D50/'UK Raw Data'!E49</f>
        <v>8.8323778557371444</v>
      </c>
      <c r="H51" s="8">
        <f>100*'UK Raw Data'!E50/D51</f>
        <v>73.109642583859724</v>
      </c>
      <c r="I51" s="8">
        <f t="shared" si="7"/>
        <v>71.51362656755397</v>
      </c>
      <c r="J51" s="8">
        <f t="shared" si="6"/>
        <v>6.3163537167871926</v>
      </c>
    </row>
    <row r="52" spans="1:10" x14ac:dyDescent="0.35">
      <c r="A52" t="str">
        <f>'UK Raw Data'!A51</f>
        <v>2011-Q3</v>
      </c>
      <c r="B52" s="7">
        <f>SUM('UK Raw Data'!B48:B51)</f>
        <v>673295</v>
      </c>
      <c r="C52" s="7">
        <f>SUM('UK Raw Data'!C48:C51)-SUM('UK Raw Data'!D48:D51)</f>
        <v>642584</v>
      </c>
      <c r="D52" s="7">
        <f>SUM('UK Raw Data'!F48:F51)</f>
        <v>1657279</v>
      </c>
      <c r="E52" s="8">
        <f t="shared" si="4"/>
        <v>40.626533009831178</v>
      </c>
      <c r="F52" s="8">
        <f t="shared" si="5"/>
        <v>38.773435251397018</v>
      </c>
      <c r="G52" s="8">
        <f>100*4*'UK Raw Data'!D51/'UK Raw Data'!E50</f>
        <v>7.5610607698063017</v>
      </c>
      <c r="H52" s="8">
        <f>100*'UK Raw Data'!E51/D52</f>
        <v>73.560335948262178</v>
      </c>
      <c r="I52" s="8">
        <f t="shared" si="7"/>
        <v>73.109642583859724</v>
      </c>
      <c r="J52" s="8">
        <f t="shared" si="6"/>
        <v>5.5278645043538202</v>
      </c>
    </row>
    <row r="53" spans="1:10" x14ac:dyDescent="0.35">
      <c r="A53" t="str">
        <f>'UK Raw Data'!A52</f>
        <v>2011-Q4</v>
      </c>
      <c r="B53" s="7">
        <f>SUM('UK Raw Data'!B49:B52)</f>
        <v>681905</v>
      </c>
      <c r="C53" s="7">
        <f>SUM('UK Raw Data'!C49:C52)-SUM('UK Raw Data'!D49:D52)</f>
        <v>640440</v>
      </c>
      <c r="D53" s="7">
        <f>SUM('UK Raw Data'!F49:F52)</f>
        <v>1669945</v>
      </c>
      <c r="E53" s="8">
        <f t="shared" si="4"/>
        <v>40.833979562201151</v>
      </c>
      <c r="F53" s="8">
        <f t="shared" si="5"/>
        <v>38.350963654491615</v>
      </c>
      <c r="G53" s="8">
        <f>100*4*'UK Raw Data'!D52/'UK Raw Data'!E51</f>
        <v>8.4642769256008528</v>
      </c>
      <c r="H53" s="8">
        <f>100*'UK Raw Data'!E52/D53</f>
        <v>74.888693939021948</v>
      </c>
      <c r="I53" s="8">
        <f t="shared" si="7"/>
        <v>73.560335948262178</v>
      </c>
      <c r="J53" s="8">
        <f t="shared" si="6"/>
        <v>6.2263505420632246</v>
      </c>
    </row>
    <row r="54" spans="1:10" x14ac:dyDescent="0.35">
      <c r="A54" t="str">
        <f>'UK Raw Data'!A53</f>
        <v>2012-Q1</v>
      </c>
      <c r="B54" s="7">
        <f>SUM('UK Raw Data'!B50:B53)</f>
        <v>680608</v>
      </c>
      <c r="C54" s="7">
        <f>SUM('UK Raw Data'!C50:C53)-SUM('UK Raw Data'!D50:D53)</f>
        <v>642950</v>
      </c>
      <c r="D54" s="7">
        <f>SUM('UK Raw Data'!F50:F53)</f>
        <v>1680077</v>
      </c>
      <c r="E54" s="8">
        <f t="shared" si="4"/>
        <v>40.510524220020869</v>
      </c>
      <c r="F54" s="8">
        <f t="shared" si="5"/>
        <v>38.269079333863864</v>
      </c>
      <c r="G54" s="8">
        <f>100*4*'UK Raw Data'!D53/'UK Raw Data'!E52</f>
        <v>6.9502638733407966</v>
      </c>
      <c r="H54" s="8">
        <f>100*'UK Raw Data'!E53/D54</f>
        <v>75.062035847166527</v>
      </c>
      <c r="I54" s="8">
        <f t="shared" si="7"/>
        <v>74.888693939021948</v>
      </c>
      <c r="J54" s="8">
        <f t="shared" si="6"/>
        <v>5.2049618400606015</v>
      </c>
    </row>
    <row r="55" spans="1:10" x14ac:dyDescent="0.35">
      <c r="A55" t="str">
        <f>'UK Raw Data'!A54</f>
        <v>2012-Q2</v>
      </c>
      <c r="B55" s="7">
        <f>SUM('UK Raw Data'!B51:B54)</f>
        <v>680002</v>
      </c>
      <c r="C55" s="7">
        <f>SUM('UK Raw Data'!C51:C54)-SUM('UK Raw Data'!D51:D54)</f>
        <v>656752</v>
      </c>
      <c r="D55" s="7">
        <f>SUM('UK Raw Data'!F51:F54)</f>
        <v>1692735</v>
      </c>
      <c r="E55" s="8">
        <f t="shared" si="4"/>
        <v>40.171792985907423</v>
      </c>
      <c r="F55" s="8">
        <f t="shared" si="5"/>
        <v>38.798276162541683</v>
      </c>
      <c r="G55" s="8">
        <f>100*4*'UK Raw Data'!D54/'UK Raw Data'!E53</f>
        <v>8.1493933867258743</v>
      </c>
      <c r="H55" s="8">
        <f>100*'UK Raw Data'!E54/D55</f>
        <v>76.213937798887599</v>
      </c>
      <c r="I55" s="8">
        <f t="shared" si="7"/>
        <v>75.062035847166527</v>
      </c>
      <c r="J55" s="8">
        <f t="shared" si="6"/>
        <v>6.1171005852707934</v>
      </c>
    </row>
    <row r="56" spans="1:10" x14ac:dyDescent="0.35">
      <c r="A56" t="str">
        <f>'UK Raw Data'!A55</f>
        <v>2012-Q3</v>
      </c>
      <c r="B56" s="7">
        <f>SUM('UK Raw Data'!B52:B55)</f>
        <v>681796</v>
      </c>
      <c r="C56" s="7">
        <f>SUM('UK Raw Data'!C52:C55)-SUM('UK Raw Data'!D52:D55)</f>
        <v>658660</v>
      </c>
      <c r="D56" s="7">
        <f>SUM('UK Raw Data'!F52:F55)</f>
        <v>1707903</v>
      </c>
      <c r="E56" s="8">
        <f t="shared" si="4"/>
        <v>39.920065718017945</v>
      </c>
      <c r="F56" s="8">
        <f t="shared" si="5"/>
        <v>38.56542204094729</v>
      </c>
      <c r="G56" s="8">
        <f>100*4*'UK Raw Data'!D55/'UK Raw Data'!E54</f>
        <v>6.3223005968529575</v>
      </c>
      <c r="H56" s="8">
        <f>100*'UK Raw Data'!E55/D56</f>
        <v>76.637841844648079</v>
      </c>
      <c r="I56" s="8">
        <f t="shared" si="7"/>
        <v>76.213937798887599</v>
      </c>
      <c r="J56" s="8">
        <f t="shared" si="6"/>
        <v>4.8184742443442126</v>
      </c>
    </row>
    <row r="57" spans="1:10" x14ac:dyDescent="0.35">
      <c r="A57" t="str">
        <f>'UK Raw Data'!A56</f>
        <v>2012-Q4</v>
      </c>
      <c r="B57" s="7">
        <f>SUM('UK Raw Data'!B53:B56)</f>
        <v>684165</v>
      </c>
      <c r="C57" s="7">
        <f>SUM('UK Raw Data'!C53:C56)-SUM('UK Raw Data'!D53:D56)</f>
        <v>662843</v>
      </c>
      <c r="D57" s="7">
        <f>SUM('UK Raw Data'!F53:F56)</f>
        <v>1721708</v>
      </c>
      <c r="E57" s="8">
        <f t="shared" si="4"/>
        <v>39.737574548065062</v>
      </c>
      <c r="F57" s="8">
        <f t="shared" si="5"/>
        <v>38.499153166506751</v>
      </c>
      <c r="G57" s="8">
        <f>100*4*'UK Raw Data'!D56/'UK Raw Data'!E55</f>
        <v>7.4923981969592788</v>
      </c>
      <c r="H57" s="8">
        <f>100*'UK Raw Data'!E56/D57</f>
        <v>78.660260624914329</v>
      </c>
      <c r="I57" s="8">
        <f t="shared" si="7"/>
        <v>76.637841844648079</v>
      </c>
      <c r="J57" s="8">
        <f t="shared" si="6"/>
        <v>5.7420122805569171</v>
      </c>
    </row>
    <row r="58" spans="1:10" x14ac:dyDescent="0.35">
      <c r="A58" t="str">
        <f>'UK Raw Data'!A57</f>
        <v>2013-Q1</v>
      </c>
      <c r="B58" s="7">
        <f>SUM('UK Raw Data'!B54:B57)</f>
        <v>685042</v>
      </c>
      <c r="C58" s="7">
        <f>SUM('UK Raw Data'!C54:C57)-SUM('UK Raw Data'!D54:D57)</f>
        <v>659060</v>
      </c>
      <c r="D58" s="7">
        <f>SUM('UK Raw Data'!F54:F57)</f>
        <v>1735093</v>
      </c>
      <c r="E58" s="8">
        <f t="shared" si="4"/>
        <v>39.481572457499396</v>
      </c>
      <c r="F58" s="8">
        <f t="shared" si="5"/>
        <v>37.984131109975088</v>
      </c>
      <c r="G58" s="8">
        <f>100*4*'UK Raw Data'!D57/'UK Raw Data'!E56</f>
        <v>6.1785424204386032</v>
      </c>
      <c r="H58" s="8">
        <f>100*'UK Raw Data'!E57/D58</f>
        <v>78.739295242387584</v>
      </c>
      <c r="I58" s="8">
        <f t="shared" si="7"/>
        <v>78.660260624914329</v>
      </c>
      <c r="J58" s="8">
        <f t="shared" si="6"/>
        <v>4.8600575707378955</v>
      </c>
    </row>
    <row r="59" spans="1:10" x14ac:dyDescent="0.35">
      <c r="A59" t="str">
        <f>'UK Raw Data'!A58</f>
        <v>2013-Q2</v>
      </c>
      <c r="B59" s="7">
        <f>SUM('UK Raw Data'!B55:B58)</f>
        <v>690898</v>
      </c>
      <c r="C59" s="7">
        <f>SUM('UK Raw Data'!C55:C58)-SUM('UK Raw Data'!D55:D58)</f>
        <v>652873</v>
      </c>
      <c r="D59" s="7">
        <f>SUM('UK Raw Data'!F55:F58)</f>
        <v>1752021</v>
      </c>
      <c r="E59" s="8">
        <f t="shared" si="4"/>
        <v>39.434344679658523</v>
      </c>
      <c r="F59" s="8">
        <f t="shared" si="5"/>
        <v>37.263993981807296</v>
      </c>
      <c r="G59" s="8">
        <f>100*4*'UK Raw Data'!D58/'UK Raw Data'!E57</f>
        <v>7.1655687307861218</v>
      </c>
      <c r="H59" s="8">
        <f>100*'UK Raw Data'!E58/D59</f>
        <v>79.776441035809498</v>
      </c>
      <c r="I59" s="8">
        <f t="shared" si="7"/>
        <v>78.739295242387584</v>
      </c>
      <c r="J59" s="8">
        <f t="shared" si="6"/>
        <v>5.6421183187298887</v>
      </c>
    </row>
    <row r="60" spans="1:10" x14ac:dyDescent="0.35">
      <c r="A60" t="str">
        <f>'UK Raw Data'!A59</f>
        <v>2013-Q3</v>
      </c>
      <c r="B60" s="7">
        <f>SUM('UK Raw Data'!B56:B59)</f>
        <v>693206</v>
      </c>
      <c r="C60" s="7">
        <f>SUM('UK Raw Data'!C56:C59)-SUM('UK Raw Data'!D56:D59)</f>
        <v>655353</v>
      </c>
      <c r="D60" s="7">
        <f>SUM('UK Raw Data'!F56:F59)</f>
        <v>1769459</v>
      </c>
      <c r="E60" s="8">
        <f t="shared" si="4"/>
        <v>39.176154971660829</v>
      </c>
      <c r="F60" s="8">
        <f t="shared" si="5"/>
        <v>37.036913542500841</v>
      </c>
      <c r="G60" s="8">
        <f>100*4*'UK Raw Data'!D59/'UK Raw Data'!E58</f>
        <v>5.5657151033841314</v>
      </c>
      <c r="H60" s="8">
        <f>100*'UK Raw Data'!E59/D60</f>
        <v>79.990550784166231</v>
      </c>
      <c r="I60" s="8">
        <f t="shared" si="7"/>
        <v>79.776441035809498</v>
      </c>
      <c r="J60" s="8">
        <f t="shared" si="6"/>
        <v>4.4401294276723853</v>
      </c>
    </row>
    <row r="61" spans="1:10" x14ac:dyDescent="0.35">
      <c r="A61" t="str">
        <f>'UK Raw Data'!A60</f>
        <v>2013-Q4</v>
      </c>
      <c r="B61" s="7">
        <f>SUM('UK Raw Data'!B57:B60)</f>
        <v>697369</v>
      </c>
      <c r="C61" s="7">
        <f>SUM('UK Raw Data'!C57:C60)-SUM('UK Raw Data'!D57:D60)</f>
        <v>657496</v>
      </c>
      <c r="D61" s="7">
        <f>SUM('UK Raw Data'!F57:F60)</f>
        <v>1789072</v>
      </c>
      <c r="E61" s="8">
        <f t="shared" si="4"/>
        <v>38.979370310417913</v>
      </c>
      <c r="F61" s="8">
        <f t="shared" si="5"/>
        <v>36.750672974592412</v>
      </c>
      <c r="G61" s="8">
        <f>100*4*'UK Raw Data'!D60/'UK Raw Data'!E59</f>
        <v>6.4154302670623142</v>
      </c>
      <c r="H61" s="8">
        <f>100*'UK Raw Data'!E60/D61</f>
        <v>81.192931307404066</v>
      </c>
      <c r="I61" s="8">
        <f t="shared" si="7"/>
        <v>79.990550784166231</v>
      </c>
      <c r="J61" s="8">
        <f t="shared" si="6"/>
        <v>5.131738005797251</v>
      </c>
    </row>
    <row r="62" spans="1:10" x14ac:dyDescent="0.35">
      <c r="A62" t="str">
        <f>'UK Raw Data'!A61</f>
        <v>2014-Q1</v>
      </c>
      <c r="B62" s="7">
        <f>SUM('UK Raw Data'!B58:B61)</f>
        <v>701078</v>
      </c>
      <c r="C62" s="7">
        <f>SUM('UK Raw Data'!C58:C61)-SUM('UK Raw Data'!D58:D61)</f>
        <v>663154</v>
      </c>
      <c r="D62" s="7">
        <f>SUM('UK Raw Data'!F58:F61)</f>
        <v>1809716</v>
      </c>
      <c r="E62" s="8">
        <f t="shared" si="4"/>
        <v>38.739669649823512</v>
      </c>
      <c r="F62" s="8">
        <f t="shared" si="5"/>
        <v>36.644092222205032</v>
      </c>
      <c r="G62" s="8">
        <f>100*4*'UK Raw Data'!D61/'UK Raw Data'!E60</f>
        <v>4.8489604846482166</v>
      </c>
      <c r="H62" s="8">
        <f>100*'UK Raw Data'!E61/D62</f>
        <v>80.736424941814079</v>
      </c>
      <c r="I62" s="8">
        <f t="shared" si="7"/>
        <v>81.192931307404066</v>
      </c>
      <c r="J62" s="8">
        <f t="shared" si="6"/>
        <v>3.9370131554235939</v>
      </c>
    </row>
    <row r="63" spans="1:10" x14ac:dyDescent="0.35">
      <c r="A63" t="str">
        <f>'UK Raw Data'!A62</f>
        <v>2014-Q2</v>
      </c>
      <c r="B63" s="7">
        <f>SUM('UK Raw Data'!B59:B62)</f>
        <v>700257</v>
      </c>
      <c r="C63" s="7">
        <f>SUM('UK Raw Data'!C59:C62)-SUM('UK Raw Data'!D59:D62)</f>
        <v>667417</v>
      </c>
      <c r="D63" s="7">
        <f>SUM('UK Raw Data'!F59:F62)</f>
        <v>1830757</v>
      </c>
      <c r="E63" s="8">
        <f t="shared" si="4"/>
        <v>38.249587465731388</v>
      </c>
      <c r="F63" s="8">
        <f t="shared" si="5"/>
        <v>36.455793969379883</v>
      </c>
      <c r="G63" s="8">
        <f>100*4*'UK Raw Data'!D62/'UK Raw Data'!E61</f>
        <v>5.7890630346998835</v>
      </c>
      <c r="H63" s="8">
        <f>100*'UK Raw Data'!E62/D63</f>
        <v>81.81861383023525</v>
      </c>
      <c r="I63" s="8">
        <f t="shared" si="7"/>
        <v>80.736424941814079</v>
      </c>
      <c r="J63" s="8">
        <f t="shared" si="6"/>
        <v>4.6738825318447752</v>
      </c>
    </row>
    <row r="64" spans="1:10" x14ac:dyDescent="0.35">
      <c r="A64" t="str">
        <f>'UK Raw Data'!A63</f>
        <v>2014-Q3</v>
      </c>
      <c r="B64" s="7">
        <f>SUM('UK Raw Data'!B60:B63)</f>
        <v>701953</v>
      </c>
      <c r="C64" s="7">
        <f>SUM('UK Raw Data'!C60:C63)-SUM('UK Raw Data'!D60:D63)</f>
        <v>673681</v>
      </c>
      <c r="D64" s="7">
        <f>SUM('UK Raw Data'!F60:F63)</f>
        <v>1854147</v>
      </c>
      <c r="E64" s="8">
        <f t="shared" si="4"/>
        <v>37.85854088160216</v>
      </c>
      <c r="F64" s="8">
        <f t="shared" si="5"/>
        <v>36.33374268598984</v>
      </c>
      <c r="G64" s="8">
        <f>100*4*'UK Raw Data'!D63/'UK Raw Data'!E62</f>
        <v>4.2424727952466785</v>
      </c>
      <c r="H64" s="8">
        <f>100*'UK Raw Data'!E63/D64</f>
        <v>81.649405359984939</v>
      </c>
      <c r="I64" s="8">
        <f t="shared" si="7"/>
        <v>81.81861383023525</v>
      </c>
      <c r="J64" s="8">
        <f t="shared" si="6"/>
        <v>3.4711324331956672</v>
      </c>
    </row>
    <row r="65" spans="1:10" x14ac:dyDescent="0.35">
      <c r="A65" t="str">
        <f>'UK Raw Data'!A64</f>
        <v>2014-Q4</v>
      </c>
      <c r="B65" s="7">
        <f>SUM('UK Raw Data'!B61:B64)</f>
        <v>705243</v>
      </c>
      <c r="C65" s="7">
        <f>SUM('UK Raw Data'!C61:C64)-SUM('UK Raw Data'!D61:D64)</f>
        <v>680766</v>
      </c>
      <c r="D65" s="7">
        <f>SUM('UK Raw Data'!F61:F64)</f>
        <v>1875066</v>
      </c>
      <c r="E65" s="8">
        <f t="shared" si="4"/>
        <v>37.61163607041032</v>
      </c>
      <c r="F65" s="8">
        <f t="shared" si="5"/>
        <v>36.306242020280884</v>
      </c>
      <c r="G65" s="8">
        <f>100*4*'UK Raw Data'!D64/'UK Raw Data'!E63</f>
        <v>4.7123323865512914</v>
      </c>
      <c r="H65" s="8">
        <f>100*'UK Raw Data'!E64/D65</f>
        <v>82.706422067276563</v>
      </c>
      <c r="I65" s="8">
        <f t="shared" si="7"/>
        <v>81.649405359984939</v>
      </c>
      <c r="J65" s="8">
        <f t="shared" si="6"/>
        <v>3.847591372205116</v>
      </c>
    </row>
    <row r="66" spans="1:10" x14ac:dyDescent="0.35">
      <c r="A66" t="str">
        <f>'UK Raw Data'!A65</f>
        <v>2015-Q1</v>
      </c>
      <c r="B66" s="7">
        <f>SUM('UK Raw Data'!B62:B65)</f>
        <v>712079</v>
      </c>
      <c r="C66" s="7">
        <f>SUM('UK Raw Data'!C62:C65)-SUM('UK Raw Data'!D62:D65)</f>
        <v>685959</v>
      </c>
      <c r="D66" s="7">
        <f>SUM('UK Raw Data'!F62:F65)</f>
        <v>1892400</v>
      </c>
      <c r="E66" s="8">
        <f t="shared" si="4"/>
        <v>37.628355527372648</v>
      </c>
      <c r="F66" s="8">
        <f t="shared" si="5"/>
        <v>36.248097653772987</v>
      </c>
      <c r="G66" s="8">
        <f>100*4*'UK Raw Data'!D65/'UK Raw Data'!E64</f>
        <v>3.2780500386897087</v>
      </c>
      <c r="H66" s="8">
        <f>100*'UK Raw Data'!E65/D66</f>
        <v>82.006975269499051</v>
      </c>
      <c r="I66" s="8">
        <f t="shared" si="7"/>
        <v>82.706422067276563</v>
      </c>
      <c r="J66" s="8">
        <f t="shared" si="6"/>
        <v>2.7111579005752331</v>
      </c>
    </row>
    <row r="67" spans="1:10" x14ac:dyDescent="0.35">
      <c r="A67" t="str">
        <f>'UK Raw Data'!A66</f>
        <v>2015-Q2</v>
      </c>
      <c r="B67" s="7">
        <f>SUM('UK Raw Data'!B63:B66)</f>
        <v>717188</v>
      </c>
      <c r="C67" s="7">
        <f>SUM('UK Raw Data'!C63:C66)-SUM('UK Raw Data'!D63:D66)</f>
        <v>689999</v>
      </c>
      <c r="D67" s="7">
        <f>SUM('UK Raw Data'!F63:F66)</f>
        <v>1907115</v>
      </c>
      <c r="E67" s="8">
        <f t="shared" si="4"/>
        <v>37.605912595727055</v>
      </c>
      <c r="F67" s="8">
        <f t="shared" si="5"/>
        <v>36.180251322023054</v>
      </c>
      <c r="G67" s="8">
        <f>100*4*'UK Raw Data'!D66/'UK Raw Data'!E65</f>
        <v>4.8263419034731623</v>
      </c>
      <c r="H67" s="8">
        <f>100*'UK Raw Data'!E66/D67</f>
        <v>82.737538113852594</v>
      </c>
      <c r="I67" s="8">
        <f t="shared" si="7"/>
        <v>82.006975269499051</v>
      </c>
      <c r="J67" s="8">
        <f t="shared" si="6"/>
        <v>3.9579370112027061</v>
      </c>
    </row>
    <row r="68" spans="1:10" x14ac:dyDescent="0.35">
      <c r="A68" t="str">
        <f>'UK Raw Data'!A67</f>
        <v>2015-Q3</v>
      </c>
      <c r="B68" s="7">
        <f>SUM('UK Raw Data'!B64:B67)</f>
        <v>722180</v>
      </c>
      <c r="C68" s="7">
        <f>SUM('UK Raw Data'!C64:C67)-SUM('UK Raw Data'!D64:D67)</f>
        <v>692257</v>
      </c>
      <c r="D68" s="7">
        <f>SUM('UK Raw Data'!F64:F67)</f>
        <v>1915690</v>
      </c>
      <c r="E68" s="8">
        <f t="shared" si="4"/>
        <v>37.698166195992044</v>
      </c>
      <c r="F68" s="8">
        <f t="shared" si="5"/>
        <v>36.136170257191928</v>
      </c>
      <c r="G68" s="8">
        <f>100*4*'UK Raw Data'!D67/'UK Raw Data'!E66</f>
        <v>4.0679383991380949</v>
      </c>
      <c r="H68" s="8">
        <f>100*'UK Raw Data'!E67/D68</f>
        <v>82.659511716405049</v>
      </c>
      <c r="I68" s="8">
        <f t="shared" si="7"/>
        <v>82.737538113852594</v>
      </c>
      <c r="J68" s="8">
        <f t="shared" si="6"/>
        <v>3.3657120834349263</v>
      </c>
    </row>
    <row r="69" spans="1:10" x14ac:dyDescent="0.35">
      <c r="A69" t="str">
        <f>'UK Raw Data'!A68</f>
        <v>2015-Q4</v>
      </c>
      <c r="B69" s="7">
        <f>SUM('UK Raw Data'!B65:B68)</f>
        <v>724994</v>
      </c>
      <c r="C69" s="7">
        <f>SUM('UK Raw Data'!C65:C68)-SUM('UK Raw Data'!D65:D68)</f>
        <v>690744</v>
      </c>
      <c r="D69" s="7">
        <f>SUM('UK Raw Data'!F65:F68)</f>
        <v>1928016</v>
      </c>
      <c r="E69" s="8">
        <f t="shared" si="4"/>
        <v>37.603111177500601</v>
      </c>
      <c r="F69" s="8">
        <f t="shared" si="5"/>
        <v>35.826673637563175</v>
      </c>
      <c r="G69" s="8">
        <f>100*4*'UK Raw Data'!D68/'UK Raw Data'!E67</f>
        <v>4.3357120303125987</v>
      </c>
      <c r="H69" s="8">
        <f>100*'UK Raw Data'!E68/D69</f>
        <v>83.137276869071627</v>
      </c>
      <c r="I69" s="8">
        <f t="shared" si="7"/>
        <v>82.659511716405049</v>
      </c>
      <c r="J69" s="8">
        <f t="shared" si="6"/>
        <v>3.5838783936858256</v>
      </c>
    </row>
    <row r="70" spans="1:10" x14ac:dyDescent="0.35">
      <c r="A70" t="str">
        <f>'UK Raw Data'!A69</f>
        <v>2016-Q1</v>
      </c>
      <c r="B70" s="7">
        <f>SUM('UK Raw Data'!B66:B69)</f>
        <v>733490</v>
      </c>
      <c r="C70" s="7">
        <f>SUM('UK Raw Data'!C66:C69)-SUM('UK Raw Data'!D66:D69)</f>
        <v>691432</v>
      </c>
      <c r="D70" s="7">
        <f>SUM('UK Raw Data'!F66:F69)</f>
        <v>1942644</v>
      </c>
      <c r="E70" s="8">
        <f t="shared" ref="E70:E101" si="8">100*B70/D70</f>
        <v>37.757303963052415</v>
      </c>
      <c r="F70" s="8">
        <f t="shared" ref="F70:F101" si="9">100*C70/D70</f>
        <v>35.592316451187145</v>
      </c>
      <c r="G70" s="8">
        <f>100*4*'UK Raw Data'!D69/'UK Raw Data'!E68</f>
        <v>3.7452118036059643</v>
      </c>
      <c r="H70" s="8">
        <f>100*'UK Raw Data'!E69/D70</f>
        <v>82.104595592398809</v>
      </c>
      <c r="I70" s="8">
        <f t="shared" si="7"/>
        <v>83.137276869071627</v>
      </c>
      <c r="J70" s="8">
        <f t="shared" ref="J70:J101" si="10">G70*I70/100</f>
        <v>3.1136671064970414</v>
      </c>
    </row>
    <row r="71" spans="1:10" x14ac:dyDescent="0.35">
      <c r="A71" t="str">
        <f>'UK Raw Data'!A70</f>
        <v>2016-Q2</v>
      </c>
      <c r="B71" s="7">
        <f>SUM('UK Raw Data'!B67:B70)</f>
        <v>740773</v>
      </c>
      <c r="C71" s="7">
        <f>SUM('UK Raw Data'!C67:C70)-SUM('UK Raw Data'!D67:D70)</f>
        <v>695046</v>
      </c>
      <c r="D71" s="7">
        <f>SUM('UK Raw Data'!F67:F70)</f>
        <v>1960318</v>
      </c>
      <c r="E71" s="8">
        <f t="shared" si="8"/>
        <v>37.788409839628059</v>
      </c>
      <c r="F71" s="8">
        <f t="shared" si="9"/>
        <v>35.455778093146115</v>
      </c>
      <c r="G71" s="8">
        <f>100*4*'UK Raw Data'!D70/'UK Raw Data'!E69</f>
        <v>4.7378056426332291</v>
      </c>
      <c r="H71" s="8">
        <f>100*'UK Raw Data'!E70/D71</f>
        <v>82.639653362362637</v>
      </c>
      <c r="I71" s="8">
        <f t="shared" ref="I71:I102" si="11">H70</f>
        <v>82.104595592398809</v>
      </c>
      <c r="J71" s="8">
        <f t="shared" si="10"/>
        <v>3.8899561628378643</v>
      </c>
    </row>
    <row r="72" spans="1:10" x14ac:dyDescent="0.35">
      <c r="A72" t="str">
        <f>'UK Raw Data'!A71</f>
        <v>2016-Q3</v>
      </c>
      <c r="B72" s="7">
        <f>SUM('UK Raw Data'!B68:B71)</f>
        <v>750783</v>
      </c>
      <c r="C72" s="7">
        <f>SUM('UK Raw Data'!C68:C71)-SUM('UK Raw Data'!D68:D71)</f>
        <v>699946</v>
      </c>
      <c r="D72" s="7">
        <f>SUM('UK Raw Data'!F68:F71)</f>
        <v>1982001</v>
      </c>
      <c r="E72" s="8">
        <f t="shared" si="8"/>
        <v>37.880051523687428</v>
      </c>
      <c r="F72" s="8">
        <f t="shared" si="9"/>
        <v>35.315118408113818</v>
      </c>
      <c r="G72" s="8">
        <f>100*4*'UK Raw Data'!D71/'UK Raw Data'!E70</f>
        <v>4.2930864197530862</v>
      </c>
      <c r="H72" s="8">
        <f>100*'UK Raw Data'!E71/D72</f>
        <v>82.174529679853848</v>
      </c>
      <c r="I72" s="8">
        <f t="shared" si="11"/>
        <v>82.639653362362637</v>
      </c>
      <c r="J72" s="8">
        <f t="shared" si="10"/>
        <v>3.5477917358306148</v>
      </c>
    </row>
    <row r="73" spans="1:10" x14ac:dyDescent="0.35">
      <c r="A73" t="str">
        <f>'UK Raw Data'!A72</f>
        <v>2016-Q4</v>
      </c>
      <c r="B73" s="7">
        <f>SUM('UK Raw Data'!B69:B72)</f>
        <v>760784</v>
      </c>
      <c r="C73" s="7">
        <f>SUM('UK Raw Data'!C69:C72)-SUM('UK Raw Data'!D69:D72)</f>
        <v>702508</v>
      </c>
      <c r="D73" s="7">
        <f>SUM('UK Raw Data'!F69:F72)</f>
        <v>2004755</v>
      </c>
      <c r="E73" s="8">
        <f t="shared" si="8"/>
        <v>37.948976308825763</v>
      </c>
      <c r="F73" s="8">
        <f t="shared" si="9"/>
        <v>35.042087437118255</v>
      </c>
      <c r="G73" s="8">
        <f>100*4*'UK Raw Data'!D72/'UK Raw Data'!E71</f>
        <v>4.2060539080248054</v>
      </c>
      <c r="H73" s="8">
        <f>100*'UK Raw Data'!E72/D73</f>
        <v>84.329506598063105</v>
      </c>
      <c r="I73" s="8">
        <f t="shared" si="11"/>
        <v>82.174529679853848</v>
      </c>
      <c r="J73" s="8">
        <f t="shared" si="10"/>
        <v>3.4563050170004965</v>
      </c>
    </row>
    <row r="74" spans="1:10" x14ac:dyDescent="0.35">
      <c r="A74" t="str">
        <f>'UK Raw Data'!A73</f>
        <v>2017-Q1</v>
      </c>
      <c r="B74" s="7">
        <f>SUM('UK Raw Data'!B70:B73)</f>
        <v>778103</v>
      </c>
      <c r="C74" s="7">
        <f>SUM('UK Raw Data'!C70:C73)-SUM('UK Raw Data'!D70:D73)</f>
        <v>705566</v>
      </c>
      <c r="D74" s="7">
        <f>SUM('UK Raw Data'!F70:F73)</f>
        <v>2029417</v>
      </c>
      <c r="E74" s="8">
        <f t="shared" si="8"/>
        <v>38.341208337172695</v>
      </c>
      <c r="F74" s="8">
        <f t="shared" si="9"/>
        <v>34.766930601251495</v>
      </c>
      <c r="G74" s="8">
        <f>100*4*'UK Raw Data'!D73/'UK Raw Data'!E72</f>
        <v>3.651484679995268</v>
      </c>
      <c r="H74" s="8">
        <f>100*'UK Raw Data'!E73/D74</f>
        <v>84.482390755571672</v>
      </c>
      <c r="I74" s="8">
        <f t="shared" si="11"/>
        <v>84.329506598063105</v>
      </c>
      <c r="J74" s="8">
        <f t="shared" si="10"/>
        <v>3.0792790141438728</v>
      </c>
    </row>
    <row r="75" spans="1:10" x14ac:dyDescent="0.35">
      <c r="A75" t="str">
        <f>'UK Raw Data'!A74</f>
        <v>2017-Q2</v>
      </c>
      <c r="B75" s="7">
        <f>SUM('UK Raw Data'!B71:B74)</f>
        <v>788856</v>
      </c>
      <c r="C75" s="7">
        <f>SUM('UK Raw Data'!C71:C74)-SUM('UK Raw Data'!D71:D74)</f>
        <v>712822</v>
      </c>
      <c r="D75" s="7">
        <f>SUM('UK Raw Data'!F71:F74)</f>
        <v>2053977</v>
      </c>
      <c r="E75" s="8">
        <f t="shared" si="8"/>
        <v>38.406272319505035</v>
      </c>
      <c r="F75" s="8">
        <f t="shared" si="9"/>
        <v>34.704478190359481</v>
      </c>
      <c r="G75" s="8">
        <f>100*4*'UK Raw Data'!D74/'UK Raw Data'!E73</f>
        <v>4.9523476232137646</v>
      </c>
      <c r="H75" s="8">
        <f>100*'UK Raw Data'!E74/D75</f>
        <v>85.205433166973151</v>
      </c>
      <c r="I75" s="8">
        <f t="shared" si="11"/>
        <v>84.482390755571672</v>
      </c>
      <c r="J75" s="8">
        <f t="shared" si="10"/>
        <v>4.183861670617719</v>
      </c>
    </row>
    <row r="76" spans="1:10" x14ac:dyDescent="0.35">
      <c r="A76" t="str">
        <f>'UK Raw Data'!A75</f>
        <v>2017-Q3</v>
      </c>
      <c r="B76" s="7">
        <f>SUM('UK Raw Data'!B72:B75)</f>
        <v>796673</v>
      </c>
      <c r="C76" s="7">
        <f>SUM('UK Raw Data'!C72:C75)-SUM('UK Raw Data'!D72:D75)</f>
        <v>716175</v>
      </c>
      <c r="D76" s="7">
        <f>SUM('UK Raw Data'!F72:F75)</f>
        <v>2074765</v>
      </c>
      <c r="E76" s="8">
        <f t="shared" si="8"/>
        <v>38.398228233076999</v>
      </c>
      <c r="F76" s="8">
        <f t="shared" si="9"/>
        <v>34.518367140374934</v>
      </c>
      <c r="G76" s="8">
        <f>100*4*'UK Raw Data'!D75/'UK Raw Data'!E74</f>
        <v>4.015999085766528</v>
      </c>
      <c r="H76" s="8">
        <f>100*'UK Raw Data'!E75/D76</f>
        <v>85.479560335748872</v>
      </c>
      <c r="I76" s="8">
        <f t="shared" si="11"/>
        <v>85.205433166973151</v>
      </c>
      <c r="J76" s="8">
        <f t="shared" si="10"/>
        <v>3.4218494170090521</v>
      </c>
    </row>
    <row r="77" spans="1:10" x14ac:dyDescent="0.35">
      <c r="A77" t="str">
        <f>'UK Raw Data'!A76</f>
        <v>2017-Q4</v>
      </c>
      <c r="B77" s="7">
        <f>SUM('UK Raw Data'!B73:B76)</f>
        <v>805827</v>
      </c>
      <c r="C77" s="7">
        <f>SUM('UK Raw Data'!C73:C76)-SUM('UK Raw Data'!D73:D76)</f>
        <v>721525</v>
      </c>
      <c r="D77" s="7">
        <f>SUM('UK Raw Data'!F73:F76)</f>
        <v>2097222</v>
      </c>
      <c r="E77" s="8">
        <f t="shared" si="8"/>
        <v>38.423543144216495</v>
      </c>
      <c r="F77" s="8">
        <f t="shared" si="9"/>
        <v>34.403844705043149</v>
      </c>
      <c r="G77" s="8">
        <f>100*4*'UK Raw Data'!D76/'UK Raw Data'!E75</f>
        <v>4.252382294897096</v>
      </c>
      <c r="H77" s="8">
        <f>100*'UK Raw Data'!E76/D77</f>
        <v>83.186233979998306</v>
      </c>
      <c r="I77" s="8">
        <f t="shared" si="11"/>
        <v>85.479560335748872</v>
      </c>
      <c r="J77" s="8">
        <f t="shared" si="10"/>
        <v>3.6349176894732658</v>
      </c>
    </row>
    <row r="78" spans="1:10" x14ac:dyDescent="0.35">
      <c r="A78" t="str">
        <f>'UK Raw Data'!A77</f>
        <v>2018-Q1</v>
      </c>
      <c r="B78" s="7">
        <f>SUM('UK Raw Data'!B74:B77)</f>
        <v>804060</v>
      </c>
      <c r="C78" s="7">
        <f>SUM('UK Raw Data'!C74:C77)-SUM('UK Raw Data'!D74:D77)</f>
        <v>727205</v>
      </c>
      <c r="D78" s="7">
        <f>SUM('UK Raw Data'!F74:F77)</f>
        <v>2115079</v>
      </c>
      <c r="E78" s="8">
        <f t="shared" si="8"/>
        <v>38.015601308509041</v>
      </c>
      <c r="F78" s="8">
        <f t="shared" si="9"/>
        <v>34.381930887687886</v>
      </c>
      <c r="G78" s="8">
        <f>100*4*'UK Raw Data'!D77/'UK Raw Data'!E76</f>
        <v>3.5691849134472085</v>
      </c>
      <c r="H78" s="8">
        <f>100*'UK Raw Data'!E77/D78</f>
        <v>83.108006840406432</v>
      </c>
      <c r="I78" s="8">
        <f t="shared" si="11"/>
        <v>83.186233979998306</v>
      </c>
      <c r="J78" s="8">
        <f t="shared" si="10"/>
        <v>2.9690705132789947</v>
      </c>
    </row>
    <row r="79" spans="1:10" x14ac:dyDescent="0.35">
      <c r="A79" t="str">
        <f>'UK Raw Data'!A78</f>
        <v>2018-Q2</v>
      </c>
      <c r="B79" s="7">
        <f>SUM('UK Raw Data'!B75:B78)</f>
        <v>807895</v>
      </c>
      <c r="C79" s="7">
        <f>SUM('UK Raw Data'!C75:C78)-SUM('UK Raw Data'!D75:D78)</f>
        <v>728244</v>
      </c>
      <c r="D79" s="7">
        <f>SUM('UK Raw Data'!F75:F78)</f>
        <v>2134182</v>
      </c>
      <c r="E79" s="8">
        <f t="shared" si="8"/>
        <v>37.855018925283787</v>
      </c>
      <c r="F79" s="8">
        <f t="shared" si="9"/>
        <v>34.122862998563384</v>
      </c>
      <c r="G79" s="8">
        <f>100*4*'UK Raw Data'!D78/'UK Raw Data'!E77</f>
        <v>4.4184776425076802</v>
      </c>
      <c r="H79" s="8">
        <f>100*'UK Raw Data'!E78/D79</f>
        <v>83.399635082668681</v>
      </c>
      <c r="I79" s="8">
        <f t="shared" si="11"/>
        <v>83.108006840406432</v>
      </c>
      <c r="J79" s="8">
        <f t="shared" si="10"/>
        <v>3.6721087013771112</v>
      </c>
    </row>
    <row r="80" spans="1:10" x14ac:dyDescent="0.35">
      <c r="A80" t="str">
        <f>'UK Raw Data'!A79</f>
        <v>2018-Q3</v>
      </c>
      <c r="B80" s="7">
        <f>SUM('UK Raw Data'!B76:B79)</f>
        <v>814874</v>
      </c>
      <c r="C80" s="7">
        <f>SUM('UK Raw Data'!C76:C79)-SUM('UK Raw Data'!D76:D79)</f>
        <v>733128</v>
      </c>
      <c r="D80" s="7">
        <f>SUM('UK Raw Data'!F76:F79)</f>
        <v>2154181</v>
      </c>
      <c r="E80" s="8">
        <f t="shared" si="8"/>
        <v>37.827554880485899</v>
      </c>
      <c r="F80" s="8">
        <f t="shared" si="9"/>
        <v>34.032794830146585</v>
      </c>
      <c r="G80" s="8">
        <f>100*4*'UK Raw Data'!D79/'UK Raw Data'!E78</f>
        <v>3.9211191639979774</v>
      </c>
      <c r="H80" s="8">
        <f>100*'UK Raw Data'!E79/D80</f>
        <v>82.430399302565576</v>
      </c>
      <c r="I80" s="8">
        <f t="shared" si="11"/>
        <v>83.399635082668681</v>
      </c>
      <c r="J80" s="8">
        <f t="shared" si="10"/>
        <v>3.2701990739309021</v>
      </c>
    </row>
    <row r="81" spans="1:10" x14ac:dyDescent="0.35">
      <c r="A81" t="str">
        <f>'UK Raw Data'!A80</f>
        <v>2018-Q4</v>
      </c>
      <c r="B81" s="7">
        <f>SUM('UK Raw Data'!B77:B80)</f>
        <v>820948</v>
      </c>
      <c r="C81" s="7">
        <f>SUM('UK Raw Data'!C77:C80)-SUM('UK Raw Data'!D77:D80)</f>
        <v>740111</v>
      </c>
      <c r="D81" s="7">
        <f>SUM('UK Raw Data'!F77:F80)</f>
        <v>2171559</v>
      </c>
      <c r="E81" s="8">
        <f t="shared" si="8"/>
        <v>37.804545029630788</v>
      </c>
      <c r="F81" s="8">
        <f t="shared" si="9"/>
        <v>34.082012047565826</v>
      </c>
      <c r="G81" s="8">
        <f>100*4*'UK Raw Data'!D80/'UK Raw Data'!E79</f>
        <v>4.3471307090161631</v>
      </c>
      <c r="H81" s="8">
        <f>100*'UK Raw Data'!E80/D81</f>
        <v>82.825288191571119</v>
      </c>
      <c r="I81" s="8">
        <f t="shared" si="11"/>
        <v>82.430399302565576</v>
      </c>
      <c r="J81" s="8">
        <f t="shared" si="10"/>
        <v>3.5833572016464732</v>
      </c>
    </row>
    <row r="82" spans="1:10" x14ac:dyDescent="0.35">
      <c r="A82" t="str">
        <f>'UK Raw Data'!A81</f>
        <v>2019-Q1</v>
      </c>
      <c r="B82" s="7">
        <f>SUM('UK Raw Data'!B78:B81)</f>
        <v>834713</v>
      </c>
      <c r="C82" s="7">
        <f>SUM('UK Raw Data'!C78:C81)-SUM('UK Raw Data'!D78:D81)</f>
        <v>749117</v>
      </c>
      <c r="D82" s="7">
        <f>SUM('UK Raw Data'!F78:F81)</f>
        <v>2190380</v>
      </c>
      <c r="E82" s="8">
        <f t="shared" si="8"/>
        <v>38.108136487732722</v>
      </c>
      <c r="F82" s="8">
        <f t="shared" si="9"/>
        <v>34.200321405418237</v>
      </c>
      <c r="G82" s="8">
        <f>100*4*'UK Raw Data'!D81/'UK Raw Data'!E80</f>
        <v>2.9018125208495498</v>
      </c>
      <c r="H82" s="8">
        <f>100*'UK Raw Data'!E81/D82</f>
        <v>81.08182141911449</v>
      </c>
      <c r="I82" s="8">
        <f t="shared" si="11"/>
        <v>82.825288191571119</v>
      </c>
      <c r="J82" s="8">
        <f t="shared" si="10"/>
        <v>2.4034345831727344</v>
      </c>
    </row>
    <row r="83" spans="1:10" x14ac:dyDescent="0.35">
      <c r="A83" t="str">
        <f>'UK Raw Data'!A82</f>
        <v>2019-Q2</v>
      </c>
      <c r="B83" s="7">
        <f>SUM('UK Raw Data'!B79:B82)</f>
        <v>839267</v>
      </c>
      <c r="C83" s="7">
        <f>SUM('UK Raw Data'!C79:C82)-SUM('UK Raw Data'!D79:D82)</f>
        <v>755648</v>
      </c>
      <c r="D83" s="7">
        <f>SUM('UK Raw Data'!F79:F82)</f>
        <v>2210656</v>
      </c>
      <c r="E83" s="8">
        <f t="shared" si="8"/>
        <v>37.964613218881638</v>
      </c>
      <c r="F83" s="8">
        <f t="shared" si="9"/>
        <v>34.182070842320108</v>
      </c>
      <c r="G83" s="8">
        <f>100*4*'UK Raw Data'!D82/'UK Raw Data'!E81</f>
        <v>4.8668918918918918</v>
      </c>
      <c r="H83" s="8">
        <f>100*'UK Raw Data'!E82/D83</f>
        <v>81.817342906359016</v>
      </c>
      <c r="I83" s="8">
        <f t="shared" si="11"/>
        <v>81.08182141911449</v>
      </c>
      <c r="J83" s="8">
        <f t="shared" si="10"/>
        <v>3.9461645924451467</v>
      </c>
    </row>
    <row r="84" spans="1:10" x14ac:dyDescent="0.35">
      <c r="A84" t="str">
        <f>'UK Raw Data'!A83</f>
        <v>2019-Q3</v>
      </c>
      <c r="B84" s="7">
        <f>SUM('UK Raw Data'!B80:B83)</f>
        <v>844812</v>
      </c>
      <c r="C84" s="7">
        <f>SUM('UK Raw Data'!C80:C83)-SUM('UK Raw Data'!D80:D83)</f>
        <v>763327</v>
      </c>
      <c r="D84" s="7">
        <f>SUM('UK Raw Data'!F80:F83)</f>
        <v>2232947</v>
      </c>
      <c r="E84" s="8">
        <f t="shared" si="8"/>
        <v>37.833947693339788</v>
      </c>
      <c r="F84" s="8">
        <f t="shared" si="9"/>
        <v>34.184734344344044</v>
      </c>
      <c r="G84" s="8">
        <f>100*4*'UK Raw Data'!D83/'UK Raw Data'!E82</f>
        <v>3.3792226460994086</v>
      </c>
      <c r="H84" s="8">
        <f>100*'UK Raw Data'!E83/D84</f>
        <v>80.969230348951413</v>
      </c>
      <c r="I84" s="8">
        <f t="shared" si="11"/>
        <v>81.817342906359016</v>
      </c>
      <c r="J84" s="8">
        <f t="shared" si="10"/>
        <v>2.7647901799284922</v>
      </c>
    </row>
    <row r="85" spans="1:10" x14ac:dyDescent="0.35">
      <c r="A85" t="str">
        <f>'UK Raw Data'!A84</f>
        <v>2019-Q4</v>
      </c>
      <c r="B85" s="7">
        <f>SUM('UK Raw Data'!B81:B84)</f>
        <v>845885</v>
      </c>
      <c r="C85" s="7">
        <f>SUM('UK Raw Data'!C81:C84)-SUM('UK Raw Data'!D81:D84)</f>
        <v>769621</v>
      </c>
      <c r="D85" s="7">
        <f>SUM('UK Raw Data'!F81:F84)</f>
        <v>2252961</v>
      </c>
      <c r="E85" s="8">
        <f t="shared" si="8"/>
        <v>37.545479038474255</v>
      </c>
      <c r="F85" s="8">
        <f t="shared" si="9"/>
        <v>34.160422661555174</v>
      </c>
      <c r="G85" s="8">
        <f>100*4*'UK Raw Data'!D84/'UK Raw Data'!E83</f>
        <v>3.5767699115044249</v>
      </c>
      <c r="H85" s="8">
        <f>100*'UK Raw Data'!E84/D85</f>
        <v>81.559334582356286</v>
      </c>
      <c r="I85" s="8">
        <f t="shared" si="11"/>
        <v>80.969230348951413</v>
      </c>
      <c r="J85" s="8">
        <f t="shared" si="10"/>
        <v>2.8960830686980032</v>
      </c>
    </row>
    <row r="86" spans="1:10" x14ac:dyDescent="0.35">
      <c r="A86" t="str">
        <f>'UK Raw Data'!A85</f>
        <v>2020-Q1</v>
      </c>
      <c r="B86" s="7">
        <f>SUM('UK Raw Data'!B82:B85)</f>
        <v>846534</v>
      </c>
      <c r="C86" s="7">
        <f>SUM('UK Raw Data'!C82:C85)-SUM('UK Raw Data'!D82:D85)</f>
        <v>777474</v>
      </c>
      <c r="D86" s="7">
        <f>SUM('UK Raw Data'!F82:F85)</f>
        <v>2258342</v>
      </c>
      <c r="E86" s="8">
        <f t="shared" si="8"/>
        <v>37.484756516063555</v>
      </c>
      <c r="F86" s="8">
        <f t="shared" si="9"/>
        <v>34.426760871471195</v>
      </c>
      <c r="G86" s="8">
        <f>100*4*'UK Raw Data'!D85/'UK Raw Data'!E84</f>
        <v>3.0217142857142858</v>
      </c>
      <c r="H86" s="8">
        <f>100*'UK Raw Data'!E85/D86</f>
        <v>80.404119482345891</v>
      </c>
      <c r="I86" s="8">
        <f t="shared" si="11"/>
        <v>81.559334582356286</v>
      </c>
      <c r="J86" s="8">
        <f t="shared" si="10"/>
        <v>2.4644900644085719</v>
      </c>
    </row>
    <row r="87" spans="1:10" x14ac:dyDescent="0.35">
      <c r="A87" t="str">
        <f>'UK Raw Data'!A86</f>
        <v>2020-Q2</v>
      </c>
      <c r="B87" s="7">
        <f>SUM('UK Raw Data'!B83:B86)</f>
        <v>820310</v>
      </c>
      <c r="C87" s="7">
        <f>SUM('UK Raw Data'!C83:C86)-SUM('UK Raw Data'!D83:D86)</f>
        <v>865951</v>
      </c>
      <c r="D87" s="7">
        <f>SUM('UK Raw Data'!F83:F86)</f>
        <v>2178574</v>
      </c>
      <c r="E87" s="8">
        <f t="shared" si="8"/>
        <v>37.653529326981776</v>
      </c>
      <c r="F87" s="8">
        <f t="shared" si="9"/>
        <v>39.748523575513154</v>
      </c>
      <c r="G87" s="8">
        <f>100*4*'UK Raw Data'!D86/'UK Raw Data'!E85</f>
        <v>3.3232734882696331</v>
      </c>
      <c r="H87" s="8">
        <f>100*'UK Raw Data'!E86/D87</f>
        <v>92.923169008718546</v>
      </c>
      <c r="I87" s="8">
        <f t="shared" si="11"/>
        <v>80.404119482345891</v>
      </c>
      <c r="J87" s="8">
        <f t="shared" si="10"/>
        <v>2.6720487862334399</v>
      </c>
    </row>
    <row r="88" spans="1:10" x14ac:dyDescent="0.35">
      <c r="A88" t="str">
        <f>'UK Raw Data'!A87</f>
        <v>2020-Q3</v>
      </c>
      <c r="B88" s="7">
        <f>SUM('UK Raw Data'!B84:B87)</f>
        <v>804836</v>
      </c>
      <c r="C88" s="7">
        <f>SUM('UK Raw Data'!C84:C87)-SUM('UK Raw Data'!D84:D87)</f>
        <v>911812</v>
      </c>
      <c r="D88" s="7">
        <f>SUM('UK Raw Data'!F84:F87)</f>
        <v>2151442</v>
      </c>
      <c r="E88" s="8">
        <f t="shared" si="8"/>
        <v>37.409142333374547</v>
      </c>
      <c r="F88" s="8">
        <f t="shared" si="9"/>
        <v>42.381435334998571</v>
      </c>
      <c r="G88" s="8">
        <f>100*4*'UK Raw Data'!D87/'UK Raw Data'!E86</f>
        <v>2.7496542185338866</v>
      </c>
      <c r="H88" s="8">
        <f>100*'UK Raw Data'!E87/D88</f>
        <v>96.168058446381536</v>
      </c>
      <c r="I88" s="8">
        <f t="shared" si="11"/>
        <v>92.923169008718546</v>
      </c>
      <c r="J88" s="8">
        <f t="shared" si="10"/>
        <v>2.5550658366436023</v>
      </c>
    </row>
    <row r="89" spans="1:10" x14ac:dyDescent="0.35">
      <c r="A89" t="str">
        <f>'UK Raw Data'!A88</f>
        <v>2020-Q4</v>
      </c>
      <c r="B89" s="7">
        <f>SUM('UK Raw Data'!B85:B88)</f>
        <v>807268</v>
      </c>
      <c r="C89" s="7">
        <f>SUM('UK Raw Data'!C85:C88)-SUM('UK Raw Data'!D85:D88)</f>
        <v>958701</v>
      </c>
      <c r="D89" s="7">
        <f>SUM('UK Raw Data'!F85:F88)</f>
        <v>2124720</v>
      </c>
      <c r="E89" s="8">
        <f t="shared" si="8"/>
        <v>37.994088632855153</v>
      </c>
      <c r="F89" s="8">
        <f t="shared" si="9"/>
        <v>45.121286569524457</v>
      </c>
      <c r="G89" s="8">
        <f>100*4*'UK Raw Data'!D88/'UK Raw Data'!E87</f>
        <v>2.2990816819719671</v>
      </c>
      <c r="H89" s="8">
        <f>100*'UK Raw Data'!E88/D89</f>
        <v>101.30746639557212</v>
      </c>
      <c r="I89" s="8">
        <f t="shared" si="11"/>
        <v>96.168058446381536</v>
      </c>
      <c r="J89" s="8">
        <f t="shared" si="10"/>
        <v>2.210982215648853</v>
      </c>
    </row>
    <row r="90" spans="1:10" x14ac:dyDescent="0.35">
      <c r="A90" t="str">
        <f>'UK Raw Data'!A89</f>
        <v>2021-Q1</v>
      </c>
      <c r="B90" s="7">
        <f>SUM('UK Raw Data'!B86:B89)</f>
        <v>813320</v>
      </c>
      <c r="C90" s="7">
        <f>SUM('UK Raw Data'!C86:C89)-SUM('UK Raw Data'!D86:D89)</f>
        <v>1007264</v>
      </c>
      <c r="D90" s="7">
        <f>SUM('UK Raw Data'!F86:F89)</f>
        <v>2110471</v>
      </c>
      <c r="E90" s="8">
        <f t="shared" si="8"/>
        <v>38.537369146508055</v>
      </c>
      <c r="F90" s="8">
        <f t="shared" si="9"/>
        <v>47.726976584847648</v>
      </c>
      <c r="G90" s="8">
        <f>100*4*'UK Raw Data'!D89/'UK Raw Data'!E88</f>
        <v>2.2847851335656215</v>
      </c>
      <c r="H90" s="8">
        <f>100*'UK Raw Data'!E89/D90</f>
        <v>102.11464644621982</v>
      </c>
      <c r="I90" s="8">
        <f t="shared" si="11"/>
        <v>101.30746639557212</v>
      </c>
      <c r="J90" s="8">
        <f t="shared" si="10"/>
        <v>2.3146579313980196</v>
      </c>
    </row>
    <row r="91" spans="1:10" x14ac:dyDescent="0.35">
      <c r="A91" t="str">
        <f>'UK Raw Data'!A90</f>
        <v>2021-Q2</v>
      </c>
      <c r="B91" s="7">
        <f>SUM('UK Raw Data'!B87:B90)</f>
        <v>849144</v>
      </c>
      <c r="C91" s="7">
        <f>SUM('UK Raw Data'!C87:C90)-SUM('UK Raw Data'!D87:D90)</f>
        <v>963768</v>
      </c>
      <c r="D91" s="7">
        <f>SUM('UK Raw Data'!F87:F90)</f>
        <v>2205769</v>
      </c>
      <c r="E91" s="8">
        <f t="shared" si="8"/>
        <v>38.496506207132299</v>
      </c>
      <c r="F91" s="8">
        <f t="shared" si="9"/>
        <v>43.693061240773623</v>
      </c>
      <c r="G91" s="8">
        <f>100*4*'UK Raw Data'!D90/'UK Raw Data'!E89</f>
        <v>3.9808825576539371</v>
      </c>
      <c r="H91" s="8">
        <f>100*'UK Raw Data'!E90/D91</f>
        <v>100.88998439999837</v>
      </c>
      <c r="I91" s="8">
        <f t="shared" si="11"/>
        <v>102.11464644621982</v>
      </c>
      <c r="J91" s="8">
        <f t="shared" si="10"/>
        <v>4.0650641491875508</v>
      </c>
    </row>
    <row r="92" spans="1:10" x14ac:dyDescent="0.35">
      <c r="A92" t="str">
        <f>'UK Raw Data'!A91</f>
        <v>2021-Q3</v>
      </c>
      <c r="B92" s="7">
        <f>SUM('UK Raw Data'!B88:B91)</f>
        <v>879864</v>
      </c>
      <c r="C92" s="7">
        <f>SUM('UK Raw Data'!C88:C91)-SUM('UK Raw Data'!D88:D91)</f>
        <v>951283</v>
      </c>
      <c r="D92" s="7">
        <f>SUM('UK Raw Data'!F88:F91)</f>
        <v>2258157</v>
      </c>
      <c r="E92" s="8">
        <f t="shared" si="8"/>
        <v>38.963809867958695</v>
      </c>
      <c r="F92" s="8">
        <f t="shared" si="9"/>
        <v>42.126521760887307</v>
      </c>
      <c r="G92" s="8">
        <f>100*4*'UK Raw Data'!D91/'UK Raw Data'!E90</f>
        <v>3.3108654623887839</v>
      </c>
      <c r="H92" s="8">
        <f>100*'UK Raw Data'!E91/D92</f>
        <v>99.045371955980031</v>
      </c>
      <c r="I92" s="8">
        <f t="shared" si="11"/>
        <v>100.88998439999837</v>
      </c>
      <c r="J92" s="8">
        <f t="shared" si="10"/>
        <v>3.3403316485089776</v>
      </c>
    </row>
    <row r="93" spans="1:10" x14ac:dyDescent="0.35">
      <c r="A93" t="str">
        <f>'UK Raw Data'!A92</f>
        <v>2021-Q4</v>
      </c>
      <c r="B93" s="7">
        <f>SUM('UK Raw Data'!B89:B92)</f>
        <v>907746</v>
      </c>
      <c r="C93" s="7">
        <f>SUM('UK Raw Data'!C89:C92)-SUM('UK Raw Data'!D89:D92)</f>
        <v>930315</v>
      </c>
      <c r="D93" s="7">
        <f>SUM('UK Raw Data'!F89:F92)</f>
        <v>2322652</v>
      </c>
      <c r="E93" s="8">
        <f t="shared" si="8"/>
        <v>39.082307637993125</v>
      </c>
      <c r="F93" s="8">
        <f t="shared" si="9"/>
        <v>40.053998618820209</v>
      </c>
      <c r="G93" s="8">
        <f>100*4*'UK Raw Data'!D92/'UK Raw Data'!E91</f>
        <v>4.0350532057587412</v>
      </c>
      <c r="H93" s="8">
        <f>100*'UK Raw Data'!E92/D93</f>
        <v>101.81034438219758</v>
      </c>
      <c r="I93" s="8">
        <f t="shared" si="11"/>
        <v>99.045371955980031</v>
      </c>
      <c r="J93" s="8">
        <f t="shared" si="10"/>
        <v>3.9965334562654413</v>
      </c>
    </row>
    <row r="94" spans="1:10" x14ac:dyDescent="0.35">
      <c r="A94" t="str">
        <f>'UK Raw Data'!A93</f>
        <v>2022-Q1</v>
      </c>
      <c r="B94" s="7">
        <f>SUM('UK Raw Data'!B90:B93)</f>
        <v>942891</v>
      </c>
      <c r="C94" s="7">
        <f>SUM('UK Raw Data'!C90:C93)-SUM('UK Raw Data'!D90:D93)</f>
        <v>913010</v>
      </c>
      <c r="D94" s="7">
        <f>SUM('UK Raw Data'!F90:F93)</f>
        <v>2400550</v>
      </c>
      <c r="E94" s="8">
        <f t="shared" si="8"/>
        <v>39.278123763304244</v>
      </c>
      <c r="F94" s="8">
        <f t="shared" si="9"/>
        <v>38.033367353314866</v>
      </c>
      <c r="G94" s="8">
        <f>100*4*'UK Raw Data'!D93/'UK Raw Data'!E92</f>
        <v>3.849283207172157</v>
      </c>
      <c r="H94" s="8">
        <f>100*'UK Raw Data'!E93/D94</f>
        <v>99.177271875195274</v>
      </c>
      <c r="I94" s="8">
        <f t="shared" si="11"/>
        <v>101.81034438219758</v>
      </c>
      <c r="J94" s="8">
        <f t="shared" si="10"/>
        <v>3.9189684894680732</v>
      </c>
    </row>
    <row r="95" spans="1:10" x14ac:dyDescent="0.35">
      <c r="A95" t="str">
        <f>'UK Raw Data'!A94</f>
        <v>2022-Q2</v>
      </c>
      <c r="B95" s="7">
        <f>SUM('UK Raw Data'!B91:B94)</f>
        <v>972935</v>
      </c>
      <c r="C95" s="7">
        <f>SUM('UK Raw Data'!C91:C94)-SUM('UK Raw Data'!D91:D94)</f>
        <v>904092</v>
      </c>
      <c r="D95" s="7">
        <f>SUM('UK Raw Data'!F91:F94)</f>
        <v>2463318</v>
      </c>
      <c r="E95" s="8">
        <f t="shared" si="8"/>
        <v>39.496930562761285</v>
      </c>
      <c r="F95" s="8">
        <f t="shared" si="9"/>
        <v>36.702204100323222</v>
      </c>
      <c r="G95" s="8">
        <f>100*4*'UK Raw Data'!D94/'UK Raw Data'!E93</f>
        <v>6.919522849462366</v>
      </c>
      <c r="H95" s="8">
        <f>100*'UK Raw Data'!E94/D95</f>
        <v>98.480991897919793</v>
      </c>
      <c r="I95" s="8">
        <f t="shared" si="11"/>
        <v>99.177271875195274</v>
      </c>
      <c r="J95" s="8">
        <f t="shared" si="10"/>
        <v>6.86259398887755</v>
      </c>
    </row>
    <row r="96" spans="1:10" x14ac:dyDescent="0.35">
      <c r="A96" t="str">
        <f>'UK Raw Data'!A95</f>
        <v>2022-Q3</v>
      </c>
      <c r="B96" s="7">
        <f>SUM('UK Raw Data'!B92:B95)</f>
        <v>1006126</v>
      </c>
      <c r="C96" s="7">
        <f>SUM('UK Raw Data'!C92:C95)-SUM('UK Raw Data'!D92:D95)</f>
        <v>910841</v>
      </c>
      <c r="D96" s="7">
        <f>SUM('UK Raw Data'!F92:F95)</f>
        <v>2520844</v>
      </c>
      <c r="E96" s="8">
        <f t="shared" si="8"/>
        <v>39.91226747866984</v>
      </c>
      <c r="F96" s="8">
        <f t="shared" si="9"/>
        <v>36.132382646446985</v>
      </c>
      <c r="G96" s="8">
        <f>100*4*'UK Raw Data'!D95/'UK Raw Data'!E94</f>
        <v>5.291726781812935</v>
      </c>
      <c r="H96" s="8">
        <f>100*'UK Raw Data'!E95/D96</f>
        <v>96.943722023258871</v>
      </c>
      <c r="I96" s="8">
        <f t="shared" si="11"/>
        <v>98.480991897919793</v>
      </c>
      <c r="J96" s="8">
        <f t="shared" si="10"/>
        <v>5.2113450232572482</v>
      </c>
    </row>
    <row r="97" spans="1:10" x14ac:dyDescent="0.35">
      <c r="A97" t="str">
        <f>'UK Raw Data'!A96</f>
        <v>2022-Q4</v>
      </c>
      <c r="B97" s="7">
        <f>SUM('UK Raw Data'!B93:B96)</f>
        <v>1032903</v>
      </c>
      <c r="C97" s="7">
        <f>SUM('UK Raw Data'!C93:C96)-SUM('UK Raw Data'!D93:D96)</f>
        <v>931463</v>
      </c>
      <c r="D97" s="7">
        <f>SUM('UK Raw Data'!F93:F96)</f>
        <v>2580949</v>
      </c>
      <c r="E97" s="8">
        <f t="shared" si="8"/>
        <v>40.020279362358572</v>
      </c>
      <c r="F97" s="8">
        <f t="shared" si="9"/>
        <v>36.089942110440774</v>
      </c>
      <c r="G97" s="8">
        <f>100*4*'UK Raw Data'!D96/'UK Raw Data'!E95</f>
        <v>7.1336443244128001</v>
      </c>
      <c r="H97" s="8">
        <f>100*'UK Raw Data'!E96/D97</f>
        <v>96.913964592093834</v>
      </c>
      <c r="I97" s="8">
        <f t="shared" si="11"/>
        <v>96.943722023258871</v>
      </c>
      <c r="J97" s="8">
        <f t="shared" si="10"/>
        <v>6.9156203239867287</v>
      </c>
    </row>
    <row r="98" spans="1:10" x14ac:dyDescent="0.35">
      <c r="A98" t="str">
        <f>'UK Raw Data'!A97</f>
        <v>2023-Q1</v>
      </c>
      <c r="B98" s="7">
        <f>SUM('UK Raw Data'!B94:B97)</f>
        <v>1064038</v>
      </c>
      <c r="C98" s="7">
        <f>SUM('UK Raw Data'!C94:C97)-SUM('UK Raw Data'!D94:D97)</f>
        <v>969570</v>
      </c>
      <c r="D98" s="7">
        <f>SUM('UK Raw Data'!F94:F97)</f>
        <v>2637129</v>
      </c>
      <c r="E98" s="8">
        <f t="shared" si="8"/>
        <v>40.34834852599171</v>
      </c>
      <c r="F98" s="8">
        <f t="shared" si="9"/>
        <v>36.766119518612854</v>
      </c>
      <c r="G98" s="8">
        <f>100*4*'UK Raw Data'!D97/'UK Raw Data'!E96</f>
        <v>5.329388717866709</v>
      </c>
      <c r="H98" s="8">
        <f>100*'UK Raw Data'!E97/D98</f>
        <v>96.525425946171012</v>
      </c>
      <c r="I98" s="8">
        <f t="shared" si="11"/>
        <v>96.913964592093834</v>
      </c>
      <c r="J98" s="8">
        <f t="shared" si="10"/>
        <v>5.1649218950083853</v>
      </c>
    </row>
    <row r="99" spans="1:10" x14ac:dyDescent="0.35">
      <c r="A99" t="str">
        <f>'UK Raw Data'!A98</f>
        <v>2023-Q2</v>
      </c>
      <c r="B99" s="7">
        <f>SUM('UK Raw Data'!B95:B98)</f>
        <v>1087042</v>
      </c>
      <c r="C99" s="7">
        <f>SUM('UK Raw Data'!C95:C98)-SUM('UK Raw Data'!D95:D98)</f>
        <v>997170</v>
      </c>
      <c r="D99" s="7">
        <f>SUM('UK Raw Data'!F95:F98)</f>
        <v>2687454</v>
      </c>
      <c r="E99" s="8">
        <f t="shared" si="8"/>
        <v>40.44876675098439</v>
      </c>
      <c r="F99" s="8">
        <f t="shared" si="9"/>
        <v>37.104635093289041</v>
      </c>
      <c r="G99" s="8">
        <f>100*4*'UK Raw Data'!D98/'UK Raw Data'!E97</f>
        <v>7.5843645649184834</v>
      </c>
      <c r="H99" s="8">
        <f>100*'UK Raw Data'!E98/D99</f>
        <v>97.132825343243084</v>
      </c>
      <c r="I99" s="8">
        <f t="shared" si="11"/>
        <v>96.525425946171012</v>
      </c>
      <c r="J99" s="8">
        <f t="shared" si="10"/>
        <v>7.3208402015980258</v>
      </c>
    </row>
    <row r="100" spans="1:10" x14ac:dyDescent="0.35">
      <c r="A100" t="str">
        <f>'UK Raw Data'!A99</f>
        <v>2023-Q3</v>
      </c>
      <c r="B100" s="7">
        <f>SUM('UK Raw Data'!B96:B99)</f>
        <v>1104446</v>
      </c>
      <c r="C100" s="7">
        <f>SUM('UK Raw Data'!C96:C99)-SUM('UK Raw Data'!D96:D99)</f>
        <v>1017351</v>
      </c>
      <c r="D100" s="7">
        <f>SUM('UK Raw Data'!F96:F99)</f>
        <v>2730203</v>
      </c>
      <c r="E100" s="8">
        <f t="shared" si="8"/>
        <v>40.452889400531753</v>
      </c>
      <c r="F100" s="8">
        <f t="shared" si="9"/>
        <v>37.262833569518456</v>
      </c>
      <c r="G100" s="8">
        <f>100*4*'UK Raw Data'!D99/'UK Raw Data'!E98</f>
        <v>5.1029727244866683</v>
      </c>
      <c r="H100" s="8">
        <f>100*'UK Raw Data'!E99/D100</f>
        <v>95.58629889425805</v>
      </c>
      <c r="I100" s="8">
        <f t="shared" si="11"/>
        <v>97.132825343243084</v>
      </c>
      <c r="J100" s="8">
        <f t="shared" si="10"/>
        <v>4.9566615837889687</v>
      </c>
    </row>
    <row r="101" spans="1:10" x14ac:dyDescent="0.35">
      <c r="A101" t="str">
        <f>'UK Raw Data'!A100</f>
        <v>2023-Q4</v>
      </c>
      <c r="B101" s="7">
        <f>SUM('UK Raw Data'!B97:B100)</f>
        <v>1120116</v>
      </c>
      <c r="C101" s="7">
        <f>SUM('UK Raw Data'!C97:C100)-SUM('UK Raw Data'!D97:D100)</f>
        <v>1034108</v>
      </c>
      <c r="D101" s="7">
        <f>SUM('UK Raw Data'!F97:F100)</f>
        <v>2752164</v>
      </c>
      <c r="E101" s="8">
        <f t="shared" si="8"/>
        <v>40.699464130771275</v>
      </c>
      <c r="F101" s="8">
        <f t="shared" si="9"/>
        <v>37.574359667519815</v>
      </c>
      <c r="G101" s="8">
        <f>100*4*'UK Raw Data'!D100/'UK Raw Data'!E99</f>
        <v>5.9188412461202438</v>
      </c>
      <c r="H101" s="8">
        <f>100*'UK Raw Data'!E100/D101</f>
        <v>97.948378076306497</v>
      </c>
      <c r="I101" s="8">
        <f t="shared" si="11"/>
        <v>95.58629889425805</v>
      </c>
      <c r="J101" s="8">
        <f t="shared" si="10"/>
        <v>5.6576012845931238</v>
      </c>
    </row>
    <row r="102" spans="1:10" x14ac:dyDescent="0.35">
      <c r="A102" t="str">
        <f>'UK Raw Data'!A101</f>
        <v>2024-Q1</v>
      </c>
      <c r="B102" s="7">
        <f>SUM('UK Raw Data'!B98:B101)</f>
        <v>1132964</v>
      </c>
      <c r="C102" s="7">
        <f>SUM('UK Raw Data'!C98:C101)-SUM('UK Raw Data'!D98:D101)</f>
        <v>1038208</v>
      </c>
      <c r="D102" s="7">
        <f>SUM('UK Raw Data'!F98:F101)</f>
        <v>2778543</v>
      </c>
      <c r="E102" s="8">
        <f t="shared" ref="E102:E109" si="12">100*B102/D102</f>
        <v>40.775471173201204</v>
      </c>
      <c r="F102" s="8">
        <f t="shared" ref="F102:F109" si="13">100*C102/D102</f>
        <v>37.365194636181627</v>
      </c>
      <c r="G102" s="8">
        <f>100*4*'UK Raw Data'!D101/'UK Raw Data'!E100</f>
        <v>4.856475127054197</v>
      </c>
      <c r="H102" s="8">
        <f>100*'UK Raw Data'!E101/D102</f>
        <v>96.654973487903547</v>
      </c>
      <c r="I102" s="8">
        <f t="shared" si="11"/>
        <v>97.948378076306497</v>
      </c>
      <c r="J102" s="8">
        <f t="shared" ref="J102:J109" si="14">G102*I102/100</f>
        <v>4.756838618628831</v>
      </c>
    </row>
    <row r="103" spans="1:10" x14ac:dyDescent="0.35">
      <c r="A103" t="str">
        <f>'UK Raw Data'!A102</f>
        <v>2024-Q2</v>
      </c>
      <c r="B103" s="7">
        <f>SUM('UK Raw Data'!B99:B102)</f>
        <v>1137115</v>
      </c>
      <c r="C103" s="7">
        <f>SUM('UK Raw Data'!C99:C102)-SUM('UK Raw Data'!D99:D102)</f>
        <v>1046487</v>
      </c>
      <c r="D103" s="7">
        <f>SUM('UK Raw Data'!F99:F102)</f>
        <v>2806790</v>
      </c>
      <c r="E103" s="8">
        <f t="shared" si="12"/>
        <v>40.513005960545676</v>
      </c>
      <c r="F103" s="8">
        <f t="shared" si="13"/>
        <v>37.284121719116854</v>
      </c>
      <c r="G103" s="8">
        <f>100*4*'UK Raw Data'!D102/'UK Raw Data'!E101</f>
        <v>6.1489425081918379</v>
      </c>
      <c r="H103" s="8">
        <f>100*'UK Raw Data'!E102/D103</f>
        <v>97.296199573177901</v>
      </c>
      <c r="I103" s="8">
        <f t="shared" ref="I103:I109" si="15">H102</f>
        <v>96.654973487903547</v>
      </c>
      <c r="J103" s="8">
        <f t="shared" si="14"/>
        <v>5.9432587510792523</v>
      </c>
    </row>
    <row r="104" spans="1:10" x14ac:dyDescent="0.35">
      <c r="A104" t="str">
        <f>'UK Raw Data'!A103</f>
        <v>2024-Q3</v>
      </c>
      <c r="B104" s="7">
        <f>SUM('UK Raw Data'!B100:B103)</f>
        <v>1135925</v>
      </c>
      <c r="C104" s="7">
        <f>SUM('UK Raw Data'!C100:C103)-SUM('UK Raw Data'!D100:D103)</f>
        <v>1058612</v>
      </c>
      <c r="D104" s="7">
        <f>SUM('UK Raw Data'!F100:F103)</f>
        <v>2843685</v>
      </c>
      <c r="E104" s="8">
        <f t="shared" si="12"/>
        <v>39.945528425265103</v>
      </c>
      <c r="F104" s="8">
        <f t="shared" si="13"/>
        <v>37.226767381056625</v>
      </c>
      <c r="G104" s="8">
        <f>100*4*'UK Raw Data'!D103/'UK Raw Data'!E102</f>
        <v>4.3698414442125308</v>
      </c>
      <c r="H104" s="8">
        <f>100*'UK Raw Data'!E103/D104</f>
        <v>96.979799098704675</v>
      </c>
      <c r="I104" s="8">
        <f t="shared" si="15"/>
        <v>97.296199573177901</v>
      </c>
      <c r="J104" s="8">
        <f t="shared" si="14"/>
        <v>4.2516896525924635</v>
      </c>
    </row>
    <row r="105" spans="1:10" x14ac:dyDescent="0.35">
      <c r="A105" t="str">
        <f>'UK Raw Data'!A104</f>
        <v>2024-Q4</v>
      </c>
      <c r="B105" s="7">
        <f>SUM('UK Raw Data'!B101:B104)</f>
        <v>1135703</v>
      </c>
      <c r="C105" s="7">
        <f>SUM('UK Raw Data'!C101:C104)-SUM('UK Raw Data'!D101:D104)</f>
        <v>1079250</v>
      </c>
      <c r="D105" s="7">
        <f>SUM('UK Raw Data'!F101:F104)</f>
        <v>2891444</v>
      </c>
      <c r="E105" s="8">
        <f t="shared" si="12"/>
        <v>39.278056223810665</v>
      </c>
      <c r="F105" s="8">
        <f t="shared" si="13"/>
        <v>37.32564075250982</v>
      </c>
      <c r="G105" s="8">
        <f>100*4*'UK Raw Data'!D104/'UK Raw Data'!E103</f>
        <v>4.5925012691275651</v>
      </c>
      <c r="H105" s="8">
        <f>100*'UK Raw Data'!E104/D105</f>
        <v>97.370033796262348</v>
      </c>
      <c r="I105" s="8">
        <f t="shared" si="15"/>
        <v>96.979799098704675</v>
      </c>
      <c r="J105" s="8">
        <f t="shared" si="14"/>
        <v>4.4537985044053752</v>
      </c>
    </row>
    <row r="106" spans="1:10" x14ac:dyDescent="0.35">
      <c r="A106" t="str">
        <f>'UK Raw Data'!A105</f>
        <v>2025-Q1</v>
      </c>
      <c r="B106" s="7">
        <f>SUM('UK Raw Data'!B102:B105)</f>
        <v>1144733</v>
      </c>
      <c r="C106" s="7">
        <f>SUM('UK Raw Data'!C102:C105)-SUM('UK Raw Data'!D102:D105)</f>
        <v>1095176</v>
      </c>
      <c r="D106" s="7">
        <f>SUM('UK Raw Data'!F102:F105)</f>
        <v>2933871</v>
      </c>
      <c r="E106" s="8">
        <f t="shared" si="12"/>
        <v>39.017836844223893</v>
      </c>
      <c r="F106" s="8">
        <f t="shared" si="13"/>
        <v>37.328703272911454</v>
      </c>
      <c r="G106" s="8">
        <f>100*4*'UK Raw Data'!D105/'UK Raw Data'!E104</f>
        <v>3.9883497904383036</v>
      </c>
      <c r="H106" s="8">
        <f>100*'UK Raw Data'!E105/D106</f>
        <v>95.600658651999353</v>
      </c>
      <c r="I106" s="8">
        <f t="shared" si="15"/>
        <v>97.370033796262348</v>
      </c>
      <c r="J106" s="8">
        <f t="shared" si="14"/>
        <v>3.8834575388629351</v>
      </c>
    </row>
    <row r="107" spans="1:10" x14ac:dyDescent="0.35">
      <c r="A107" t="str">
        <f>'UK Raw Data'!A106</f>
        <v>2025-Q2</v>
      </c>
      <c r="B107" s="7">
        <f>SUM('UK Raw Data'!B103:B106)</f>
        <v>1154916</v>
      </c>
      <c r="C107" s="7">
        <f>SUM('UK Raw Data'!C103:C106)-SUM('UK Raw Data'!D103:D106)</f>
        <v>1114206</v>
      </c>
      <c r="D107" s="7">
        <f>SUM('UK Raw Data'!F103:F106)</f>
        <v>2973933</v>
      </c>
      <c r="E107" s="8">
        <f t="shared" si="12"/>
        <v>38.834634136007772</v>
      </c>
      <c r="F107" s="8">
        <f t="shared" si="13"/>
        <v>37.465739813237221</v>
      </c>
      <c r="G107" s="8">
        <f>100*4*'UK Raw Data'!D106/'UK Raw Data'!E105</f>
        <v>6.2063605248146034</v>
      </c>
      <c r="H107" s="8">
        <f>100*'UK Raw Data'!E106/D107</f>
        <v>96.424499139691449</v>
      </c>
      <c r="I107" s="8">
        <f t="shared" si="15"/>
        <v>95.600658651999353</v>
      </c>
      <c r="J107" s="8">
        <f t="shared" si="14"/>
        <v>5.9333215400404447</v>
      </c>
    </row>
    <row r="108" spans="1:10" x14ac:dyDescent="0.35">
      <c r="A108" t="str">
        <f>'UK Raw Data'!A107</f>
        <v>2025-Q3</v>
      </c>
      <c r="B108" s="7">
        <f>SUM('UK Raw Data'!B104:B107)</f>
        <v>1177467</v>
      </c>
      <c r="C108" s="7">
        <f>SUM('UK Raw Data'!C104:C107)-SUM('UK Raw Data'!D104:D107)</f>
        <v>1133553</v>
      </c>
      <c r="D108" s="7">
        <f>SUM('UK Raw Data'!F104:F107)</f>
        <v>3008729</v>
      </c>
      <c r="E108" s="8">
        <f t="shared" si="12"/>
        <v>39.135030107397512</v>
      </c>
      <c r="F108" s="8">
        <f t="shared" si="13"/>
        <v>37.675476920653203</v>
      </c>
      <c r="G108" s="8">
        <f>100*4*'UK Raw Data'!D107/'UK Raw Data'!E106</f>
        <v>4.6498814339517365</v>
      </c>
      <c r="H108" s="8">
        <f>100*'UK Raw Data'!E107/D108</f>
        <v>96.831585696152757</v>
      </c>
      <c r="I108" s="8">
        <f t="shared" si="15"/>
        <v>96.424499139691449</v>
      </c>
      <c r="J108" s="8">
        <f t="shared" si="14"/>
        <v>4.4836248832774643</v>
      </c>
    </row>
    <row r="109" spans="1:10" x14ac:dyDescent="0.35">
      <c r="A109" t="str">
        <f>'UK Raw Data'!A108</f>
        <v>2025-Q4</v>
      </c>
      <c r="B109" s="7">
        <f>SUM('UK Raw Data'!B105:B108)</f>
        <v>1198083</v>
      </c>
      <c r="C109" s="7">
        <f>SUM('UK Raw Data'!C105:C108)-SUM('UK Raw Data'!D105:D108)</f>
        <v>1143241</v>
      </c>
      <c r="D109" s="7">
        <f>SUM('UK Raw Data'!F105:F108)</f>
        <v>3039861</v>
      </c>
      <c r="E109" s="8">
        <f t="shared" si="12"/>
        <v>39.412427081369842</v>
      </c>
      <c r="F109" s="8">
        <f t="shared" si="13"/>
        <v>37.608331433575415</v>
      </c>
      <c r="G109" s="8">
        <f>100*4*'UK Raw Data'!D108/'UK Raw Data'!E107</f>
        <v>3.9390402965607194</v>
      </c>
      <c r="H109" s="8">
        <f>100*'UK Raw Data'!E108/D109</f>
        <v>96.241242609448264</v>
      </c>
      <c r="I109" s="8">
        <f t="shared" si="15"/>
        <v>96.831585696152757</v>
      </c>
      <c r="J109" s="8">
        <f t="shared" si="14"/>
        <v>3.8142351803701824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1"/>
  <sheetViews>
    <sheetView showGridLines="0" zoomScaleNormal="100" workbookViewId="0"/>
  </sheetViews>
  <sheetFormatPr defaultColWidth="8.54296875" defaultRowHeight="14.5" x14ac:dyDescent="0.35"/>
  <cols>
    <col min="1" max="1" width="10" customWidth="1"/>
    <col min="2" max="13" width="15" customWidth="1"/>
  </cols>
  <sheetData>
    <row r="1" spans="1:13" ht="20" x14ac:dyDescent="0.4">
      <c r="A1" s="17" t="s">
        <v>297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09.5" customHeight="1" x14ac:dyDescent="0.35">
      <c r="A2" s="16" t="s">
        <v>192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37.5" x14ac:dyDescent="0.35">
      <c r="A4" s="4" t="s">
        <v>53</v>
      </c>
      <c r="B4" s="4" t="s">
        <v>193</v>
      </c>
      <c r="C4" s="4" t="s">
        <v>194</v>
      </c>
      <c r="D4" s="4" t="s">
        <v>195</v>
      </c>
      <c r="E4" s="4" t="s">
        <v>196</v>
      </c>
      <c r="F4" s="4" t="s">
        <v>197</v>
      </c>
      <c r="G4" s="4" t="s">
        <v>198</v>
      </c>
      <c r="H4" s="4" t="s">
        <v>199</v>
      </c>
      <c r="I4" s="4" t="s">
        <v>200</v>
      </c>
      <c r="J4" s="4" t="s">
        <v>201</v>
      </c>
      <c r="K4" s="4" t="s">
        <v>202</v>
      </c>
      <c r="L4" s="4" t="s">
        <v>203</v>
      </c>
      <c r="M4" s="4" t="s">
        <v>204</v>
      </c>
    </row>
    <row r="5" spans="1:13" ht="69" x14ac:dyDescent="0.35">
      <c r="B5" s="1" t="s">
        <v>205</v>
      </c>
      <c r="C5" s="1" t="s">
        <v>206</v>
      </c>
      <c r="D5" s="1" t="s">
        <v>207</v>
      </c>
      <c r="E5" s="1" t="s">
        <v>208</v>
      </c>
      <c r="F5" s="1" t="s">
        <v>209</v>
      </c>
      <c r="G5" s="1" t="s">
        <v>210</v>
      </c>
      <c r="H5" s="1" t="s">
        <v>211</v>
      </c>
      <c r="I5" s="1" t="s">
        <v>212</v>
      </c>
      <c r="J5" s="1" t="s">
        <v>213</v>
      </c>
      <c r="K5" s="1" t="s">
        <v>214</v>
      </c>
      <c r="L5" s="1" t="s">
        <v>215</v>
      </c>
      <c r="M5" s="1" t="s">
        <v>216</v>
      </c>
    </row>
    <row r="6" spans="1:13" x14ac:dyDescent="0.35">
      <c r="A6" t="str">
        <f>'UK Construction'!A6</f>
        <v>2000-Q1</v>
      </c>
      <c r="B6" s="8">
        <f>'UK Construction'!E6-'UK Construction'!F6</f>
        <v>9.3068568566738961</v>
      </c>
      <c r="C6" s="8">
        <f>'UK Construction'!J6</f>
        <v>11.611728708723419</v>
      </c>
      <c r="D6" s="8">
        <f t="shared" ref="D6:D37" si="0">C6*100/F6</f>
        <v>8.9906594961788855</v>
      </c>
      <c r="E6" s="8">
        <f>0</f>
        <v>0</v>
      </c>
      <c r="F6" s="8">
        <f>'UK Construction'!H6</f>
        <v>129.15324747487671</v>
      </c>
      <c r="G6" s="8">
        <f t="shared" ref="G6:G37" si="1">((1+D6/400)/(1+E6/100)-1)*F6</f>
        <v>2.9029321771808663</v>
      </c>
      <c r="H6" s="8">
        <f t="shared" ref="H6:H37" si="2">4*(L6-F6-G6+B6/4)</f>
        <v>-2.304871852049569</v>
      </c>
      <c r="I6" s="8">
        <f t="shared" ref="I6:I37" si="3">F6*(1+D6/400)/(1+E6/100)-B6/4+H6/4</f>
        <v>129.15324747487671</v>
      </c>
      <c r="J6" s="7">
        <f>(1+D6/400)*(F6/100*'UK Construction'!D6)-B6/100*'UK Construction'!D6/4+H6/100*'UK Construction'!D6/4</f>
        <v>353300</v>
      </c>
      <c r="K6" s="8">
        <f>J6/'UK Construction'!D6*100</f>
        <v>129.15324747487671</v>
      </c>
      <c r="L6" s="8">
        <f>'UK Construction'!H6</f>
        <v>129.15324747487671</v>
      </c>
      <c r="M6" s="8">
        <f t="shared" ref="M6:M37" si="4">I6-L6</f>
        <v>0</v>
      </c>
    </row>
    <row r="7" spans="1:13" x14ac:dyDescent="0.35">
      <c r="A7" t="str">
        <f>'UK Construction'!A7</f>
        <v>2000-Q2</v>
      </c>
      <c r="B7" s="8">
        <f>'UK Construction'!E7-'UK Construction'!F7</f>
        <v>8.0145228140139295</v>
      </c>
      <c r="C7" s="8">
        <f>'UK Construction'!J7</f>
        <v>12.876575117619748</v>
      </c>
      <c r="D7" s="8">
        <f t="shared" si="0"/>
        <v>9.9699971695442962</v>
      </c>
      <c r="E7" s="8">
        <f>100*('UK Construction'!D7/'UK Construction'!D6-1)</f>
        <v>100.56735307127371</v>
      </c>
      <c r="F7" s="8">
        <f>'UK Construction'!H6</f>
        <v>129.15324747487671</v>
      </c>
      <c r="G7" s="8">
        <f t="shared" si="1"/>
        <v>-63.154275445145771</v>
      </c>
      <c r="H7" s="8">
        <f t="shared" si="2"/>
        <v>-6.7897071742847004</v>
      </c>
      <c r="I7" s="8">
        <f t="shared" si="3"/>
        <v>62.297914532656279</v>
      </c>
      <c r="J7" s="7">
        <f>(1+D7/400)*(F7/100*'UK Construction'!D6)-B7/100*'UK Construction'!D7/4+H7/100*'UK Construction'!D7/4</f>
        <v>341799.99999999994</v>
      </c>
      <c r="K7" s="8">
        <f>J7/'UK Construction'!D7*100</f>
        <v>62.297914532656272</v>
      </c>
      <c r="L7" s="8">
        <f>'UK Construction'!H7</f>
        <v>62.297914532656286</v>
      </c>
      <c r="M7" s="8">
        <f t="shared" si="4"/>
        <v>0</v>
      </c>
    </row>
    <row r="8" spans="1:13" x14ac:dyDescent="0.35">
      <c r="A8" t="str">
        <f>'UK Construction'!A8</f>
        <v>2000-Q3</v>
      </c>
      <c r="B8" s="8">
        <f>'UK Construction'!E8-'UK Construction'!F8</f>
        <v>7.6221040776040603</v>
      </c>
      <c r="C8" s="8">
        <f>'UK Construction'!J8</f>
        <v>6.1299106540734236</v>
      </c>
      <c r="D8" s="8">
        <f t="shared" si="0"/>
        <v>9.839672322995904</v>
      </c>
      <c r="E8" s="8">
        <f>100*('UK Construction'!D8/'UK Construction'!D7-1)</f>
        <v>50.50104437404994</v>
      </c>
      <c r="F8" s="8">
        <f>'UK Construction'!H7</f>
        <v>62.297914532656286</v>
      </c>
      <c r="G8" s="8">
        <f t="shared" si="1"/>
        <v>-19.885988116030994</v>
      </c>
      <c r="H8" s="8">
        <f t="shared" si="2"/>
        <v>-3.814079662843799</v>
      </c>
      <c r="I8" s="8">
        <f t="shared" si="3"/>
        <v>39.552880481513327</v>
      </c>
      <c r="J8" s="7">
        <f>(1+D8/400)*(F8/100*'UK Construction'!D7)-B8/100*'UK Construction'!D8/4+H8/100*'UK Construction'!D8/4</f>
        <v>326600</v>
      </c>
      <c r="K8" s="8">
        <f>J8/'UK Construction'!D8*100</f>
        <v>39.552880481513327</v>
      </c>
      <c r="L8" s="8">
        <f>'UK Construction'!H8</f>
        <v>39.552880481513327</v>
      </c>
      <c r="M8" s="8">
        <f t="shared" si="4"/>
        <v>0</v>
      </c>
    </row>
    <row r="9" spans="1:13" x14ac:dyDescent="0.35">
      <c r="A9" t="str">
        <f>'UK Construction'!A9</f>
        <v>2000-Q4</v>
      </c>
      <c r="B9" s="8">
        <f>'UK Construction'!E9-'UK Construction'!F9</f>
        <v>6.7408366892688818</v>
      </c>
      <c r="C9" s="8">
        <f>'UK Construction'!J9</f>
        <v>4.4033764063313665</v>
      </c>
      <c r="D9" s="8">
        <f t="shared" si="0"/>
        <v>11.132884262094302</v>
      </c>
      <c r="E9" s="8">
        <f>100*('UK Construction'!D9/'UK Construction'!D8-1)</f>
        <v>33.791796349896465</v>
      </c>
      <c r="F9" s="8">
        <f>'UK Construction'!H8</f>
        <v>39.552880481513327</v>
      </c>
      <c r="G9" s="8">
        <f t="shared" si="1"/>
        <v>-9.1670678291610965</v>
      </c>
      <c r="H9" s="8">
        <f t="shared" si="2"/>
        <v>5.8754895864165917</v>
      </c>
      <c r="I9" s="8">
        <f t="shared" si="3"/>
        <v>30.169475876639162</v>
      </c>
      <c r="J9" s="7">
        <f>(1+D9/400)*(F9/100*'UK Construction'!D8)-B9/100*'UK Construction'!D9/4+H9/100*'UK Construction'!D9/4</f>
        <v>333300</v>
      </c>
      <c r="K9" s="8">
        <f>J9/'UK Construction'!D9*100</f>
        <v>30.169475876639158</v>
      </c>
      <c r="L9" s="8">
        <f>'UK Construction'!H9</f>
        <v>30.169475876639158</v>
      </c>
      <c r="M9" s="8">
        <f t="shared" si="4"/>
        <v>0</v>
      </c>
    </row>
    <row r="10" spans="1:13" x14ac:dyDescent="0.35">
      <c r="A10" t="str">
        <f>'UK Construction'!A10</f>
        <v>2001-Q1</v>
      </c>
      <c r="B10" s="8">
        <f>'UK Construction'!E10-'UK Construction'!F10</f>
        <v>6.727674871651363</v>
      </c>
      <c r="C10" s="8">
        <f>'UK Construction'!J10</f>
        <v>3.0243700209728996</v>
      </c>
      <c r="D10" s="8">
        <f t="shared" si="0"/>
        <v>10.024602460246024</v>
      </c>
      <c r="E10" s="8">
        <f>100*('UK Construction'!D10/'UK Construction'!D9-1)</f>
        <v>0.92083431771092794</v>
      </c>
      <c r="F10" s="8">
        <f>'UK Construction'!H9</f>
        <v>30.169475876639158</v>
      </c>
      <c r="G10" s="8">
        <f t="shared" si="1"/>
        <v>0.47391762179841179</v>
      </c>
      <c r="H10" s="8">
        <f t="shared" si="2"/>
        <v>-0.32315872178751004</v>
      </c>
      <c r="I10" s="8">
        <f t="shared" si="3"/>
        <v>28.880685100077852</v>
      </c>
      <c r="J10" s="7">
        <f>(1+D10/400)*(F10/100*'UK Construction'!D9)-B10/100*'UK Construction'!D10/4+H10/100*'UK Construction'!D10/4</f>
        <v>322000</v>
      </c>
      <c r="K10" s="8">
        <f>J10/'UK Construction'!D10*100</f>
        <v>28.880685100077852</v>
      </c>
      <c r="L10" s="8">
        <f>'UK Construction'!H10</f>
        <v>28.880685100077852</v>
      </c>
      <c r="M10" s="8">
        <f t="shared" si="4"/>
        <v>0</v>
      </c>
    </row>
    <row r="11" spans="1:13" x14ac:dyDescent="0.35">
      <c r="A11" t="str">
        <f>'UK Construction'!A11</f>
        <v>2001-Q2</v>
      </c>
      <c r="B11" s="8">
        <f>'UK Construction'!E11-'UK Construction'!F11</f>
        <v>6.2338127709697773</v>
      </c>
      <c r="C11" s="8">
        <f>'UK Construction'!J11</f>
        <v>2.9167698119705956</v>
      </c>
      <c r="D11" s="8">
        <f t="shared" si="0"/>
        <v>10.099378881987578</v>
      </c>
      <c r="E11" s="8">
        <f>100*('UK Construction'!D11/'UK Construction'!D10-1)</f>
        <v>1.1211446079222753</v>
      </c>
      <c r="F11" s="8">
        <f>'UK Construction'!H10</f>
        <v>28.880685100077852</v>
      </c>
      <c r="G11" s="8">
        <f t="shared" si="1"/>
        <v>0.40090350127460334</v>
      </c>
      <c r="H11" s="8">
        <f t="shared" si="2"/>
        <v>6.2941268298220985</v>
      </c>
      <c r="I11" s="8">
        <f t="shared" si="3"/>
        <v>29.296667116065535</v>
      </c>
      <c r="J11" s="7">
        <f>(1+D11/400)*(F11/100*'UK Construction'!D10)-B11/100*'UK Construction'!D11/4+H11/100*'UK Construction'!D11/4</f>
        <v>330300</v>
      </c>
      <c r="K11" s="8">
        <f>J11/'UK Construction'!D11*100</f>
        <v>29.296667116065539</v>
      </c>
      <c r="L11" s="8">
        <f>'UK Construction'!H11</f>
        <v>29.296667116065535</v>
      </c>
      <c r="M11" s="8">
        <f t="shared" si="4"/>
        <v>0</v>
      </c>
    </row>
    <row r="12" spans="1:13" x14ac:dyDescent="0.35">
      <c r="A12" t="str">
        <f>'UK Construction'!A12</f>
        <v>2001-Q3</v>
      </c>
      <c r="B12" s="8">
        <f>'UK Construction'!E12-'UK Construction'!F12</f>
        <v>5.8628274906575371</v>
      </c>
      <c r="C12" s="8">
        <f>'UK Construction'!J12</f>
        <v>2.699231527932505</v>
      </c>
      <c r="D12" s="8">
        <f t="shared" si="0"/>
        <v>9.2134423251589475</v>
      </c>
      <c r="E12" s="8">
        <f>100*('UK Construction'!D12/'UK Construction'!D11-1)</f>
        <v>1.0871609108132452</v>
      </c>
      <c r="F12" s="8">
        <f>'UK Construction'!H11</f>
        <v>29.296667116065535</v>
      </c>
      <c r="G12" s="8">
        <f t="shared" si="1"/>
        <v>0.3524740092765476</v>
      </c>
      <c r="H12" s="8">
        <f t="shared" si="2"/>
        <v>1.1920795936435589</v>
      </c>
      <c r="I12" s="8">
        <f t="shared" si="3"/>
        <v>28.481454151088592</v>
      </c>
      <c r="J12" s="7">
        <f>(1+D12/400)*(F12/100*'UK Construction'!D11)-B12/100*'UK Construction'!D12/4+H12/100*'UK Construction'!D12/4</f>
        <v>324599.99999999994</v>
      </c>
      <c r="K12" s="8">
        <f>J12/'UK Construction'!D12*100</f>
        <v>28.481454151088581</v>
      </c>
      <c r="L12" s="8">
        <f>'UK Construction'!H12</f>
        <v>28.481454151088588</v>
      </c>
      <c r="M12" s="8">
        <f t="shared" si="4"/>
        <v>0</v>
      </c>
    </row>
    <row r="13" spans="1:13" x14ac:dyDescent="0.35">
      <c r="A13" t="str">
        <f>'UK Construction'!A13</f>
        <v>2001-Q4</v>
      </c>
      <c r="B13" s="8">
        <f>'UK Construction'!E13-'UK Construction'!F13</f>
        <v>5.2490912978404971</v>
      </c>
      <c r="C13" s="8">
        <f>'UK Construction'!J13</f>
        <v>2.8727135209693171</v>
      </c>
      <c r="D13" s="8">
        <f t="shared" si="0"/>
        <v>10.086260012322859</v>
      </c>
      <c r="E13" s="8">
        <f>100*('UK Construction'!D13/'UK Construction'!D12-1)</f>
        <v>0.95227733179841234</v>
      </c>
      <c r="F13" s="8">
        <f>'UK Construction'!H12</f>
        <v>28.481454151088588</v>
      </c>
      <c r="G13" s="8">
        <f t="shared" si="1"/>
        <v>0.44273983748375934</v>
      </c>
      <c r="H13" s="8">
        <f t="shared" si="2"/>
        <v>6.1929942583582189</v>
      </c>
      <c r="I13" s="8">
        <f t="shared" si="3"/>
        <v>29.160169728701774</v>
      </c>
      <c r="J13" s="7">
        <f>(1+D13/400)*(F13/100*'UK Construction'!D12)-B13/100*'UK Construction'!D13/4+H13/100*'UK Construction'!D13/4</f>
        <v>335499.99999999994</v>
      </c>
      <c r="K13" s="8">
        <f>J13/'UK Construction'!D13*100</f>
        <v>29.160169728701774</v>
      </c>
      <c r="L13" s="8">
        <f>'UK Construction'!H13</f>
        <v>29.160169728701778</v>
      </c>
      <c r="M13" s="8">
        <f t="shared" si="4"/>
        <v>0</v>
      </c>
    </row>
    <row r="14" spans="1:13" x14ac:dyDescent="0.35">
      <c r="A14" t="str">
        <f>'UK Construction'!A14</f>
        <v>2002-Q1</v>
      </c>
      <c r="B14" s="8">
        <f>'UK Construction'!E14-'UK Construction'!F14</f>
        <v>4.3976200486604604</v>
      </c>
      <c r="C14" s="8">
        <f>'UK Construction'!J14</f>
        <v>2.564008962732347</v>
      </c>
      <c r="D14" s="8">
        <f t="shared" si="0"/>
        <v>8.7928464977645309</v>
      </c>
      <c r="E14" s="8">
        <f>100*('UK Construction'!D14/'UK Construction'!D13-1)</f>
        <v>0.882540576528279</v>
      </c>
      <c r="F14" s="8">
        <f>'UK Construction'!H13</f>
        <v>29.160169728701778</v>
      </c>
      <c r="G14" s="8">
        <f t="shared" si="1"/>
        <v>0.38029564724506859</v>
      </c>
      <c r="H14" s="8">
        <f t="shared" si="2"/>
        <v>0.16739956026384206</v>
      </c>
      <c r="I14" s="8">
        <f t="shared" si="3"/>
        <v>28.482910253847695</v>
      </c>
      <c r="J14" s="7">
        <f>(1+D14/400)*(F14/100*'UK Construction'!D13)-B14/100*'UK Construction'!D14/4+H14/100*'UK Construction'!D14/4</f>
        <v>330600</v>
      </c>
      <c r="K14" s="8">
        <f>J14/'UK Construction'!D14*100</f>
        <v>28.482910253847692</v>
      </c>
      <c r="L14" s="8">
        <f>'UK Construction'!H14</f>
        <v>28.482910253847692</v>
      </c>
      <c r="M14" s="8">
        <f t="shared" si="4"/>
        <v>0</v>
      </c>
    </row>
    <row r="15" spans="1:13" x14ac:dyDescent="0.35">
      <c r="A15" t="str">
        <f>'UK Construction'!A15</f>
        <v>2002-Q2</v>
      </c>
      <c r="B15" s="8">
        <f>'UK Construction'!E15-'UK Construction'!F15</f>
        <v>3.6462882469271705</v>
      </c>
      <c r="C15" s="8">
        <f>'UK Construction'!J15</f>
        <v>2.7631696843962588</v>
      </c>
      <c r="D15" s="8">
        <f t="shared" si="0"/>
        <v>9.7011494252873565</v>
      </c>
      <c r="E15" s="8">
        <f>100*('UK Construction'!D15/'UK Construction'!D14-1)</f>
        <v>0.8096866018320048</v>
      </c>
      <c r="F15" s="8">
        <f>'UK Construction'!H14</f>
        <v>28.482910253847692</v>
      </c>
      <c r="G15" s="8">
        <f t="shared" si="1"/>
        <v>0.45647410330652166</v>
      </c>
      <c r="H15" s="8">
        <f t="shared" si="2"/>
        <v>3.8110613335338748</v>
      </c>
      <c r="I15" s="8">
        <f t="shared" si="3"/>
        <v>28.980577628805886</v>
      </c>
      <c r="J15" s="7">
        <f>(1+D15/400)*(F15/100*'UK Construction'!D14)-B15/100*'UK Construction'!D15/4+H15/100*'UK Construction'!D15/4</f>
        <v>339099.99999999994</v>
      </c>
      <c r="K15" s="8">
        <f>J15/'UK Construction'!D15*100</f>
        <v>28.980577628805886</v>
      </c>
      <c r="L15" s="8">
        <f>'UK Construction'!H15</f>
        <v>28.980577628805889</v>
      </c>
      <c r="M15" s="8">
        <f t="shared" si="4"/>
        <v>0</v>
      </c>
    </row>
    <row r="16" spans="1:13" x14ac:dyDescent="0.35">
      <c r="A16" t="str">
        <f>'UK Construction'!A16</f>
        <v>2002-Q3</v>
      </c>
      <c r="B16" s="8">
        <f>'UK Construction'!E16-'UK Construction'!F16</f>
        <v>2.9498807410318619</v>
      </c>
      <c r="C16" s="8">
        <f>'UK Construction'!J16</f>
        <v>2.3331458840059001</v>
      </c>
      <c r="D16" s="8">
        <f t="shared" si="0"/>
        <v>8.050722500737244</v>
      </c>
      <c r="E16" s="8">
        <f>100*('UK Construction'!D16/'UK Construction'!D15-1)</f>
        <v>0.89992769811655382</v>
      </c>
      <c r="F16" s="8">
        <f>'UK Construction'!H15</f>
        <v>28.980577628805889</v>
      </c>
      <c r="G16" s="8">
        <f t="shared" si="1"/>
        <v>0.31960600290073554</v>
      </c>
      <c r="H16" s="8">
        <f t="shared" si="2"/>
        <v>2.16216170431907</v>
      </c>
      <c r="I16" s="8">
        <f t="shared" si="3"/>
        <v>29.103253872528427</v>
      </c>
      <c r="J16" s="7">
        <f>(1+D16/400)*(F16/100*'UK Construction'!D15)-B16/100*'UK Construction'!D16/4+H16/100*'UK Construction'!D16/4</f>
        <v>343599.99999999994</v>
      </c>
      <c r="K16" s="8">
        <f>J16/'UK Construction'!D16*100</f>
        <v>29.103253872528423</v>
      </c>
      <c r="L16" s="8">
        <f>'UK Construction'!H16</f>
        <v>29.103253872528427</v>
      </c>
      <c r="M16" s="8">
        <f t="shared" si="4"/>
        <v>0</v>
      </c>
    </row>
    <row r="17" spans="1:13" x14ac:dyDescent="0.35">
      <c r="A17" t="str">
        <f>'UK Construction'!A17</f>
        <v>2002-Q4</v>
      </c>
      <c r="B17" s="8">
        <f>'UK Construction'!E17-'UK Construction'!F17</f>
        <v>2.5963339767596381</v>
      </c>
      <c r="C17" s="8">
        <f>'UK Construction'!J17</f>
        <v>2.8605212158993885</v>
      </c>
      <c r="D17" s="8">
        <f t="shared" si="0"/>
        <v>9.8288707799767163</v>
      </c>
      <c r="E17" s="8">
        <f>100*('UK Construction'!D17/'UK Construction'!D16-1)</f>
        <v>1.1876770250308422</v>
      </c>
      <c r="F17" s="8">
        <f>'UK Construction'!H16</f>
        <v>29.103253872528427</v>
      </c>
      <c r="G17" s="8">
        <f t="shared" si="1"/>
        <v>0.36514094903377931</v>
      </c>
      <c r="H17" s="8">
        <f t="shared" si="2"/>
        <v>8.173550993348643</v>
      </c>
      <c r="I17" s="8">
        <f t="shared" si="3"/>
        <v>30.862699075709454</v>
      </c>
      <c r="J17" s="7">
        <f>(1+D17/400)*(F17/100*'UK Construction'!D16)-B17/100*'UK Construction'!D17/4+H17/100*'UK Construction'!D17/4</f>
        <v>368700</v>
      </c>
      <c r="K17" s="8">
        <f>J17/'UK Construction'!D17*100</f>
        <v>30.862699075709454</v>
      </c>
      <c r="L17" s="8">
        <f>'UK Construction'!H17</f>
        <v>30.862699075709457</v>
      </c>
      <c r="M17" s="8">
        <f t="shared" si="4"/>
        <v>0</v>
      </c>
    </row>
    <row r="18" spans="1:13" x14ac:dyDescent="0.35">
      <c r="A18" t="str">
        <f>'UK Construction'!A18</f>
        <v>2003-Q1</v>
      </c>
      <c r="B18" s="8">
        <f>'UK Construction'!E18-'UK Construction'!F18</f>
        <v>1.8718179591242219</v>
      </c>
      <c r="C18" s="8">
        <f>'UK Construction'!J18</f>
        <v>2.4814045332257426</v>
      </c>
      <c r="D18" s="8">
        <f t="shared" si="0"/>
        <v>8.0401410360726899</v>
      </c>
      <c r="E18" s="8">
        <f>100*('UK Construction'!D18/'UK Construction'!D17-1)</f>
        <v>1.1466158175727381</v>
      </c>
      <c r="F18" s="8">
        <f>'UK Construction'!H17</f>
        <v>30.862699075709457</v>
      </c>
      <c r="G18" s="8">
        <f t="shared" si="1"/>
        <v>0.26345374170015229</v>
      </c>
      <c r="H18" s="8">
        <f t="shared" si="2"/>
        <v>-0.41594115582978564</v>
      </c>
      <c r="I18" s="8">
        <f t="shared" si="3"/>
        <v>30.554213038671108</v>
      </c>
      <c r="J18" s="7">
        <f>(1+D18/400)*(F18/100*'UK Construction'!D17)-B18/100*'UK Construction'!D18/4+H18/100*'UK Construction'!D18/4</f>
        <v>369200.00000000012</v>
      </c>
      <c r="K18" s="8">
        <f>J18/'UK Construction'!D18*100</f>
        <v>30.554213038671119</v>
      </c>
      <c r="L18" s="8">
        <f>'UK Construction'!H18</f>
        <v>30.554213038671108</v>
      </c>
      <c r="M18" s="8">
        <f t="shared" si="4"/>
        <v>0</v>
      </c>
    </row>
    <row r="19" spans="1:13" x14ac:dyDescent="0.35">
      <c r="A19" t="str">
        <f>'UK Construction'!A19</f>
        <v>2003-Q2</v>
      </c>
      <c r="B19" s="8">
        <f>'UK Construction'!E19-'UK Construction'!F19</f>
        <v>1.5268995221091828</v>
      </c>
      <c r="C19" s="8">
        <f>'UK Construction'!J19</f>
        <v>2.7727203511582799</v>
      </c>
      <c r="D19" s="8">
        <f t="shared" si="0"/>
        <v>9.0747562296858071</v>
      </c>
      <c r="E19" s="8">
        <f>100*('UK Construction'!D19/'UK Construction'!D18-1)</f>
        <v>1.3756016498613022</v>
      </c>
      <c r="F19" s="8">
        <f>'UK Construction'!H18</f>
        <v>30.554213038671108</v>
      </c>
      <c r="G19" s="8">
        <f t="shared" si="1"/>
        <v>0.26917307980075117</v>
      </c>
      <c r="H19" s="8">
        <f t="shared" si="2"/>
        <v>0.84900315600595655</v>
      </c>
      <c r="I19" s="8">
        <f t="shared" si="3"/>
        <v>30.653912026946056</v>
      </c>
      <c r="J19" s="7">
        <f>(1+D19/400)*(F19/100*'UK Construction'!D18)-B19/100*'UK Construction'!D19/4+H19/100*'UK Construction'!D19/4</f>
        <v>375500</v>
      </c>
      <c r="K19" s="8">
        <f>J19/'UK Construction'!D19*100</f>
        <v>30.653912026946056</v>
      </c>
      <c r="L19" s="8">
        <f>'UK Construction'!H19</f>
        <v>30.653912026946053</v>
      </c>
      <c r="M19" s="8">
        <f t="shared" si="4"/>
        <v>0</v>
      </c>
    </row>
    <row r="20" spans="1:13" x14ac:dyDescent="0.35">
      <c r="A20" t="str">
        <f>'UK Construction'!A20</f>
        <v>2003-Q3</v>
      </c>
      <c r="B20" s="8">
        <f>'UK Construction'!E20-'UK Construction'!F20</f>
        <v>1.1159361339187654</v>
      </c>
      <c r="C20" s="8">
        <f>'UK Construction'!J20</f>
        <v>2.4990081357360121</v>
      </c>
      <c r="D20" s="8">
        <f t="shared" si="0"/>
        <v>8.1523302263648461</v>
      </c>
      <c r="E20" s="8">
        <f>100*('UK Construction'!D20/'UK Construction'!D19-1)</f>
        <v>1.5520430771139848</v>
      </c>
      <c r="F20" s="8">
        <f>'UK Construction'!H19</f>
        <v>30.653912026946053</v>
      </c>
      <c r="G20" s="8">
        <f t="shared" si="1"/>
        <v>0.14671306449447108</v>
      </c>
      <c r="H20" s="8">
        <f t="shared" si="2"/>
        <v>1.1953587603639275</v>
      </c>
      <c r="I20" s="8">
        <f t="shared" si="3"/>
        <v>30.820480748051814</v>
      </c>
      <c r="J20" s="7">
        <f>(1+D20/400)*(F20/100*'UK Construction'!D19)-B20/100*'UK Construction'!D20/4+H20/100*'UK Construction'!D20/4</f>
        <v>383399.99999999994</v>
      </c>
      <c r="K20" s="8">
        <f>J20/'UK Construction'!D20*100</f>
        <v>30.820480748051811</v>
      </c>
      <c r="L20" s="8">
        <f>'UK Construction'!H20</f>
        <v>30.820480748051814</v>
      </c>
      <c r="M20" s="8">
        <f t="shared" si="4"/>
        <v>0</v>
      </c>
    </row>
    <row r="21" spans="1:13" x14ac:dyDescent="0.35">
      <c r="A21" t="str">
        <f>'UK Construction'!A21</f>
        <v>2003-Q4</v>
      </c>
      <c r="B21" s="8">
        <f>'UK Construction'!E21-'UK Construction'!F21</f>
        <v>1.0675626652472587</v>
      </c>
      <c r="C21" s="8">
        <f>'UK Construction'!J21</f>
        <v>2.8511758246528474</v>
      </c>
      <c r="D21" s="8">
        <f t="shared" si="0"/>
        <v>9.2509128847157012</v>
      </c>
      <c r="E21" s="8">
        <f>100*('UK Construction'!D21/'UK Construction'!D20-1)</f>
        <v>1.489093858573054</v>
      </c>
      <c r="F21" s="8">
        <f>'UK Construction'!H20</f>
        <v>30.820480748051814</v>
      </c>
      <c r="G21" s="8">
        <f t="shared" si="1"/>
        <v>0.25012349653551852</v>
      </c>
      <c r="H21" s="8">
        <f t="shared" si="2"/>
        <v>4.975041623696435</v>
      </c>
      <c r="I21" s="8">
        <f t="shared" si="3"/>
        <v>32.047473984199627</v>
      </c>
      <c r="J21" s="7">
        <f>(1+D21/400)*(F21/100*'UK Construction'!D20)-B21/100*'UK Construction'!D21/4+H21/100*'UK Construction'!D21/4</f>
        <v>404599.99999999994</v>
      </c>
      <c r="K21" s="8">
        <f>J21/'UK Construction'!D21*100</f>
        <v>32.047473984199627</v>
      </c>
      <c r="L21" s="8">
        <f>'UK Construction'!H21</f>
        <v>32.047473984199627</v>
      </c>
      <c r="M21" s="8">
        <f t="shared" si="4"/>
        <v>0</v>
      </c>
    </row>
    <row r="22" spans="1:13" x14ac:dyDescent="0.35">
      <c r="A22" t="str">
        <f>'UK Construction'!A22</f>
        <v>2004-Q1</v>
      </c>
      <c r="B22" s="8">
        <f>'UK Construction'!E22-'UK Construction'!F22</f>
        <v>1.3241600780471927</v>
      </c>
      <c r="C22" s="8">
        <f>'UK Construction'!J22</f>
        <v>2.4620951095523016</v>
      </c>
      <c r="D22" s="8">
        <f t="shared" si="0"/>
        <v>7.6826495304003961</v>
      </c>
      <c r="E22" s="8">
        <f>100*('UK Construction'!D22/'UK Construction'!D21-1)</f>
        <v>1.3246711688377433</v>
      </c>
      <c r="F22" s="8">
        <f>'UK Construction'!H21</f>
        <v>32.047473984199627</v>
      </c>
      <c r="G22" s="8">
        <f t="shared" si="1"/>
        <v>0.18850308318330758</v>
      </c>
      <c r="H22" s="8">
        <f t="shared" si="2"/>
        <v>-1.1370156641594327</v>
      </c>
      <c r="I22" s="8">
        <f t="shared" si="3"/>
        <v>31.620683131831271</v>
      </c>
      <c r="J22" s="7">
        <f>(1+D22/400)*(F22/100*'UK Construction'!D21)-B22/100*'UK Construction'!D22/4+H22/100*'UK Construction'!D22/4</f>
        <v>404499.99999999983</v>
      </c>
      <c r="K22" s="8">
        <f>J22/'UK Construction'!D22*100</f>
        <v>31.620683131831267</v>
      </c>
      <c r="L22" s="8">
        <f>'UK Construction'!H22</f>
        <v>31.620683131831278</v>
      </c>
      <c r="M22" s="8">
        <f t="shared" si="4"/>
        <v>0</v>
      </c>
    </row>
    <row r="23" spans="1:13" x14ac:dyDescent="0.35">
      <c r="A23" t="str">
        <f>'UK Construction'!A23</f>
        <v>2004-Q2</v>
      </c>
      <c r="B23" s="8">
        <f>'UK Construction'!E23-'UK Construction'!F23</f>
        <v>1.1895856308852686</v>
      </c>
      <c r="C23" s="8">
        <f>'UK Construction'!J23</f>
        <v>2.7338406192494524</v>
      </c>
      <c r="D23" s="8">
        <f t="shared" si="0"/>
        <v>8.6457354758961689</v>
      </c>
      <c r="E23" s="8">
        <f>100*('UK Construction'!D23/'UK Construction'!D22-1)</f>
        <v>1.3636370742933668</v>
      </c>
      <c r="F23" s="8">
        <f>'UK Construction'!H22</f>
        <v>31.620683131831278</v>
      </c>
      <c r="G23" s="8">
        <f t="shared" si="1"/>
        <v>0.24887504411171738</v>
      </c>
      <c r="H23" s="8">
        <f t="shared" si="2"/>
        <v>6.4205233405569597</v>
      </c>
      <c r="I23" s="8">
        <f t="shared" si="3"/>
        <v>33.177292603360918</v>
      </c>
      <c r="J23" s="7">
        <f>(1+D23/400)*(F23/100*'UK Construction'!D22)-B23/100*'UK Construction'!D23/4+H23/100*'UK Construction'!D23/4</f>
        <v>430200.00000000006</v>
      </c>
      <c r="K23" s="8">
        <f>J23/'UK Construction'!D23*100</f>
        <v>33.177292603360918</v>
      </c>
      <c r="L23" s="8">
        <f>'UK Construction'!H23</f>
        <v>33.177292603360918</v>
      </c>
      <c r="M23" s="8">
        <f t="shared" si="4"/>
        <v>0</v>
      </c>
    </row>
    <row r="24" spans="1:13" x14ac:dyDescent="0.35">
      <c r="A24" t="str">
        <f>'UK Construction'!A24</f>
        <v>2004-Q3</v>
      </c>
      <c r="B24" s="8">
        <f>'UK Construction'!E24-'UK Construction'!F24</f>
        <v>1.1820076577123118</v>
      </c>
      <c r="C24" s="8">
        <f>'UK Construction'!J24</f>
        <v>2.6612785057107824</v>
      </c>
      <c r="D24" s="8">
        <f t="shared" si="0"/>
        <v>8.0213854021385398</v>
      </c>
      <c r="E24" s="8">
        <f>100*('UK Construction'!D24/'UK Construction'!D23-1)</f>
        <v>1.052156678260463</v>
      </c>
      <c r="F24" s="8">
        <f>'UK Construction'!H23</f>
        <v>33.177292603360918</v>
      </c>
      <c r="G24" s="8">
        <f t="shared" si="1"/>
        <v>0.31294980436914843</v>
      </c>
      <c r="H24" s="8">
        <f t="shared" si="2"/>
        <v>0.9295488940428398</v>
      </c>
      <c r="I24" s="8">
        <f t="shared" si="3"/>
        <v>33.427127716812699</v>
      </c>
      <c r="J24" s="7">
        <f>(1+D24/400)*(F24/100*'UK Construction'!D23)-B24/100*'UK Construction'!D24/4+H24/100*'UK Construction'!D24/4</f>
        <v>438000</v>
      </c>
      <c r="K24" s="8">
        <f>J24/'UK Construction'!D24*100</f>
        <v>33.427127716812699</v>
      </c>
      <c r="L24" s="8">
        <f>'UK Construction'!H24</f>
        <v>33.427127716812699</v>
      </c>
      <c r="M24" s="8">
        <f t="shared" si="4"/>
        <v>0</v>
      </c>
    </row>
    <row r="25" spans="1:13" x14ac:dyDescent="0.35">
      <c r="A25" t="str">
        <f>'UK Construction'!A25</f>
        <v>2004-Q4</v>
      </c>
      <c r="B25" s="8">
        <f>'UK Construction'!E25-'UK Construction'!F25</f>
        <v>1.1503658611016263</v>
      </c>
      <c r="C25" s="8">
        <f>'UK Construction'!J25</f>
        <v>2.9977570244666731</v>
      </c>
      <c r="D25" s="8">
        <f t="shared" si="0"/>
        <v>8.968036529680365</v>
      </c>
      <c r="E25" s="8">
        <f>100*('UK Construction'!D25/'UK Construction'!D24-1)</f>
        <v>1.2844259348720577</v>
      </c>
      <c r="F25" s="8">
        <f>'UK Construction'!H24</f>
        <v>33.427127716812699</v>
      </c>
      <c r="G25" s="8">
        <f t="shared" si="1"/>
        <v>0.31603334420333312</v>
      </c>
      <c r="H25" s="8">
        <f t="shared" si="2"/>
        <v>5.9667270218808222</v>
      </c>
      <c r="I25" s="8">
        <f t="shared" si="3"/>
        <v>34.947251351210831</v>
      </c>
      <c r="J25" s="7">
        <f>(1+D25/400)*(F25/100*'UK Construction'!D24)-B25/100*'UK Construction'!D25/4+H25/100*'UK Construction'!D25/4</f>
        <v>463799.99999999994</v>
      </c>
      <c r="K25" s="8">
        <f>J25/'UK Construction'!D25*100</f>
        <v>34.947251351210831</v>
      </c>
      <c r="L25" s="8">
        <f>'UK Construction'!H25</f>
        <v>34.947251351210831</v>
      </c>
      <c r="M25" s="8">
        <f t="shared" si="4"/>
        <v>0</v>
      </c>
    </row>
    <row r="26" spans="1:13" x14ac:dyDescent="0.35">
      <c r="A26" t="str">
        <f>'UK Construction'!A26</f>
        <v>2005-Q1</v>
      </c>
      <c r="B26" s="8">
        <f>'UK Construction'!E26-'UK Construction'!F26</f>
        <v>1.0450054362295376</v>
      </c>
      <c r="C26" s="8">
        <f>'UK Construction'!J26</f>
        <v>2.7795045447250222</v>
      </c>
      <c r="D26" s="8">
        <f t="shared" si="0"/>
        <v>7.9534282018111258</v>
      </c>
      <c r="E26" s="8">
        <f>100*('UK Construction'!D26/'UK Construction'!D25-1)</f>
        <v>1.3215606758276932</v>
      </c>
      <c r="F26" s="8">
        <f>'UK Construction'!H25</f>
        <v>34.947251351210831</v>
      </c>
      <c r="G26" s="8">
        <f t="shared" si="1"/>
        <v>0.2299875796293179</v>
      </c>
      <c r="H26" s="8">
        <f t="shared" si="2"/>
        <v>-2.5609028751779008</v>
      </c>
      <c r="I26" s="8">
        <f t="shared" si="3"/>
        <v>34.275761852988289</v>
      </c>
      <c r="J26" s="7">
        <f>(1+D26/400)*(F26/100*'UK Construction'!D25)-B26/100*'UK Construction'!D26/4+H26/100*'UK Construction'!D26/4</f>
        <v>460899.99999999994</v>
      </c>
      <c r="K26" s="8">
        <f>J26/'UK Construction'!D26*100</f>
        <v>34.275761852988282</v>
      </c>
      <c r="L26" s="8">
        <f>'UK Construction'!H26</f>
        <v>34.275761852988289</v>
      </c>
      <c r="M26" s="8">
        <f t="shared" si="4"/>
        <v>0</v>
      </c>
    </row>
    <row r="27" spans="1:13" x14ac:dyDescent="0.35">
      <c r="A27" t="str">
        <f>'UK Construction'!A27</f>
        <v>2005-Q2</v>
      </c>
      <c r="B27" s="8">
        <f>'UK Construction'!E27-'UK Construction'!F27</f>
        <v>1.3384516184877384</v>
      </c>
      <c r="C27" s="8">
        <f>'UK Construction'!J27</f>
        <v>2.9217316807988807</v>
      </c>
      <c r="D27" s="8">
        <f t="shared" si="0"/>
        <v>8.5241917986548064</v>
      </c>
      <c r="E27" s="8">
        <f>100*('UK Construction'!D27/'UK Construction'!D26-1)</f>
        <v>1.3783928096010811</v>
      </c>
      <c r="F27" s="8">
        <f>'UK Construction'!H26</f>
        <v>34.275761852988289</v>
      </c>
      <c r="G27" s="8">
        <f t="shared" si="1"/>
        <v>0.25447067785602823</v>
      </c>
      <c r="H27" s="8">
        <f t="shared" si="2"/>
        <v>2.0948975841704058</v>
      </c>
      <c r="I27" s="8">
        <f t="shared" si="3"/>
        <v>34.719344022264984</v>
      </c>
      <c r="J27" s="7">
        <f>(1+D27/400)*(F27/100*'UK Construction'!D26)-B27/100*'UK Construction'!D27/4+H27/100*'UK Construction'!D27/4</f>
        <v>473300.00000000006</v>
      </c>
      <c r="K27" s="8">
        <f>J27/'UK Construction'!D27*100</f>
        <v>34.719344022264984</v>
      </c>
      <c r="L27" s="8">
        <f>'UK Construction'!H27</f>
        <v>34.719344022264984</v>
      </c>
      <c r="M27" s="8">
        <f t="shared" si="4"/>
        <v>0</v>
      </c>
    </row>
    <row r="28" spans="1:13" x14ac:dyDescent="0.35">
      <c r="A28" t="str">
        <f>'UK Construction'!A28</f>
        <v>2005-Q3</v>
      </c>
      <c r="B28" s="8">
        <f>'UK Construction'!E28-'UK Construction'!F28</f>
        <v>1.5656845526011764</v>
      </c>
      <c r="C28" s="8">
        <f>'UK Construction'!J28</f>
        <v>2.7115272183372126</v>
      </c>
      <c r="D28" s="8">
        <f t="shared" si="0"/>
        <v>7.809845763786182</v>
      </c>
      <c r="E28" s="8">
        <f>100*('UK Construction'!D28/'UK Construction'!D27-1)</f>
        <v>1.5335782931110709</v>
      </c>
      <c r="F28" s="8">
        <f>'UK Construction'!H27</f>
        <v>34.719344022264984</v>
      </c>
      <c r="G28" s="8">
        <f t="shared" si="1"/>
        <v>0.14323683218220262</v>
      </c>
      <c r="H28" s="8">
        <f t="shared" si="2"/>
        <v>1.7850292206689584</v>
      </c>
      <c r="I28" s="8">
        <f t="shared" si="3"/>
        <v>34.917417021464132</v>
      </c>
      <c r="J28" s="7">
        <f>(1+D28/400)*(F28/100*'UK Construction'!D27)-B28/100*'UK Construction'!D28/4+H28/100*'UK Construction'!D28/4</f>
        <v>483300</v>
      </c>
      <c r="K28" s="8">
        <f>J28/'UK Construction'!D28*100</f>
        <v>34.917417021464132</v>
      </c>
      <c r="L28" s="8">
        <f>'UK Construction'!H28</f>
        <v>34.917417021464132</v>
      </c>
      <c r="M28" s="8">
        <f t="shared" si="4"/>
        <v>0</v>
      </c>
    </row>
    <row r="29" spans="1:13" x14ac:dyDescent="0.35">
      <c r="A29" t="str">
        <f>'UK Construction'!A29</f>
        <v>2005-Q4</v>
      </c>
      <c r="B29" s="8">
        <f>'UK Construction'!E29-'UK Construction'!F29</f>
        <v>1.5155542601491234</v>
      </c>
      <c r="C29" s="8">
        <f>'UK Construction'!J29</f>
        <v>3.0341234124423915</v>
      </c>
      <c r="D29" s="8">
        <f t="shared" si="0"/>
        <v>8.6894268570246229</v>
      </c>
      <c r="E29" s="8">
        <f>100*('UK Construction'!D29/'UK Construction'!D28-1)</f>
        <v>1.381813610495608</v>
      </c>
      <c r="F29" s="8">
        <f>'UK Construction'!H28</f>
        <v>34.917417021464132</v>
      </c>
      <c r="G29" s="8">
        <f t="shared" si="1"/>
        <v>0.27227490063949561</v>
      </c>
      <c r="H29" s="8">
        <f t="shared" si="2"/>
        <v>4.2808510820246726</v>
      </c>
      <c r="I29" s="8">
        <f t="shared" si="3"/>
        <v>35.881016127572515</v>
      </c>
      <c r="J29" s="7">
        <f>(1+D29/400)*(F29/100*'UK Construction'!D28)-B29/100*'UK Construction'!D29/4+H29/100*'UK Construction'!D29/4</f>
        <v>503500.00000000012</v>
      </c>
      <c r="K29" s="8">
        <f>J29/'UK Construction'!D29*100</f>
        <v>35.881016127572515</v>
      </c>
      <c r="L29" s="8">
        <f>'UK Construction'!H29</f>
        <v>35.881016127572515</v>
      </c>
      <c r="M29" s="8">
        <f t="shared" si="4"/>
        <v>0</v>
      </c>
    </row>
    <row r="30" spans="1:13" x14ac:dyDescent="0.35">
      <c r="A30" t="str">
        <f>'UK Construction'!A30</f>
        <v>2006-Q1</v>
      </c>
      <c r="B30" s="8">
        <f>'UK Construction'!E30-'UK Construction'!F30</f>
        <v>1.7651623414243645</v>
      </c>
      <c r="C30" s="8">
        <f>'UK Construction'!J30</f>
        <v>2.6920382626319355</v>
      </c>
      <c r="D30" s="8">
        <f t="shared" si="0"/>
        <v>7.5026812313803388</v>
      </c>
      <c r="E30" s="8">
        <f>100*('UK Construction'!D30/'UK Construction'!D29-1)</f>
        <v>1.4791387700971104</v>
      </c>
      <c r="F30" s="8">
        <f>'UK Construction'!H29</f>
        <v>35.881016127572515</v>
      </c>
      <c r="G30" s="8">
        <f t="shared" si="1"/>
        <v>0.14020570802497392</v>
      </c>
      <c r="H30" s="8">
        <f t="shared" si="2"/>
        <v>-2.039318682167548</v>
      </c>
      <c r="I30" s="8">
        <f t="shared" si="3"/>
        <v>35.070101579699511</v>
      </c>
      <c r="J30" s="7">
        <f>(1+D30/400)*(F30/100*'UK Construction'!D29)-B30/100*'UK Construction'!D30/4+H30/100*'UK Construction'!D30/4</f>
        <v>499400</v>
      </c>
      <c r="K30" s="8">
        <f>J30/'UK Construction'!D30*100</f>
        <v>35.070101579699511</v>
      </c>
      <c r="L30" s="8">
        <f>'UK Construction'!H30</f>
        <v>35.070101579699511</v>
      </c>
      <c r="M30" s="8">
        <f t="shared" si="4"/>
        <v>0</v>
      </c>
    </row>
    <row r="31" spans="1:13" x14ac:dyDescent="0.35">
      <c r="A31" t="str">
        <f>'UK Construction'!A31</f>
        <v>2006-Q2</v>
      </c>
      <c r="B31" s="8">
        <f>'UK Construction'!E31-'UK Construction'!F31</f>
        <v>1.818459032867267</v>
      </c>
      <c r="C31" s="8">
        <f>'UK Construction'!J31</f>
        <v>2.8660011727486916</v>
      </c>
      <c r="D31" s="8">
        <f t="shared" si="0"/>
        <v>8.172206647977573</v>
      </c>
      <c r="E31" s="8">
        <f>100*('UK Construction'!D31/'UK Construction'!D30-1)</f>
        <v>1.32864702020008</v>
      </c>
      <c r="F31" s="8">
        <f>'UK Construction'!H30</f>
        <v>35.070101579699511</v>
      </c>
      <c r="G31" s="8">
        <f t="shared" si="1"/>
        <v>0.24725725738487991</v>
      </c>
      <c r="H31" s="8">
        <f t="shared" si="2"/>
        <v>4.7006601174697273</v>
      </c>
      <c r="I31" s="8">
        <f t="shared" si="3"/>
        <v>36.037909108235013</v>
      </c>
      <c r="J31" s="7">
        <f>(1+D31/400)*(F31/100*'UK Construction'!D30)-B31/100*'UK Construction'!D31/4+H31/100*'UK Construction'!D31/4</f>
        <v>520000</v>
      </c>
      <c r="K31" s="8">
        <f>J31/'UK Construction'!D31*100</f>
        <v>36.037909108235013</v>
      </c>
      <c r="L31" s="8">
        <f>'UK Construction'!H31</f>
        <v>36.037909108235006</v>
      </c>
      <c r="M31" s="8">
        <f t="shared" si="4"/>
        <v>0</v>
      </c>
    </row>
    <row r="32" spans="1:13" x14ac:dyDescent="0.35">
      <c r="A32" t="str">
        <f>'UK Construction'!A32</f>
        <v>2006-Q3</v>
      </c>
      <c r="B32" s="8">
        <f>'UK Construction'!E32-'UK Construction'!F32</f>
        <v>1.823152310778525</v>
      </c>
      <c r="C32" s="8">
        <f>'UK Construction'!J32</f>
        <v>2.756900046779978</v>
      </c>
      <c r="D32" s="8">
        <f t="shared" si="0"/>
        <v>7.65</v>
      </c>
      <c r="E32" s="8">
        <f>100*('UK Construction'!D32/'UK Construction'!D31-1)</f>
        <v>1.3277197359530035</v>
      </c>
      <c r="F32" s="8">
        <f>'UK Construction'!H31</f>
        <v>36.037909108235006</v>
      </c>
      <c r="G32" s="8">
        <f t="shared" si="1"/>
        <v>0.2079811729597027</v>
      </c>
      <c r="H32" s="8">
        <f t="shared" si="2"/>
        <v>0.36085502669820024</v>
      </c>
      <c r="I32" s="8">
        <f t="shared" si="3"/>
        <v>35.88031596017462</v>
      </c>
      <c r="J32" s="7">
        <f>(1+D32/400)*(F32/100*'UK Construction'!D31)-B32/100*'UK Construction'!D32/4+H32/100*'UK Construction'!D32/4</f>
        <v>524600</v>
      </c>
      <c r="K32" s="8">
        <f>J32/'UK Construction'!D32*100</f>
        <v>35.880315960174627</v>
      </c>
      <c r="L32" s="8">
        <f>'UK Construction'!H32</f>
        <v>35.880315960174627</v>
      </c>
      <c r="M32" s="8">
        <f t="shared" si="4"/>
        <v>0</v>
      </c>
    </row>
    <row r="33" spans="1:13" x14ac:dyDescent="0.35">
      <c r="A33" t="str">
        <f>'UK Construction'!A33</f>
        <v>2006-Q4</v>
      </c>
      <c r="B33" s="8">
        <f>'UK Construction'!E33-'UK Construction'!F33</f>
        <v>2.0666675687378202</v>
      </c>
      <c r="C33" s="8">
        <f>'UK Construction'!J33</f>
        <v>3.147564125976432</v>
      </c>
      <c r="D33" s="8">
        <f t="shared" si="0"/>
        <v>8.7723980175371707</v>
      </c>
      <c r="E33" s="8">
        <f>100*('UK Construction'!D33/'UK Construction'!D32-1)</f>
        <v>1.0941239314047113</v>
      </c>
      <c r="F33" s="8">
        <f>'UK Construction'!H32</f>
        <v>35.880315960174627</v>
      </c>
      <c r="G33" s="8">
        <f t="shared" si="1"/>
        <v>0.39004829615790787</v>
      </c>
      <c r="H33" s="8">
        <f t="shared" si="2"/>
        <v>2.8501163671790595</v>
      </c>
      <c r="I33" s="8">
        <f t="shared" si="3"/>
        <v>36.466226455942852</v>
      </c>
      <c r="J33" s="7">
        <f>(1+D33/400)*(F33/100*'UK Construction'!D32)-B33/100*'UK Construction'!D33/4+H33/100*'UK Construction'!D33/4</f>
        <v>539000.00000000012</v>
      </c>
      <c r="K33" s="8">
        <f>J33/'UK Construction'!D33*100</f>
        <v>36.466226455942852</v>
      </c>
      <c r="L33" s="8">
        <f>'UK Construction'!H33</f>
        <v>36.466226455942845</v>
      </c>
      <c r="M33" s="8">
        <f t="shared" si="4"/>
        <v>0</v>
      </c>
    </row>
    <row r="34" spans="1:13" x14ac:dyDescent="0.35">
      <c r="A34" t="str">
        <f>'UK Construction'!A34</f>
        <v>2007-Q1</v>
      </c>
      <c r="B34" s="8">
        <f>'UK Construction'!E34-'UK Construction'!F34</f>
        <v>2.3521624568234856</v>
      </c>
      <c r="C34" s="8">
        <f>'UK Construction'!J34</f>
        <v>2.9665512015587789</v>
      </c>
      <c r="D34" s="8">
        <f t="shared" si="0"/>
        <v>8.1350649350649356</v>
      </c>
      <c r="E34" s="8">
        <f>100*('UK Construction'!D34/'UK Construction'!D33-1)</f>
        <v>1.0876948473695691</v>
      </c>
      <c r="F34" s="8">
        <f>'UK Construction'!H33</f>
        <v>36.466226455942845</v>
      </c>
      <c r="G34" s="8">
        <f t="shared" si="1"/>
        <v>0.34128440134992227</v>
      </c>
      <c r="H34" s="8">
        <f t="shared" si="2"/>
        <v>-1.599764951072701</v>
      </c>
      <c r="I34" s="8">
        <f t="shared" si="3"/>
        <v>35.819529005318728</v>
      </c>
      <c r="J34" s="7">
        <f>(1+D34/400)*(F34/100*'UK Construction'!D33)-B34/100*'UK Construction'!D34/4+H34/100*'UK Construction'!D34/4</f>
        <v>535200.00000000012</v>
      </c>
      <c r="K34" s="8">
        <f>J34/'UK Construction'!D34*100</f>
        <v>35.819529005318728</v>
      </c>
      <c r="L34" s="8">
        <f>'UK Construction'!H34</f>
        <v>35.819529005318721</v>
      </c>
      <c r="M34" s="8">
        <f t="shared" si="4"/>
        <v>0</v>
      </c>
    </row>
    <row r="35" spans="1:13" x14ac:dyDescent="0.35">
      <c r="A35" t="str">
        <f>'UK Construction'!A35</f>
        <v>2007-Q2</v>
      </c>
      <c r="B35" s="8">
        <f>'UK Construction'!E35-'UK Construction'!F35</f>
        <v>2.5067653992114103</v>
      </c>
      <c r="C35" s="8">
        <f>'UK Construction'!J35</f>
        <v>3.1193509115842577</v>
      </c>
      <c r="D35" s="8">
        <f t="shared" si="0"/>
        <v>8.7085201793721971</v>
      </c>
      <c r="E35" s="8">
        <f>100*('UK Construction'!D35/'UK Construction'!D34-1)</f>
        <v>1.3001980380910494</v>
      </c>
      <c r="F35" s="8">
        <f>'UK Construction'!H34</f>
        <v>35.819529005318721</v>
      </c>
      <c r="G35" s="8">
        <f t="shared" si="1"/>
        <v>0.31008124426108608</v>
      </c>
      <c r="H35" s="8">
        <f t="shared" si="2"/>
        <v>3.6558261715239988</v>
      </c>
      <c r="I35" s="8">
        <f t="shared" si="3"/>
        <v>36.416875442657954</v>
      </c>
      <c r="J35" s="7">
        <f>(1+D35/400)*(F35/100*'UK Construction'!D34)-B35/100*'UK Construction'!D35/4+H35/100*'UK Construction'!D35/4</f>
        <v>551200.00000000012</v>
      </c>
      <c r="K35" s="8">
        <f>J35/'UK Construction'!D35*100</f>
        <v>36.416875442657961</v>
      </c>
      <c r="L35" s="8">
        <f>'UK Construction'!H35</f>
        <v>36.416875442657954</v>
      </c>
      <c r="M35" s="8">
        <f t="shared" si="4"/>
        <v>0</v>
      </c>
    </row>
    <row r="36" spans="1:13" x14ac:dyDescent="0.35">
      <c r="A36" t="str">
        <f>'UK Construction'!A36</f>
        <v>2007-Q3</v>
      </c>
      <c r="B36" s="8">
        <f>'UK Construction'!E36-'UK Construction'!F36</f>
        <v>2.5888833184498168</v>
      </c>
      <c r="C36" s="8">
        <f>'UK Construction'!J36</f>
        <v>2.9022505523314197</v>
      </c>
      <c r="D36" s="8">
        <f t="shared" si="0"/>
        <v>7.9695210449927432</v>
      </c>
      <c r="E36" s="8">
        <f>100*('UK Construction'!D36/'UK Construction'!D35-1)</f>
        <v>1.2098436558525938</v>
      </c>
      <c r="F36" s="8">
        <f>'UK Construction'!H35</f>
        <v>36.416875442657954</v>
      </c>
      <c r="G36" s="8">
        <f t="shared" si="1"/>
        <v>0.28156883815484685</v>
      </c>
      <c r="H36" s="8">
        <f t="shared" si="2"/>
        <v>0.19133152642213247</v>
      </c>
      <c r="I36" s="8">
        <f t="shared" si="3"/>
        <v>36.099056332805873</v>
      </c>
      <c r="J36" s="7">
        <f>(1+D36/400)*(F36/100*'UK Construction'!D35)-B36/100*'UK Construction'!D36/4+H36/100*'UK Construction'!D36/4</f>
        <v>552999.99999999988</v>
      </c>
      <c r="K36" s="8">
        <f>J36/'UK Construction'!D36*100</f>
        <v>36.099056332805873</v>
      </c>
      <c r="L36" s="8">
        <f>'UK Construction'!H36</f>
        <v>36.09905633280588</v>
      </c>
      <c r="M36" s="8">
        <f t="shared" si="4"/>
        <v>0</v>
      </c>
    </row>
    <row r="37" spans="1:13" x14ac:dyDescent="0.35">
      <c r="A37" t="str">
        <f>'UK Construction'!A37</f>
        <v>2007-Q4</v>
      </c>
      <c r="B37" s="8">
        <f>'UK Construction'!E37-'UK Construction'!F37</f>
        <v>2.6436317166206251</v>
      </c>
      <c r="C37" s="8">
        <f>'UK Construction'!J37</f>
        <v>3.7670964608563504</v>
      </c>
      <c r="D37" s="8">
        <f t="shared" si="0"/>
        <v>10.435443037974684</v>
      </c>
      <c r="E37" s="8">
        <f>100*('UK Construction'!D37/'UK Construction'!D36-1)</f>
        <v>1.2946701342649858</v>
      </c>
      <c r="F37" s="8">
        <f>'UK Construction'!H36</f>
        <v>36.09905633280588</v>
      </c>
      <c r="G37" s="8">
        <f t="shared" si="1"/>
        <v>0.46834686710853585</v>
      </c>
      <c r="H37" s="8">
        <f t="shared" si="2"/>
        <v>4.5184436199877736</v>
      </c>
      <c r="I37" s="8">
        <f t="shared" si="3"/>
        <v>37.036106175756203</v>
      </c>
      <c r="J37" s="7">
        <f>(1+D37/400)*(F37/100*'UK Construction'!D36)-B37/100*'UK Construction'!D37/4+H37/100*'UK Construction'!D37/4</f>
        <v>574700</v>
      </c>
      <c r="K37" s="8">
        <f>J37/'UK Construction'!D37*100</f>
        <v>37.036106175756203</v>
      </c>
      <c r="L37" s="8">
        <f>'UK Construction'!H37</f>
        <v>37.036106175756203</v>
      </c>
      <c r="M37" s="8">
        <f t="shared" si="4"/>
        <v>0</v>
      </c>
    </row>
    <row r="38" spans="1:13" x14ac:dyDescent="0.35">
      <c r="A38" t="str">
        <f>'UK Construction'!A38</f>
        <v>2008-Q1</v>
      </c>
      <c r="B38" s="8">
        <f>'UK Construction'!E38-'UK Construction'!F38</f>
        <v>2.5349494173666542</v>
      </c>
      <c r="C38" s="8">
        <f>'UK Construction'!J38</f>
        <v>3.2003010835010492</v>
      </c>
      <c r="D38" s="8">
        <f t="shared" ref="D38:D69" si="5">C38*100/F38</f>
        <v>8.641030102662258</v>
      </c>
      <c r="E38" s="8">
        <f>100*('UK Construction'!D38/'UK Construction'!D37-1)</f>
        <v>1.3561646395730209</v>
      </c>
      <c r="F38" s="8">
        <f>'UK Construction'!H37</f>
        <v>37.036106175756203</v>
      </c>
      <c r="G38" s="8">
        <f t="shared" ref="G38:G69" si="6">((1+D38/400)/(1+E38/100)-1)*F38</f>
        <v>0.29382001193902474</v>
      </c>
      <c r="H38" s="8">
        <f t="shared" ref="H38:H69" si="7">4*(L38-F38-G38+B38/4)</f>
        <v>-2.5299900239894431</v>
      </c>
      <c r="I38" s="8">
        <f t="shared" ref="I38:I69" si="8">F38*(1+D38/400)/(1+E38/100)-B38/4+H38/4</f>
        <v>36.06369132735621</v>
      </c>
      <c r="J38" s="7">
        <f>(1+D38/400)*(F38/100*'UK Construction'!D37)-B38/100*'UK Construction'!D38/4+H38/100*'UK Construction'!D38/4</f>
        <v>567199.99999999988</v>
      </c>
      <c r="K38" s="8">
        <f>J38/'UK Construction'!D38*100</f>
        <v>36.063691327356196</v>
      </c>
      <c r="L38" s="8">
        <f>'UK Construction'!H38</f>
        <v>36.063691327356203</v>
      </c>
      <c r="M38" s="8">
        <f t="shared" ref="M38:M69" si="9">I38-L38</f>
        <v>0</v>
      </c>
    </row>
    <row r="39" spans="1:13" x14ac:dyDescent="0.35">
      <c r="A39" t="str">
        <f>'UK Construction'!A39</f>
        <v>2008-Q2</v>
      </c>
      <c r="B39" s="8">
        <f>'UK Construction'!E39-'UK Construction'!F39</f>
        <v>2.1662842021252118</v>
      </c>
      <c r="C39" s="8">
        <f>'UK Construction'!J39</f>
        <v>3.551688641653945</v>
      </c>
      <c r="D39" s="8">
        <f t="shared" si="5"/>
        <v>9.8483779971791261</v>
      </c>
      <c r="E39" s="8">
        <f>100*('UK Construction'!D39/'UK Construction'!D38-1)</f>
        <v>0.93707102042062118</v>
      </c>
      <c r="F39" s="8">
        <f>'UK Construction'!H38</f>
        <v>36.063691327356203</v>
      </c>
      <c r="G39" s="8">
        <f t="shared" si="6"/>
        <v>0.54487390463273355</v>
      </c>
      <c r="H39" s="8">
        <f t="shared" si="7"/>
        <v>6.937274765340236</v>
      </c>
      <c r="I39" s="8">
        <f t="shared" si="8"/>
        <v>37.801312872792693</v>
      </c>
      <c r="J39" s="7">
        <f>(1+D39/400)*(F39/100*'UK Construction'!D38)-B39/100*'UK Construction'!D39/4+H39/100*'UK Construction'!D39/4</f>
        <v>600100.00000000012</v>
      </c>
      <c r="K39" s="8">
        <f>J39/'UK Construction'!D39*100</f>
        <v>37.8013128727927</v>
      </c>
      <c r="L39" s="8">
        <f>'UK Construction'!H39</f>
        <v>37.801312872792693</v>
      </c>
      <c r="M39" s="8">
        <f t="shared" si="9"/>
        <v>0</v>
      </c>
    </row>
    <row r="40" spans="1:13" x14ac:dyDescent="0.35">
      <c r="A40" t="str">
        <f>'UK Construction'!A40</f>
        <v>2008-Q3</v>
      </c>
      <c r="B40" s="8">
        <f>'UK Construction'!E40-'UK Construction'!F40</f>
        <v>1.4860947963226394</v>
      </c>
      <c r="C40" s="8">
        <f>'UK Construction'!J40</f>
        <v>3.369551455076532</v>
      </c>
      <c r="D40" s="8">
        <f t="shared" si="5"/>
        <v>8.9138476920513252</v>
      </c>
      <c r="E40" s="8">
        <f>100*('UK Construction'!D40/'UK Construction'!D39-1)</f>
        <v>0.70821556512048467</v>
      </c>
      <c r="F40" s="8">
        <f>'UK Construction'!H39</f>
        <v>37.801312872792693</v>
      </c>
      <c r="G40" s="8">
        <f t="shared" si="6"/>
        <v>0.57063177910497753</v>
      </c>
      <c r="H40" s="8">
        <f t="shared" si="7"/>
        <v>18.431040672924038</v>
      </c>
      <c r="I40" s="8">
        <f t="shared" si="8"/>
        <v>42.60818112104802</v>
      </c>
      <c r="J40" s="7">
        <f>(1+D40/400)*(F40/100*'UK Construction'!D39)-B40/100*'UK Construction'!D40/4+H40/100*'UK Construction'!D40/4</f>
        <v>681200</v>
      </c>
      <c r="K40" s="8">
        <f>J40/'UK Construction'!D40*100</f>
        <v>42.60818112104802</v>
      </c>
      <c r="L40" s="8">
        <f>'UK Construction'!H40</f>
        <v>42.60818112104802</v>
      </c>
      <c r="M40" s="8">
        <f t="shared" si="9"/>
        <v>0</v>
      </c>
    </row>
    <row r="41" spans="1:13" x14ac:dyDescent="0.35">
      <c r="A41" t="str">
        <f>'UK Construction'!A41</f>
        <v>2008-Q4</v>
      </c>
      <c r="B41" s="8">
        <f>'UK Construction'!E41-'UK Construction'!F41</f>
        <v>2.343752438028055</v>
      </c>
      <c r="C41" s="8">
        <f>'UK Construction'!J41</f>
        <v>9.7275753493032706</v>
      </c>
      <c r="D41" s="8">
        <f t="shared" si="5"/>
        <v>22.830299471520846</v>
      </c>
      <c r="E41" s="8">
        <f>100*('UK Construction'!D41/'UK Construction'!D40-1)</f>
        <v>0.21660618206427174</v>
      </c>
      <c r="F41" s="8">
        <f>'UK Construction'!H40</f>
        <v>42.60818112104802</v>
      </c>
      <c r="G41" s="8">
        <f t="shared" si="6"/>
        <v>2.3345451139126681</v>
      </c>
      <c r="H41" s="8">
        <f t="shared" si="7"/>
        <v>9.7884368971244058</v>
      </c>
      <c r="I41" s="8">
        <f t="shared" si="8"/>
        <v>46.803897349734775</v>
      </c>
      <c r="J41" s="7">
        <f>(1+D41/400)*(F41/100*'UK Construction'!D40)-B41/100*'UK Construction'!D41/4+H41/100*'UK Construction'!D41/4</f>
        <v>749900</v>
      </c>
      <c r="K41" s="8">
        <f>J41/'UK Construction'!D41*100</f>
        <v>46.803897349734775</v>
      </c>
      <c r="L41" s="8">
        <f>'UK Construction'!H41</f>
        <v>46.803897349734775</v>
      </c>
      <c r="M41" s="8">
        <f t="shared" si="9"/>
        <v>0</v>
      </c>
    </row>
    <row r="42" spans="1:13" x14ac:dyDescent="0.35">
      <c r="A42" t="str">
        <f>'UK Construction'!A42</f>
        <v>2009-Q1</v>
      </c>
      <c r="B42" s="8">
        <f>'UK Construction'!E42-'UK Construction'!F42</f>
        <v>1.6472018670130097</v>
      </c>
      <c r="C42" s="8">
        <f>'UK Construction'!J42</f>
        <v>5.9237918459234926</v>
      </c>
      <c r="D42" s="8">
        <f t="shared" si="5"/>
        <v>12.656620882784372</v>
      </c>
      <c r="E42" s="8">
        <f>100*('UK Construction'!D42/'UK Construction'!D41-1)</f>
        <v>-0.62045278510963753</v>
      </c>
      <c r="F42" s="8">
        <f>'UK Construction'!H41</f>
        <v>46.803897349734775</v>
      </c>
      <c r="G42" s="8">
        <f t="shared" si="6"/>
        <v>1.7824030152773183</v>
      </c>
      <c r="H42" s="8">
        <f t="shared" si="7"/>
        <v>5.0566610311277715</v>
      </c>
      <c r="I42" s="8">
        <f t="shared" si="8"/>
        <v>49.438665156040784</v>
      </c>
      <c r="J42" s="7">
        <f>(1+D42/400)*(F42/100*'UK Construction'!D41)-B42/100*'UK Construction'!D42/4+H42/100*'UK Construction'!D42/4</f>
        <v>787200</v>
      </c>
      <c r="K42" s="8">
        <f>J42/'UK Construction'!D42*100</f>
        <v>49.438665156040784</v>
      </c>
      <c r="L42" s="8">
        <f>'UK Construction'!H42</f>
        <v>49.438665156040784</v>
      </c>
      <c r="M42" s="8">
        <f t="shared" si="9"/>
        <v>0</v>
      </c>
    </row>
    <row r="43" spans="1:13" x14ac:dyDescent="0.35">
      <c r="A43" t="str">
        <f>'UK Construction'!A43</f>
        <v>2009-Q2</v>
      </c>
      <c r="B43" s="8">
        <f>'UK Construction'!E43-'UK Construction'!F43</f>
        <v>1.4579348087715474</v>
      </c>
      <c r="C43" s="8">
        <f>'UK Construction'!J43</f>
        <v>6.3692475425114745</v>
      </c>
      <c r="D43" s="8">
        <f t="shared" si="5"/>
        <v>12.883130081300814</v>
      </c>
      <c r="E43" s="8">
        <f>100*('UK Construction'!D43/'UK Construction'!D42-1)</f>
        <v>-0.85010387646362595</v>
      </c>
      <c r="F43" s="8">
        <f>'UK Construction'!H42</f>
        <v>49.438665156040784</v>
      </c>
      <c r="G43" s="8">
        <f t="shared" si="6"/>
        <v>2.0298477086487714</v>
      </c>
      <c r="H43" s="8">
        <f t="shared" si="7"/>
        <v>10.869490859799599</v>
      </c>
      <c r="I43" s="8">
        <f t="shared" si="8"/>
        <v>53.821401877446583</v>
      </c>
      <c r="J43" s="7">
        <f>(1+D43/400)*(F43/100*'UK Construction'!D42)-B43/100*'UK Construction'!D43/4+H43/100*'UK Construction'!D43/4</f>
        <v>849700</v>
      </c>
      <c r="K43" s="8">
        <f>J43/'UK Construction'!D43*100</f>
        <v>53.821401877446576</v>
      </c>
      <c r="L43" s="8">
        <f>'UK Construction'!H43</f>
        <v>53.821401877446569</v>
      </c>
      <c r="M43" s="8">
        <f t="shared" si="9"/>
        <v>0</v>
      </c>
    </row>
    <row r="44" spans="1:13" x14ac:dyDescent="0.35">
      <c r="A44" t="str">
        <f>'UK Construction'!A44</f>
        <v>2009-Q3</v>
      </c>
      <c r="B44" s="8">
        <f>'UK Construction'!E44-'UK Construction'!F44</f>
        <v>1.2925266395455424</v>
      </c>
      <c r="C44" s="8">
        <f>'UK Construction'!J44</f>
        <v>4.4027515613717263</v>
      </c>
      <c r="D44" s="8">
        <f t="shared" si="5"/>
        <v>8.1802989290337766</v>
      </c>
      <c r="E44" s="8">
        <f>100*('UK Construction'!D44/'UK Construction'!D43-1)</f>
        <v>-0.69409782484766147</v>
      </c>
      <c r="F44" s="8">
        <f>'UK Construction'!H43</f>
        <v>53.821401877446569</v>
      </c>
      <c r="G44" s="8">
        <f t="shared" si="6"/>
        <v>1.484565406270159</v>
      </c>
      <c r="H44" s="8">
        <f t="shared" si="7"/>
        <v>3.9518249348443169</v>
      </c>
      <c r="I44" s="8">
        <f t="shared" si="8"/>
        <v>55.970791857541428</v>
      </c>
      <c r="J44" s="7">
        <f>(1+D44/400)*(F44/100*'UK Construction'!D43)-B44/100*'UK Construction'!D44/4+H44/100*'UK Construction'!D44/4</f>
        <v>877500.00000000012</v>
      </c>
      <c r="K44" s="8">
        <f>J44/'UK Construction'!D44*100</f>
        <v>55.970791857541421</v>
      </c>
      <c r="L44" s="8">
        <f>'UK Construction'!H44</f>
        <v>55.970791857541421</v>
      </c>
      <c r="M44" s="8">
        <f t="shared" si="9"/>
        <v>0</v>
      </c>
    </row>
    <row r="45" spans="1:13" x14ac:dyDescent="0.35">
      <c r="A45" t="str">
        <f>'UK Construction'!A45</f>
        <v>2009-Q4</v>
      </c>
      <c r="B45" s="8">
        <f>'UK Construction'!E45-'UK Construction'!F45</f>
        <v>-0.76356046056027793</v>
      </c>
      <c r="C45" s="8">
        <f>'UK Construction'!J45</f>
        <v>5.6497650821351444</v>
      </c>
      <c r="D45" s="8">
        <f t="shared" si="5"/>
        <v>10.094131054131054</v>
      </c>
      <c r="E45" s="8">
        <f>100*('UK Construction'!D45/'UK Construction'!D44-1)</f>
        <v>-0.53432173605769684</v>
      </c>
      <c r="F45" s="8">
        <f>'UK Construction'!H44</f>
        <v>55.970791857541421</v>
      </c>
      <c r="G45" s="8">
        <f t="shared" si="6"/>
        <v>1.7206994484374689</v>
      </c>
      <c r="H45" s="8">
        <f t="shared" si="7"/>
        <v>14.359130565824746</v>
      </c>
      <c r="I45" s="8">
        <f t="shared" si="8"/>
        <v>61.472164062575153</v>
      </c>
      <c r="J45" s="7">
        <f>(1+D45/400)*(F45/100*'UK Construction'!D44)-B45/100*'UK Construction'!D45/4+H45/100*'UK Construction'!D45/4</f>
        <v>958600</v>
      </c>
      <c r="K45" s="8">
        <f>J45/'UK Construction'!D45*100</f>
        <v>61.472164062575153</v>
      </c>
      <c r="L45" s="8">
        <f>'UK Construction'!H45</f>
        <v>61.472164062575146</v>
      </c>
      <c r="M45" s="8">
        <f t="shared" si="9"/>
        <v>0</v>
      </c>
    </row>
    <row r="46" spans="1:13" x14ac:dyDescent="0.35">
      <c r="A46" t="str">
        <f>'UK Construction'!A46</f>
        <v>2010-Q1</v>
      </c>
      <c r="B46" s="8">
        <f>'UK Construction'!E46-'UK Construction'!F46</f>
        <v>-0.88885005064563671</v>
      </c>
      <c r="C46" s="8">
        <f>'UK Construction'!J46</f>
        <v>5.568534152449172</v>
      </c>
      <c r="D46" s="8">
        <f t="shared" si="5"/>
        <v>9.0586271646150642</v>
      </c>
      <c r="E46" s="8">
        <f>100*('UK Construction'!D46/'UK Construction'!D45-1)</f>
        <v>0.53552476745939437</v>
      </c>
      <c r="F46" s="8">
        <f>'UK Construction'!H45</f>
        <v>61.472164062575146</v>
      </c>
      <c r="G46" s="8">
        <f t="shared" si="6"/>
        <v>1.0572729161383725</v>
      </c>
      <c r="H46" s="8">
        <f t="shared" si="7"/>
        <v>11.253600687862185</v>
      </c>
      <c r="I46" s="8">
        <f t="shared" si="8"/>
        <v>65.565049663340474</v>
      </c>
      <c r="J46" s="7">
        <f>(1+D46/400)*(F46/100*'UK Construction'!D45)-B46/100*'UK Construction'!D46/4+H46/100*'UK Construction'!D46/4</f>
        <v>1027900.0000000001</v>
      </c>
      <c r="K46" s="8">
        <f>J46/'UK Construction'!D46*100</f>
        <v>65.565049663340474</v>
      </c>
      <c r="L46" s="8">
        <f>'UK Construction'!H46</f>
        <v>65.565049663340474</v>
      </c>
      <c r="M46" s="8">
        <f t="shared" si="9"/>
        <v>0</v>
      </c>
    </row>
    <row r="47" spans="1:13" x14ac:dyDescent="0.35">
      <c r="A47" t="str">
        <f>'UK Construction'!A47</f>
        <v>2010-Q2</v>
      </c>
      <c r="B47" s="8">
        <f>'UK Construction'!E47-'UK Construction'!F47</f>
        <v>-0.60839358044238168</v>
      </c>
      <c r="C47" s="8">
        <f>'UK Construction'!J47</f>
        <v>6.1601422670364521</v>
      </c>
      <c r="D47" s="8">
        <f t="shared" si="5"/>
        <v>9.3954664850666401</v>
      </c>
      <c r="E47" s="8">
        <f>100*('UK Construction'!D47/'UK Construction'!D46-1)</f>
        <v>0.87934602068178158</v>
      </c>
      <c r="F47" s="8">
        <f>'UK Construction'!H46</f>
        <v>65.565049663340474</v>
      </c>
      <c r="G47" s="8">
        <f t="shared" si="6"/>
        <v>0.95509333633959326</v>
      </c>
      <c r="H47" s="8">
        <f t="shared" si="7"/>
        <v>3.4524533651335112</v>
      </c>
      <c r="I47" s="8">
        <f t="shared" si="8"/>
        <v>67.535354736074055</v>
      </c>
      <c r="J47" s="7">
        <f>(1+D47/400)*(F47/100*'UK Construction'!D46)-B47/100*'UK Construction'!D47/4+H47/100*'UK Construction'!D47/4</f>
        <v>1068100</v>
      </c>
      <c r="K47" s="8">
        <f>J47/'UK Construction'!D47*100</f>
        <v>67.535354736074041</v>
      </c>
      <c r="L47" s="8">
        <f>'UK Construction'!H47</f>
        <v>67.535354736074041</v>
      </c>
      <c r="M47" s="8">
        <f t="shared" si="9"/>
        <v>0</v>
      </c>
    </row>
    <row r="48" spans="1:13" x14ac:dyDescent="0.35">
      <c r="A48" t="str">
        <f>'UK Construction'!A48</f>
        <v>2010-Q3</v>
      </c>
      <c r="B48" s="8">
        <f>'UK Construction'!E48-'UK Construction'!F48</f>
        <v>-0.34756410738221888</v>
      </c>
      <c r="C48" s="8">
        <f>'UK Construction'!J48</f>
        <v>5.3899295750602905</v>
      </c>
      <c r="D48" s="8">
        <f t="shared" si="5"/>
        <v>7.9809006647317675</v>
      </c>
      <c r="E48" s="8">
        <f>100*('UK Construction'!D48/'UK Construction'!D47-1)</f>
        <v>0.94831499890613014</v>
      </c>
      <c r="F48" s="8">
        <f>'UK Construction'!H47</f>
        <v>67.535354736074041</v>
      </c>
      <c r="G48" s="8">
        <f t="shared" si="6"/>
        <v>0.70039256746988054</v>
      </c>
      <c r="H48" s="8">
        <f t="shared" si="7"/>
        <v>4.0341613739712061</v>
      </c>
      <c r="I48" s="8">
        <f t="shared" si="8"/>
        <v>69.331178673882263</v>
      </c>
      <c r="J48" s="7">
        <f>(1+D48/400)*(F48/100*'UK Construction'!D47)-B48/100*'UK Construction'!D48/4+H48/100*'UK Construction'!D48/4</f>
        <v>1106900</v>
      </c>
      <c r="K48" s="8">
        <f>J48/'UK Construction'!D48*100</f>
        <v>69.331178673882263</v>
      </c>
      <c r="L48" s="8">
        <f>'UK Construction'!H48</f>
        <v>69.331178673882278</v>
      </c>
      <c r="M48" s="8">
        <f t="shared" si="9"/>
        <v>0</v>
      </c>
    </row>
    <row r="49" spans="1:13" x14ac:dyDescent="0.35">
      <c r="A49" t="str">
        <f>'UK Construction'!A49</f>
        <v>2010-Q4</v>
      </c>
      <c r="B49" s="8">
        <f>'UK Construction'!E49-'UK Construction'!F49</f>
        <v>-1.621448671556891E-2</v>
      </c>
      <c r="C49" s="8">
        <f>'UK Construction'!J49</f>
        <v>6.0292883360266583</v>
      </c>
      <c r="D49" s="8">
        <f t="shared" si="5"/>
        <v>8.6963592013732036</v>
      </c>
      <c r="E49" s="8">
        <f>100*('UK Construction'!D49/'UK Construction'!D48-1)</f>
        <v>1.2088015333157953</v>
      </c>
      <c r="F49" s="8">
        <f>'UK Construction'!H48</f>
        <v>69.331178673882278</v>
      </c>
      <c r="G49" s="8">
        <f t="shared" si="6"/>
        <v>0.66125250273866565</v>
      </c>
      <c r="H49" s="8">
        <f t="shared" si="7"/>
        <v>5.3147621761821586</v>
      </c>
      <c r="I49" s="8">
        <f t="shared" si="8"/>
        <v>71.325175342345375</v>
      </c>
      <c r="J49" s="7">
        <f>(1+D49/400)*(F49/100*'UK Construction'!D48)-B49/100*'UK Construction'!D49/4+H49/100*'UK Construction'!D49/4</f>
        <v>1152500</v>
      </c>
      <c r="K49" s="8">
        <f>J49/'UK Construction'!D49*100</f>
        <v>71.325175342345375</v>
      </c>
      <c r="L49" s="8">
        <f>'UK Construction'!H49</f>
        <v>71.325175342345375</v>
      </c>
      <c r="M49" s="8">
        <f t="shared" si="9"/>
        <v>0</v>
      </c>
    </row>
    <row r="50" spans="1:13" x14ac:dyDescent="0.35">
      <c r="A50" t="str">
        <f>'UK Construction'!A50</f>
        <v>2011-Q1</v>
      </c>
      <c r="B50" s="8">
        <f>'UK Construction'!E50-'UK Construction'!F50</f>
        <v>0.72309106284657076</v>
      </c>
      <c r="C50" s="8">
        <f>'UK Construction'!J50</f>
        <v>5.7117076639442423</v>
      </c>
      <c r="D50" s="8">
        <f t="shared" si="5"/>
        <v>8.0079826464208246</v>
      </c>
      <c r="E50" s="8">
        <f>100*('UK Construction'!D50/'UK Construction'!D49-1)</f>
        <v>1.1384178745530882</v>
      </c>
      <c r="F50" s="8">
        <f>'UK Construction'!H49</f>
        <v>71.325175342345375</v>
      </c>
      <c r="G50" s="8">
        <f t="shared" si="6"/>
        <v>0.60901523256618906</v>
      </c>
      <c r="H50" s="8">
        <f t="shared" si="7"/>
        <v>-0.95916496658380357</v>
      </c>
      <c r="I50" s="8">
        <f t="shared" si="8"/>
        <v>71.513626567553985</v>
      </c>
      <c r="J50" s="7">
        <f>(1+D50/400)*(F50/100*'UK Construction'!D49)-B50/100*'UK Construction'!D50/4+H50/100*'UK Construction'!D50/4</f>
        <v>1168699.9999999998</v>
      </c>
      <c r="K50" s="8">
        <f>J50/'UK Construction'!D50*100</f>
        <v>71.513626567553956</v>
      </c>
      <c r="L50" s="8">
        <f>'UK Construction'!H50</f>
        <v>71.51362656755397</v>
      </c>
      <c r="M50" s="8">
        <f t="shared" si="9"/>
        <v>0</v>
      </c>
    </row>
    <row r="51" spans="1:13" x14ac:dyDescent="0.35">
      <c r="A51" t="str">
        <f>'UK Construction'!A51</f>
        <v>2011-Q2</v>
      </c>
      <c r="B51" s="8">
        <f>'UK Construction'!E51-'UK Construction'!F51</f>
        <v>1.2144624475107548</v>
      </c>
      <c r="C51" s="8">
        <f>'UK Construction'!J51</f>
        <v>6.3163537167871926</v>
      </c>
      <c r="D51" s="8">
        <f t="shared" si="5"/>
        <v>8.8323778557371444</v>
      </c>
      <c r="E51" s="8">
        <f>100*('UK Construction'!D51/'UK Construction'!D50-1)</f>
        <v>0.67940086915336817</v>
      </c>
      <c r="F51" s="8">
        <f>'UK Construction'!H50</f>
        <v>71.51362656755397</v>
      </c>
      <c r="G51" s="8">
        <f t="shared" si="6"/>
        <v>1.0858469749482635</v>
      </c>
      <c r="H51" s="8">
        <f t="shared" si="7"/>
        <v>3.2551386129407156</v>
      </c>
      <c r="I51" s="8">
        <f t="shared" si="8"/>
        <v>73.109642583859724</v>
      </c>
      <c r="J51" s="7">
        <f>(1+D51/400)*(F51/100*'UK Construction'!D50)-B51/100*'UK Construction'!D51/4+H51/100*'UK Construction'!D51/4</f>
        <v>1202900</v>
      </c>
      <c r="K51" s="8">
        <f>J51/'UK Construction'!D51*100</f>
        <v>73.109642583859724</v>
      </c>
      <c r="L51" s="8">
        <f>'UK Construction'!H51</f>
        <v>73.109642583859724</v>
      </c>
      <c r="M51" s="8">
        <f t="shared" si="9"/>
        <v>0</v>
      </c>
    </row>
    <row r="52" spans="1:13" x14ac:dyDescent="0.35">
      <c r="A52" t="str">
        <f>'UK Construction'!A52</f>
        <v>2011-Q3</v>
      </c>
      <c r="B52" s="8">
        <f>'UK Construction'!E52-'UK Construction'!F52</f>
        <v>1.8530977584341599</v>
      </c>
      <c r="C52" s="8">
        <f>'UK Construction'!J52</f>
        <v>5.5278645043538202</v>
      </c>
      <c r="D52" s="8">
        <f t="shared" si="5"/>
        <v>7.5610607698063017</v>
      </c>
      <c r="E52" s="8">
        <f>100*('UK Construction'!D52/'UK Construction'!D51-1)</f>
        <v>0.72580875528842625</v>
      </c>
      <c r="F52" s="8">
        <f>'UK Construction'!H51</f>
        <v>73.109642583859724</v>
      </c>
      <c r="G52" s="8">
        <f t="shared" si="6"/>
        <v>0.84519543677531306</v>
      </c>
      <c r="H52" s="8">
        <f t="shared" si="7"/>
        <v>0.27508946894272457</v>
      </c>
      <c r="I52" s="8">
        <f t="shared" si="8"/>
        <v>73.560335948262164</v>
      </c>
      <c r="J52" s="7">
        <f>(1+D52/400)*(F52/100*'UK Construction'!D51)-B52/100*'UK Construction'!D52/4+H52/100*'UK Construction'!D52/4</f>
        <v>1219099.9999999998</v>
      </c>
      <c r="K52" s="8">
        <f>J52/'UK Construction'!D52*100</f>
        <v>73.560335948262164</v>
      </c>
      <c r="L52" s="8">
        <f>'UK Construction'!H52</f>
        <v>73.560335948262178</v>
      </c>
      <c r="M52" s="8">
        <f t="shared" si="9"/>
        <v>0</v>
      </c>
    </row>
    <row r="53" spans="1:13" x14ac:dyDescent="0.35">
      <c r="A53" t="str">
        <f>'UK Construction'!A53</f>
        <v>2011-Q4</v>
      </c>
      <c r="B53" s="8">
        <f>'UK Construction'!E53-'UK Construction'!F53</f>
        <v>2.483015907709536</v>
      </c>
      <c r="C53" s="8">
        <f>'UK Construction'!J53</f>
        <v>6.2263505420632246</v>
      </c>
      <c r="D53" s="8">
        <f t="shared" si="5"/>
        <v>8.4642769256008528</v>
      </c>
      <c r="E53" s="8">
        <f>100*('UK Construction'!D53/'UK Construction'!D52-1)</f>
        <v>0.76426479790066004</v>
      </c>
      <c r="F53" s="8">
        <f>'UK Construction'!H52</f>
        <v>73.560335948262178</v>
      </c>
      <c r="G53" s="8">
        <f t="shared" si="6"/>
        <v>0.98684973749394356</v>
      </c>
      <c r="H53" s="8">
        <f t="shared" si="7"/>
        <v>3.8490489207728409</v>
      </c>
      <c r="I53" s="8">
        <f t="shared" si="8"/>
        <v>74.888693939021934</v>
      </c>
      <c r="J53" s="7">
        <f>(1+D53/400)*(F53/100*'UK Construction'!D52)-B53/100*'UK Construction'!D53/4+H53/100*'UK Construction'!D53/4</f>
        <v>1250600</v>
      </c>
      <c r="K53" s="8">
        <f>J53/'UK Construction'!D53*100</f>
        <v>74.888693939021948</v>
      </c>
      <c r="L53" s="8">
        <f>'UK Construction'!H53</f>
        <v>74.888693939021948</v>
      </c>
      <c r="M53" s="8">
        <f t="shared" si="9"/>
        <v>0</v>
      </c>
    </row>
    <row r="54" spans="1:13" x14ac:dyDescent="0.35">
      <c r="A54" t="str">
        <f>'UK Construction'!A54</f>
        <v>2012-Q1</v>
      </c>
      <c r="B54" s="8">
        <f>'UK Construction'!E54-'UK Construction'!F54</f>
        <v>2.2414448861570051</v>
      </c>
      <c r="C54" s="8">
        <f>'UK Construction'!J54</f>
        <v>5.2049618400606015</v>
      </c>
      <c r="D54" s="8">
        <f t="shared" si="5"/>
        <v>6.9502638733407975</v>
      </c>
      <c r="E54" s="8">
        <f>100*('UK Construction'!D54/'UK Construction'!D53-1)</f>
        <v>0.60672656883908882</v>
      </c>
      <c r="F54" s="8">
        <f>'UK Construction'!H53</f>
        <v>74.888693939021948</v>
      </c>
      <c r="G54" s="8">
        <f t="shared" si="6"/>
        <v>0.84176365310032775</v>
      </c>
      <c r="H54" s="8">
        <f t="shared" si="7"/>
        <v>-0.43224209366599053</v>
      </c>
      <c r="I54" s="8">
        <f t="shared" si="8"/>
        <v>75.062035847166527</v>
      </c>
      <c r="J54" s="7">
        <f>(1+D54/400)*(F54/100*'UK Construction'!D53)-B54/100*'UK Construction'!D54/4+H54/100*'UK Construction'!D54/4</f>
        <v>1261100</v>
      </c>
      <c r="K54" s="8">
        <f>J54/'UK Construction'!D54*100</f>
        <v>75.062035847166527</v>
      </c>
      <c r="L54" s="8">
        <f>'UK Construction'!H54</f>
        <v>75.062035847166527</v>
      </c>
      <c r="M54" s="8">
        <f t="shared" si="9"/>
        <v>0</v>
      </c>
    </row>
    <row r="55" spans="1:13" x14ac:dyDescent="0.35">
      <c r="A55" t="str">
        <f>'UK Construction'!A55</f>
        <v>2012-Q2</v>
      </c>
      <c r="B55" s="8">
        <f>'UK Construction'!E55-'UK Construction'!F55</f>
        <v>1.3735168233657404</v>
      </c>
      <c r="C55" s="8">
        <f>'UK Construction'!J55</f>
        <v>6.1171005852707934</v>
      </c>
      <c r="D55" s="8">
        <f t="shared" si="5"/>
        <v>8.1493933867258743</v>
      </c>
      <c r="E55" s="8">
        <f>100*('UK Construction'!D55/'UK Construction'!D54-1)</f>
        <v>0.75341784930096356</v>
      </c>
      <c r="F55" s="8">
        <f>'UK Construction'!H54</f>
        <v>75.062035847166527</v>
      </c>
      <c r="G55" s="8">
        <f t="shared" si="6"/>
        <v>0.95653764484491799</v>
      </c>
      <c r="H55" s="8">
        <f t="shared" si="7"/>
        <v>2.1549740508703574</v>
      </c>
      <c r="I55" s="8">
        <f t="shared" si="8"/>
        <v>76.213937798887599</v>
      </c>
      <c r="J55" s="7">
        <f>(1+D55/400)*(F55/100*'UK Construction'!D54)-B55/100*'UK Construction'!D55/4+H55/100*'UK Construction'!D55/4</f>
        <v>1290100.0000000002</v>
      </c>
      <c r="K55" s="8">
        <f>J55/'UK Construction'!D55*100</f>
        <v>76.213937798887613</v>
      </c>
      <c r="L55" s="8">
        <f>'UK Construction'!H55</f>
        <v>76.213937798887599</v>
      </c>
      <c r="M55" s="8">
        <f t="shared" si="9"/>
        <v>0</v>
      </c>
    </row>
    <row r="56" spans="1:13" x14ac:dyDescent="0.35">
      <c r="A56" t="str">
        <f>'UK Construction'!A56</f>
        <v>2012-Q3</v>
      </c>
      <c r="B56" s="8">
        <f>'UK Construction'!E56-'UK Construction'!F56</f>
        <v>1.3546436770706549</v>
      </c>
      <c r="C56" s="8">
        <f>'UK Construction'!J56</f>
        <v>4.8184742443442126</v>
      </c>
      <c r="D56" s="8">
        <f t="shared" si="5"/>
        <v>6.3223005968529575</v>
      </c>
      <c r="E56" s="8">
        <f>100*('UK Construction'!D56/'UK Construction'!D55-1)</f>
        <v>0.89606465276608205</v>
      </c>
      <c r="F56" s="8">
        <f>'UK Construction'!H55</f>
        <v>76.213937798887599</v>
      </c>
      <c r="G56" s="8">
        <f t="shared" si="6"/>
        <v>0.51705921909293528</v>
      </c>
      <c r="H56" s="8">
        <f t="shared" si="7"/>
        <v>0.9820229837408343</v>
      </c>
      <c r="I56" s="8">
        <f t="shared" si="8"/>
        <v>76.637841844648065</v>
      </c>
      <c r="J56" s="7">
        <f>(1+D56/400)*(F56/100*'UK Construction'!D55)-B56/100*'UK Construction'!D56/4+H56/100*'UK Construction'!D56/4</f>
        <v>1308899.9999999998</v>
      </c>
      <c r="K56" s="8">
        <f>J56/'UK Construction'!D56*100</f>
        <v>76.637841844648065</v>
      </c>
      <c r="L56" s="8">
        <f>'UK Construction'!H56</f>
        <v>76.637841844648079</v>
      </c>
      <c r="M56" s="8">
        <f t="shared" si="9"/>
        <v>0</v>
      </c>
    </row>
    <row r="57" spans="1:13" x14ac:dyDescent="0.35">
      <c r="A57" t="str">
        <f>'UK Construction'!A57</f>
        <v>2012-Q4</v>
      </c>
      <c r="B57" s="8">
        <f>'UK Construction'!E57-'UK Construction'!F57</f>
        <v>1.2384213815583109</v>
      </c>
      <c r="C57" s="8">
        <f>'UK Construction'!J57</f>
        <v>5.7420122805569171</v>
      </c>
      <c r="D57" s="8">
        <f t="shared" si="5"/>
        <v>7.4923981969592797</v>
      </c>
      <c r="E57" s="8">
        <f>100*('UK Construction'!D57/'UK Construction'!D56-1)</f>
        <v>0.80830117401280432</v>
      </c>
      <c r="F57" s="8">
        <f>'UK Construction'!H56</f>
        <v>76.637841844648079</v>
      </c>
      <c r="G57" s="8">
        <f t="shared" si="6"/>
        <v>0.80949533447869793</v>
      </c>
      <c r="H57" s="8">
        <f t="shared" si="7"/>
        <v>6.0901151647085188</v>
      </c>
      <c r="I57" s="8">
        <f t="shared" si="8"/>
        <v>78.660260624914329</v>
      </c>
      <c r="J57" s="7">
        <f>(1+D57/400)*(F57/100*'UK Construction'!D56)-B57/100*'UK Construction'!D57/4+H57/100*'UK Construction'!D57/4</f>
        <v>1354300</v>
      </c>
      <c r="K57" s="8">
        <f>J57/'UK Construction'!D57*100</f>
        <v>78.660260624914329</v>
      </c>
      <c r="L57" s="8">
        <f>'UK Construction'!H57</f>
        <v>78.660260624914329</v>
      </c>
      <c r="M57" s="8">
        <f t="shared" si="9"/>
        <v>0</v>
      </c>
    </row>
    <row r="58" spans="1:13" x14ac:dyDescent="0.35">
      <c r="A58" t="str">
        <f>'UK Construction'!A58</f>
        <v>2013-Q1</v>
      </c>
      <c r="B58" s="8">
        <f>'UK Construction'!E58-'UK Construction'!F58</f>
        <v>1.4974413475243082</v>
      </c>
      <c r="C58" s="8">
        <f>'UK Construction'!J58</f>
        <v>4.8600575707378955</v>
      </c>
      <c r="D58" s="8">
        <f t="shared" si="5"/>
        <v>6.1785424204386032</v>
      </c>
      <c r="E58" s="8">
        <f>100*('UK Construction'!D58/'UK Construction'!D57-1)</f>
        <v>0.77742567264600382</v>
      </c>
      <c r="F58" s="8">
        <f>'UK Construction'!H57</f>
        <v>78.660260624914329</v>
      </c>
      <c r="G58" s="8">
        <f t="shared" si="6"/>
        <v>0.59883384437348419</v>
      </c>
      <c r="H58" s="8">
        <f t="shared" si="7"/>
        <v>-0.58175556007660933</v>
      </c>
      <c r="I58" s="8">
        <f t="shared" si="8"/>
        <v>78.73929524238757</v>
      </c>
      <c r="J58" s="7">
        <f>(1+D58/400)*(F58/100*'UK Construction'!D57)-B58/100*'UK Construction'!D58/4+H58/100*'UK Construction'!D58/4</f>
        <v>1366200</v>
      </c>
      <c r="K58" s="8">
        <f>J58/'UK Construction'!D58*100</f>
        <v>78.739295242387584</v>
      </c>
      <c r="L58" s="8">
        <f>'UK Construction'!H58</f>
        <v>78.739295242387584</v>
      </c>
      <c r="M58" s="8">
        <f t="shared" si="9"/>
        <v>0</v>
      </c>
    </row>
    <row r="59" spans="1:13" x14ac:dyDescent="0.35">
      <c r="A59" t="str">
        <f>'UK Construction'!A59</f>
        <v>2013-Q2</v>
      </c>
      <c r="B59" s="8">
        <f>'UK Construction'!E59-'UK Construction'!F59</f>
        <v>2.1703506978512266</v>
      </c>
      <c r="C59" s="8">
        <f>'UK Construction'!J59</f>
        <v>5.6421183187298887</v>
      </c>
      <c r="D59" s="8">
        <f t="shared" si="5"/>
        <v>7.1655687307861218</v>
      </c>
      <c r="E59" s="8">
        <f>100*('UK Construction'!D59/'UK Construction'!D58-1)</f>
        <v>0.97562493768346137</v>
      </c>
      <c r="F59" s="8">
        <f>'UK Construction'!H58</f>
        <v>78.739295242387584</v>
      </c>
      <c r="G59" s="8">
        <f t="shared" si="6"/>
        <v>0.63612320293927027</v>
      </c>
      <c r="H59" s="8">
        <f t="shared" si="7"/>
        <v>3.7744410597818003</v>
      </c>
      <c r="I59" s="8">
        <f t="shared" si="8"/>
        <v>79.776441035809498</v>
      </c>
      <c r="J59" s="7">
        <f>(1+D59/400)*(F59/100*'UK Construction'!D58)-B59/100*'UK Construction'!D59/4+H59/100*'UK Construction'!D59/4</f>
        <v>1397700</v>
      </c>
      <c r="K59" s="8">
        <f>J59/'UK Construction'!D59*100</f>
        <v>79.776441035809498</v>
      </c>
      <c r="L59" s="8">
        <f>'UK Construction'!H59</f>
        <v>79.776441035809498</v>
      </c>
      <c r="M59" s="8">
        <f t="shared" si="9"/>
        <v>0</v>
      </c>
    </row>
    <row r="60" spans="1:13" x14ac:dyDescent="0.35">
      <c r="A60" t="str">
        <f>'UK Construction'!A60</f>
        <v>2013-Q3</v>
      </c>
      <c r="B60" s="8">
        <f>'UK Construction'!E60-'UK Construction'!F60</f>
        <v>2.1392414291599877</v>
      </c>
      <c r="C60" s="8">
        <f>'UK Construction'!J60</f>
        <v>4.4401294276723853</v>
      </c>
      <c r="D60" s="8">
        <f t="shared" si="5"/>
        <v>5.5657151033841314</v>
      </c>
      <c r="E60" s="8">
        <f>100*('UK Construction'!D60/'UK Construction'!D59-1)</f>
        <v>0.99530770464508755</v>
      </c>
      <c r="F60" s="8">
        <f>'UK Construction'!H59</f>
        <v>79.776441035809498</v>
      </c>
      <c r="G60" s="8">
        <f t="shared" si="6"/>
        <v>0.31289700480066091</v>
      </c>
      <c r="H60" s="8">
        <f t="shared" si="7"/>
        <v>1.7440924033842784</v>
      </c>
      <c r="I60" s="8">
        <f t="shared" si="8"/>
        <v>79.990550784166231</v>
      </c>
      <c r="J60" s="7">
        <f>(1+D60/400)*(F60/100*'UK Construction'!D59)-B60/100*'UK Construction'!D60/4+H60/100*'UK Construction'!D60/4</f>
        <v>1415399.9999999998</v>
      </c>
      <c r="K60" s="8">
        <f>J60/'UK Construction'!D60*100</f>
        <v>79.990550784166231</v>
      </c>
      <c r="L60" s="8">
        <f>'UK Construction'!H60</f>
        <v>79.990550784166231</v>
      </c>
      <c r="M60" s="8">
        <f t="shared" si="9"/>
        <v>0</v>
      </c>
    </row>
    <row r="61" spans="1:13" x14ac:dyDescent="0.35">
      <c r="A61" t="str">
        <f>'UK Construction'!A61</f>
        <v>2013-Q4</v>
      </c>
      <c r="B61" s="8">
        <f>'UK Construction'!E61-'UK Construction'!F61</f>
        <v>2.2286973358255011</v>
      </c>
      <c r="C61" s="8">
        <f>'UK Construction'!J61</f>
        <v>5.131738005797251</v>
      </c>
      <c r="D61" s="8">
        <f t="shared" si="5"/>
        <v>6.4154302670623142</v>
      </c>
      <c r="E61" s="8">
        <f>100*('UK Construction'!D61/'UK Construction'!D60-1)</f>
        <v>1.1084178836582304</v>
      </c>
      <c r="F61" s="8">
        <f>'UK Construction'!H60</f>
        <v>79.990550784166231</v>
      </c>
      <c r="G61" s="8">
        <f t="shared" si="6"/>
        <v>0.39196037245574772</v>
      </c>
      <c r="H61" s="8">
        <f t="shared" si="7"/>
        <v>5.4703779389538507</v>
      </c>
      <c r="I61" s="8">
        <f t="shared" si="8"/>
        <v>81.192931307404038</v>
      </c>
      <c r="J61" s="7">
        <f>(1+D61/400)*(F61/100*'UK Construction'!D60)-B61/100*'UK Construction'!D61/4+H61/100*'UK Construction'!D61/4</f>
        <v>1452600</v>
      </c>
      <c r="K61" s="8">
        <f>J61/'UK Construction'!D61*100</f>
        <v>81.192931307404052</v>
      </c>
      <c r="L61" s="8">
        <f>'UK Construction'!H61</f>
        <v>81.192931307404066</v>
      </c>
      <c r="M61" s="8">
        <f t="shared" si="9"/>
        <v>0</v>
      </c>
    </row>
    <row r="62" spans="1:13" x14ac:dyDescent="0.35">
      <c r="A62" t="str">
        <f>'UK Construction'!A62</f>
        <v>2014-Q1</v>
      </c>
      <c r="B62" s="8">
        <f>'UK Construction'!E62-'UK Construction'!F62</f>
        <v>2.0955774276184798</v>
      </c>
      <c r="C62" s="8">
        <f>'UK Construction'!J62</f>
        <v>3.9370131554235939</v>
      </c>
      <c r="D62" s="8">
        <f t="shared" si="5"/>
        <v>4.8489604846482166</v>
      </c>
      <c r="E62" s="8">
        <f>100*('UK Construction'!D62/'UK Construction'!D61-1)</f>
        <v>1.1538943094520526</v>
      </c>
      <c r="F62" s="8">
        <f>'UK Construction'!H61</f>
        <v>81.192931307404066</v>
      </c>
      <c r="G62" s="8">
        <f t="shared" si="6"/>
        <v>4.6832279810736496E-2</v>
      </c>
      <c r="H62" s="8">
        <f t="shared" si="7"/>
        <v>8.2222846015583162E-2</v>
      </c>
      <c r="I62" s="8">
        <f t="shared" si="8"/>
        <v>80.736424941814079</v>
      </c>
      <c r="J62" s="7">
        <f>(1+D62/400)*(F62/100*'UK Construction'!D61)-B62/100*'UK Construction'!D62/4+H62/100*'UK Construction'!D62/4</f>
        <v>1461100</v>
      </c>
      <c r="K62" s="8">
        <f>J62/'UK Construction'!D62*100</f>
        <v>80.736424941814079</v>
      </c>
      <c r="L62" s="8">
        <f>'UK Construction'!H62</f>
        <v>80.736424941814079</v>
      </c>
      <c r="M62" s="8">
        <f t="shared" si="9"/>
        <v>0</v>
      </c>
    </row>
    <row r="63" spans="1:13" x14ac:dyDescent="0.35">
      <c r="A63" t="str">
        <f>'UK Construction'!A63</f>
        <v>2014-Q2</v>
      </c>
      <c r="B63" s="8">
        <f>'UK Construction'!E63-'UK Construction'!F63</f>
        <v>1.7937934963515048</v>
      </c>
      <c r="C63" s="8">
        <f>'UK Construction'!J63</f>
        <v>4.6738825318447752</v>
      </c>
      <c r="D63" s="8">
        <f t="shared" si="5"/>
        <v>5.7890630346998835</v>
      </c>
      <c r="E63" s="8">
        <f>100*('UK Construction'!D63/'UK Construction'!D62-1)</f>
        <v>1.1626686176173573</v>
      </c>
      <c r="F63" s="8">
        <f>'UK Construction'!H62</f>
        <v>80.736424941814079</v>
      </c>
      <c r="G63" s="8">
        <f t="shared" si="6"/>
        <v>0.22713275590330714</v>
      </c>
      <c r="H63" s="8">
        <f t="shared" si="7"/>
        <v>5.2140180264229627</v>
      </c>
      <c r="I63" s="8">
        <f t="shared" si="8"/>
        <v>81.818613830235279</v>
      </c>
      <c r="J63" s="7">
        <f>(1+D63/400)*(F63/100*'UK Construction'!D62)-B63/100*'UK Construction'!D63/4+H63/100*'UK Construction'!D63/4</f>
        <v>1497900</v>
      </c>
      <c r="K63" s="8">
        <f>J63/'UK Construction'!D63*100</f>
        <v>81.81861383023525</v>
      </c>
      <c r="L63" s="8">
        <f>'UK Construction'!H63</f>
        <v>81.81861383023525</v>
      </c>
      <c r="M63" s="8">
        <f t="shared" si="9"/>
        <v>0</v>
      </c>
    </row>
    <row r="64" spans="1:13" x14ac:dyDescent="0.35">
      <c r="A64" t="str">
        <f>'UK Construction'!A64</f>
        <v>2014-Q3</v>
      </c>
      <c r="B64" s="8">
        <f>'UK Construction'!E64-'UK Construction'!F64</f>
        <v>1.5247981956123198</v>
      </c>
      <c r="C64" s="8">
        <f>'UK Construction'!J64</f>
        <v>3.4711324331956672</v>
      </c>
      <c r="D64" s="8">
        <f t="shared" si="5"/>
        <v>4.2424727952466785</v>
      </c>
      <c r="E64" s="8">
        <f>100*('UK Construction'!D64/'UK Construction'!D63-1)</f>
        <v>1.2776135773344022</v>
      </c>
      <c r="F64" s="8">
        <f>'UK Construction'!H63</f>
        <v>81.81861383023525</v>
      </c>
      <c r="G64" s="8">
        <f t="shared" si="6"/>
        <v>-0.17530291691500344</v>
      </c>
      <c r="H64" s="8">
        <f t="shared" si="7"/>
        <v>1.5491759822710898</v>
      </c>
      <c r="I64" s="8">
        <f t="shared" si="8"/>
        <v>81.649405359984939</v>
      </c>
      <c r="J64" s="7">
        <f>(1+D64/400)*(F64/100*'UK Construction'!D63)-B64/100*'UK Construction'!D64/4+H64/100*'UK Construction'!D64/4</f>
        <v>1513900</v>
      </c>
      <c r="K64" s="8">
        <f>J64/'UK Construction'!D64*100</f>
        <v>81.649405359984939</v>
      </c>
      <c r="L64" s="8">
        <f>'UK Construction'!H64</f>
        <v>81.649405359984939</v>
      </c>
      <c r="M64" s="8">
        <f t="shared" si="9"/>
        <v>0</v>
      </c>
    </row>
    <row r="65" spans="1:13" x14ac:dyDescent="0.35">
      <c r="A65" t="str">
        <f>'UK Construction'!A65</f>
        <v>2014-Q4</v>
      </c>
      <c r="B65" s="8">
        <f>'UK Construction'!E65-'UK Construction'!F65</f>
        <v>1.3053940501294363</v>
      </c>
      <c r="C65" s="8">
        <f>'UK Construction'!J65</f>
        <v>3.847591372205116</v>
      </c>
      <c r="D65" s="8">
        <f t="shared" si="5"/>
        <v>4.7123323865512914</v>
      </c>
      <c r="E65" s="8">
        <f>100*('UK Construction'!D65/'UK Construction'!D64-1)</f>
        <v>1.1282276971567029</v>
      </c>
      <c r="F65" s="8">
        <f>'UK Construction'!H64</f>
        <v>81.649405359984939</v>
      </c>
      <c r="G65" s="8">
        <f t="shared" si="6"/>
        <v>4.0252497391817327E-2</v>
      </c>
      <c r="H65" s="8">
        <f t="shared" si="7"/>
        <v>5.3724508897286611</v>
      </c>
      <c r="I65" s="8">
        <f t="shared" si="8"/>
        <v>82.706422067276563</v>
      </c>
      <c r="J65" s="7">
        <f>(1+D65/400)*(F65/100*'UK Construction'!D64)-B65/100*'UK Construction'!D65/4+H65/100*'UK Construction'!D65/4</f>
        <v>1550800</v>
      </c>
      <c r="K65" s="8">
        <f>J65/'UK Construction'!D65*100</f>
        <v>82.706422067276563</v>
      </c>
      <c r="L65" s="8">
        <f>'UK Construction'!H65</f>
        <v>82.706422067276563</v>
      </c>
      <c r="M65" s="8">
        <f t="shared" si="9"/>
        <v>0</v>
      </c>
    </row>
    <row r="66" spans="1:13" x14ac:dyDescent="0.35">
      <c r="A66" t="str">
        <f>'UK Construction'!A66</f>
        <v>2015-Q1</v>
      </c>
      <c r="B66" s="8">
        <f>'UK Construction'!E66-'UK Construction'!F66</f>
        <v>1.3802578735996605</v>
      </c>
      <c r="C66" s="8">
        <f>'UK Construction'!J66</f>
        <v>2.7111579005752331</v>
      </c>
      <c r="D66" s="8">
        <f t="shared" si="5"/>
        <v>3.2780500386897087</v>
      </c>
      <c r="E66" s="8">
        <f>100*('UK Construction'!D66/'UK Construction'!D65-1)</f>
        <v>0.92444745944941786</v>
      </c>
      <c r="F66" s="8">
        <f>'UK Construction'!H65</f>
        <v>82.706422067276563</v>
      </c>
      <c r="G66" s="8">
        <f t="shared" si="6"/>
        <v>-8.5992982516463159E-2</v>
      </c>
      <c r="H66" s="8">
        <f t="shared" si="7"/>
        <v>-1.0735573874445334</v>
      </c>
      <c r="I66" s="8">
        <f t="shared" si="8"/>
        <v>82.006975269499065</v>
      </c>
      <c r="J66" s="7">
        <f>(1+D66/400)*(F66/100*'UK Construction'!D65)-B66/100*'UK Construction'!D66/4+H66/100*'UK Construction'!D66/4</f>
        <v>1551900</v>
      </c>
      <c r="K66" s="8">
        <f>J66/'UK Construction'!D66*100</f>
        <v>82.006975269499051</v>
      </c>
      <c r="L66" s="8">
        <f>'UK Construction'!H66</f>
        <v>82.006975269499051</v>
      </c>
      <c r="M66" s="8">
        <f t="shared" si="9"/>
        <v>0</v>
      </c>
    </row>
    <row r="67" spans="1:13" x14ac:dyDescent="0.35">
      <c r="A67" t="str">
        <f>'UK Construction'!A67</f>
        <v>2015-Q2</v>
      </c>
      <c r="B67" s="8">
        <f>'UK Construction'!E67-'UK Construction'!F67</f>
        <v>1.4256612737040015</v>
      </c>
      <c r="C67" s="8">
        <f>'UK Construction'!J67</f>
        <v>3.9579370112027061</v>
      </c>
      <c r="D67" s="8">
        <f t="shared" si="5"/>
        <v>4.8263419034731623</v>
      </c>
      <c r="E67" s="8">
        <f>100*('UK Construction'!D67/'UK Construction'!D66-1)</f>
        <v>0.77758402029168838</v>
      </c>
      <c r="F67" s="8">
        <f>'UK Construction'!H66</f>
        <v>82.006975269499051</v>
      </c>
      <c r="G67" s="8">
        <f t="shared" si="6"/>
        <v>0.34909659821737415</v>
      </c>
      <c r="H67" s="8">
        <f t="shared" si="7"/>
        <v>2.9515262582486752</v>
      </c>
      <c r="I67" s="8">
        <f t="shared" si="8"/>
        <v>82.737538113852594</v>
      </c>
      <c r="J67" s="7">
        <f>(1+D67/400)*(F67/100*'UK Construction'!D66)-B67/100*'UK Construction'!D67/4+H67/100*'UK Construction'!D67/4</f>
        <v>1577899.9999999998</v>
      </c>
      <c r="K67" s="8">
        <f>J67/'UK Construction'!D67*100</f>
        <v>82.73753811385258</v>
      </c>
      <c r="L67" s="8">
        <f>'UK Construction'!H67</f>
        <v>82.737538113852594</v>
      </c>
      <c r="M67" s="8">
        <f t="shared" si="9"/>
        <v>0</v>
      </c>
    </row>
    <row r="68" spans="1:13" x14ac:dyDescent="0.35">
      <c r="A68" t="str">
        <f>'UK Construction'!A68</f>
        <v>2015-Q3</v>
      </c>
      <c r="B68" s="8">
        <f>'UK Construction'!E68-'UK Construction'!F68</f>
        <v>1.5619959388001163</v>
      </c>
      <c r="C68" s="8">
        <f>'UK Construction'!J68</f>
        <v>3.3657120834349263</v>
      </c>
      <c r="D68" s="8">
        <f t="shared" si="5"/>
        <v>4.0679383991380949</v>
      </c>
      <c r="E68" s="8">
        <f>100*('UK Construction'!D68/'UK Construction'!D67-1)</f>
        <v>0.44963203582375488</v>
      </c>
      <c r="F68" s="8">
        <f>'UK Construction'!H67</f>
        <v>82.737538113852594</v>
      </c>
      <c r="G68" s="8">
        <f t="shared" si="6"/>
        <v>0.46731235777902541</v>
      </c>
      <c r="H68" s="8">
        <f t="shared" si="7"/>
        <v>-0.61935908210616386</v>
      </c>
      <c r="I68" s="8">
        <f t="shared" si="8"/>
        <v>82.659511716405049</v>
      </c>
      <c r="J68" s="7">
        <f>(1+D68/400)*(F68/100*'UK Construction'!D67)-B68/100*'UK Construction'!D68/4+H68/100*'UK Construction'!D68/4</f>
        <v>1583500</v>
      </c>
      <c r="K68" s="8">
        <f>J68/'UK Construction'!D68*100</f>
        <v>82.659511716405049</v>
      </c>
      <c r="L68" s="8">
        <f>'UK Construction'!H68</f>
        <v>82.659511716405049</v>
      </c>
      <c r="M68" s="8">
        <f t="shared" si="9"/>
        <v>0</v>
      </c>
    </row>
    <row r="69" spans="1:13" x14ac:dyDescent="0.35">
      <c r="A69" t="str">
        <f>'UK Construction'!A69</f>
        <v>2015-Q4</v>
      </c>
      <c r="B69" s="8">
        <f>'UK Construction'!E69-'UK Construction'!F69</f>
        <v>1.7764375399374259</v>
      </c>
      <c r="C69" s="8">
        <f>'UK Construction'!J69</f>
        <v>3.5838783936858256</v>
      </c>
      <c r="D69" s="8">
        <f t="shared" si="5"/>
        <v>4.3357120303125987</v>
      </c>
      <c r="E69" s="8">
        <f>100*('UK Construction'!D69/'UK Construction'!D68-1)</f>
        <v>0.64342351841895074</v>
      </c>
      <c r="F69" s="8">
        <f>'UK Construction'!H68</f>
        <v>82.659511716405049</v>
      </c>
      <c r="G69" s="8">
        <f t="shared" si="6"/>
        <v>0.36179101137313191</v>
      </c>
      <c r="H69" s="8">
        <f t="shared" si="7"/>
        <v>2.2403341051112093</v>
      </c>
      <c r="I69" s="8">
        <f t="shared" si="8"/>
        <v>83.137276869071641</v>
      </c>
      <c r="J69" s="7">
        <f>(1+D69/400)*(F69/100*'UK Construction'!D68)-B69/100*'UK Construction'!D69/4+H69/100*'UK Construction'!D69/4</f>
        <v>1602900.0000000002</v>
      </c>
      <c r="K69" s="8">
        <f>J69/'UK Construction'!D69*100</f>
        <v>83.137276869071641</v>
      </c>
      <c r="L69" s="8">
        <f>'UK Construction'!H69</f>
        <v>83.137276869071627</v>
      </c>
      <c r="M69" s="8">
        <f t="shared" si="9"/>
        <v>0</v>
      </c>
    </row>
    <row r="70" spans="1:13" x14ac:dyDescent="0.35">
      <c r="A70" t="str">
        <f>'UK Construction'!A70</f>
        <v>2016-Q1</v>
      </c>
      <c r="B70" s="8">
        <f>'UK Construction'!E70-'UK Construction'!F70</f>
        <v>2.1649875118652702</v>
      </c>
      <c r="C70" s="8">
        <f>'UK Construction'!J70</f>
        <v>3.1136671064970414</v>
      </c>
      <c r="D70" s="8">
        <f t="shared" ref="D70:D101" si="10">C70*100/F70</f>
        <v>3.7452118036059643</v>
      </c>
      <c r="E70" s="8">
        <f>100*('UK Construction'!D70/'UK Construction'!D69-1)</f>
        <v>0.75870739661911824</v>
      </c>
      <c r="F70" s="8">
        <f>'UK Construction'!H69</f>
        <v>83.137276869071627</v>
      </c>
      <c r="G70" s="8">
        <f t="shared" ref="G70:G101" si="11">((1+D70/400)/(1+E70/100)-1)*F70</f>
        <v>0.14653632572887676</v>
      </c>
      <c r="H70" s="8">
        <f t="shared" ref="H70:H101" si="12">4*(L70-F70-G70+B70/4)</f>
        <v>-2.5518828977415096</v>
      </c>
      <c r="I70" s="8">
        <f t="shared" ref="I70:I101" si="13">F70*(1+D70/400)/(1+E70/100)-B70/4+H70/4</f>
        <v>82.104595592398809</v>
      </c>
      <c r="J70" s="7">
        <f>(1+D70/400)*(F70/100*'UK Construction'!D69)-B70/100*'UK Construction'!D70/4+H70/100*'UK Construction'!D70/4</f>
        <v>1594999.9999999998</v>
      </c>
      <c r="K70" s="8">
        <f>J70/'UK Construction'!D70*100</f>
        <v>82.104595592398795</v>
      </c>
      <c r="L70" s="8">
        <f>'UK Construction'!H70</f>
        <v>82.104595592398809</v>
      </c>
      <c r="M70" s="8">
        <f t="shared" ref="M70:M101" si="14">I70-L70</f>
        <v>0</v>
      </c>
    </row>
    <row r="71" spans="1:13" x14ac:dyDescent="0.35">
      <c r="A71" t="str">
        <f>'UK Construction'!A71</f>
        <v>2016-Q2</v>
      </c>
      <c r="B71" s="8">
        <f>'UK Construction'!E71-'UK Construction'!F71</f>
        <v>2.3326317464819439</v>
      </c>
      <c r="C71" s="8">
        <f>'UK Construction'!J71</f>
        <v>3.8899561628378643</v>
      </c>
      <c r="D71" s="8">
        <f t="shared" si="10"/>
        <v>4.7378056426332291</v>
      </c>
      <c r="E71" s="8">
        <f>100*('UK Construction'!D71/'UK Construction'!D70-1)</f>
        <v>0.90979098589345497</v>
      </c>
      <c r="F71" s="8">
        <f>'UK Construction'!H70</f>
        <v>82.104595592398809</v>
      </c>
      <c r="G71" s="8">
        <f t="shared" si="11"/>
        <v>0.22347566950868708</v>
      </c>
      <c r="H71" s="8">
        <f t="shared" si="12"/>
        <v>3.5789601483025075</v>
      </c>
      <c r="I71" s="8">
        <f t="shared" si="13"/>
        <v>82.639653362362637</v>
      </c>
      <c r="J71" s="7">
        <f>(1+D71/400)*(F71/100*'UK Construction'!D70)-B71/100*'UK Construction'!D71/4+H71/100*'UK Construction'!D71/4</f>
        <v>1620000.0000000002</v>
      </c>
      <c r="K71" s="8">
        <f>J71/'UK Construction'!D71*100</f>
        <v>82.639653362362651</v>
      </c>
      <c r="L71" s="8">
        <f>'UK Construction'!H71</f>
        <v>82.639653362362637</v>
      </c>
      <c r="M71" s="8">
        <f t="shared" si="14"/>
        <v>0</v>
      </c>
    </row>
    <row r="72" spans="1:13" x14ac:dyDescent="0.35">
      <c r="A72" t="str">
        <f>'UK Construction'!A72</f>
        <v>2016-Q3</v>
      </c>
      <c r="B72" s="8">
        <f>'UK Construction'!E72-'UK Construction'!F72</f>
        <v>2.5649331155736093</v>
      </c>
      <c r="C72" s="8">
        <f>'UK Construction'!J72</f>
        <v>3.5477917358306148</v>
      </c>
      <c r="D72" s="8">
        <f t="shared" si="10"/>
        <v>4.2930864197530862</v>
      </c>
      <c r="E72" s="8">
        <f>100*('UK Construction'!D72/'UK Construction'!D71-1)</f>
        <v>1.1060960517630392</v>
      </c>
      <c r="F72" s="8">
        <f>'UK Construction'!H71</f>
        <v>82.639653362362637</v>
      </c>
      <c r="G72" s="8">
        <f t="shared" si="11"/>
        <v>-2.6829251779456713E-2</v>
      </c>
      <c r="H72" s="8">
        <f t="shared" si="12"/>
        <v>0.81175539265627927</v>
      </c>
      <c r="I72" s="8">
        <f t="shared" si="13"/>
        <v>82.174529679853848</v>
      </c>
      <c r="J72" s="7">
        <f>(1+D72/400)*(F72/100*'UK Construction'!D71)-B72/100*'UK Construction'!D72/4+H72/100*'UK Construction'!D72/4</f>
        <v>1628700</v>
      </c>
      <c r="K72" s="8">
        <f>J72/'UK Construction'!D72*100</f>
        <v>82.174529679853848</v>
      </c>
      <c r="L72" s="8">
        <f>'UK Construction'!H72</f>
        <v>82.174529679853848</v>
      </c>
      <c r="M72" s="8">
        <f t="shared" si="14"/>
        <v>0</v>
      </c>
    </row>
    <row r="73" spans="1:13" x14ac:dyDescent="0.35">
      <c r="A73" t="str">
        <f>'UK Construction'!A73</f>
        <v>2016-Q4</v>
      </c>
      <c r="B73" s="8">
        <f>'UK Construction'!E73-'UK Construction'!F73</f>
        <v>2.9068888717075083</v>
      </c>
      <c r="C73" s="8">
        <f>'UK Construction'!J73</f>
        <v>3.4563050170004965</v>
      </c>
      <c r="D73" s="8">
        <f t="shared" si="10"/>
        <v>4.2060539080248054</v>
      </c>
      <c r="E73" s="8">
        <f>100*('UK Construction'!D73/'UK Construction'!D72-1)</f>
        <v>1.1480317113866212</v>
      </c>
      <c r="F73" s="8">
        <f>'UK Construction'!H72</f>
        <v>82.174529679853848</v>
      </c>
      <c r="G73" s="8">
        <f t="shared" si="11"/>
        <v>-7.8413196792322309E-2</v>
      </c>
      <c r="H73" s="8">
        <f t="shared" si="12"/>
        <v>11.840449331713828</v>
      </c>
      <c r="I73" s="8">
        <f t="shared" si="13"/>
        <v>84.329506598063105</v>
      </c>
      <c r="J73" s="7">
        <f>(1+D73/400)*(F73/100*'UK Construction'!D72)-B73/100*'UK Construction'!D73/4+H73/100*'UK Construction'!D73/4</f>
        <v>1690600</v>
      </c>
      <c r="K73" s="8">
        <f>J73/'UK Construction'!D73*100</f>
        <v>84.329506598063105</v>
      </c>
      <c r="L73" s="8">
        <f>'UK Construction'!H73</f>
        <v>84.329506598063105</v>
      </c>
      <c r="M73" s="8">
        <f t="shared" si="14"/>
        <v>0</v>
      </c>
    </row>
    <row r="74" spans="1:13" x14ac:dyDescent="0.35">
      <c r="A74" t="str">
        <f>'UK Construction'!A74</f>
        <v>2017-Q1</v>
      </c>
      <c r="B74" s="8">
        <f>'UK Construction'!E74-'UK Construction'!F74</f>
        <v>3.5742777359211999</v>
      </c>
      <c r="C74" s="8">
        <f>'UK Construction'!J74</f>
        <v>3.0792790141438728</v>
      </c>
      <c r="D74" s="8">
        <f t="shared" si="10"/>
        <v>3.651484679995268</v>
      </c>
      <c r="E74" s="8">
        <f>100*('UK Construction'!D74/'UK Construction'!D73-1)</f>
        <v>1.2301752583233405</v>
      </c>
      <c r="F74" s="8">
        <f>'UK Construction'!H73</f>
        <v>84.329506598063105</v>
      </c>
      <c r="G74" s="8">
        <f t="shared" si="11"/>
        <v>-0.26432925895538456</v>
      </c>
      <c r="H74" s="8">
        <f t="shared" si="12"/>
        <v>5.2431314017770037</v>
      </c>
      <c r="I74" s="8">
        <f t="shared" si="13"/>
        <v>84.482390755571672</v>
      </c>
      <c r="J74" s="7">
        <f>(1+D74/400)*(F74/100*'UK Construction'!D73)-B74/100*'UK Construction'!D74/4+H74/100*'UK Construction'!D74/4</f>
        <v>1714500</v>
      </c>
      <c r="K74" s="8">
        <f>J74/'UK Construction'!D74*100</f>
        <v>84.482390755571686</v>
      </c>
      <c r="L74" s="8">
        <f>'UK Construction'!H74</f>
        <v>84.482390755571672</v>
      </c>
      <c r="M74" s="8">
        <f t="shared" si="14"/>
        <v>0</v>
      </c>
    </row>
    <row r="75" spans="1:13" x14ac:dyDescent="0.35">
      <c r="A75" t="str">
        <f>'UK Construction'!A75</f>
        <v>2017-Q2</v>
      </c>
      <c r="B75" s="8">
        <f>'UK Construction'!E75-'UK Construction'!F75</f>
        <v>3.7017941291455543</v>
      </c>
      <c r="C75" s="8">
        <f>'UK Construction'!J75</f>
        <v>4.183861670617719</v>
      </c>
      <c r="D75" s="8">
        <f t="shared" si="10"/>
        <v>4.9523476232137646</v>
      </c>
      <c r="E75" s="8">
        <f>100*('UK Construction'!D75/'UK Construction'!D74-1)</f>
        <v>1.2101997765860739</v>
      </c>
      <c r="F75" s="8">
        <f>'UK Construction'!H74</f>
        <v>84.482390755571672</v>
      </c>
      <c r="G75" s="8">
        <f t="shared" si="11"/>
        <v>2.3278003134005906E-2</v>
      </c>
      <c r="H75" s="8">
        <f t="shared" si="12"/>
        <v>6.5008517622154489</v>
      </c>
      <c r="I75" s="8">
        <f t="shared" si="13"/>
        <v>85.205433166973165</v>
      </c>
      <c r="J75" s="7">
        <f>(1+D75/400)*(F75/100*'UK Construction'!D74)-B75/100*'UK Construction'!D75/4+H75/100*'UK Construction'!D75/4</f>
        <v>1750100</v>
      </c>
      <c r="K75" s="8">
        <f>J75/'UK Construction'!D75*100</f>
        <v>85.205433166973137</v>
      </c>
      <c r="L75" s="8">
        <f>'UK Construction'!H75</f>
        <v>85.205433166973151</v>
      </c>
      <c r="M75" s="8">
        <f t="shared" si="14"/>
        <v>0</v>
      </c>
    </row>
    <row r="76" spans="1:13" x14ac:dyDescent="0.35">
      <c r="A76" t="str">
        <f>'UK Construction'!A76</f>
        <v>2017-Q3</v>
      </c>
      <c r="B76" s="8">
        <f>'UK Construction'!E76-'UK Construction'!F76</f>
        <v>3.8798610927020647</v>
      </c>
      <c r="C76" s="8">
        <f>'UK Construction'!J76</f>
        <v>3.4218494170090521</v>
      </c>
      <c r="D76" s="8">
        <f t="shared" si="10"/>
        <v>4.015999085766528</v>
      </c>
      <c r="E76" s="8">
        <f>100*('UK Construction'!D76/'UK Construction'!D75-1)</f>
        <v>1.0120853349380177</v>
      </c>
      <c r="F76" s="8">
        <f>'UK Construction'!H75</f>
        <v>85.205433166973151</v>
      </c>
      <c r="G76" s="8">
        <f t="shared" si="11"/>
        <v>-6.8203120232971969E-3</v>
      </c>
      <c r="H76" s="8">
        <f t="shared" si="12"/>
        <v>5.0036510158981358</v>
      </c>
      <c r="I76" s="8">
        <f t="shared" si="13"/>
        <v>85.479560335748872</v>
      </c>
      <c r="J76" s="7">
        <f>(1+D76/400)*(F76/100*'UK Construction'!D75)-B76/100*'UK Construction'!D76/4+H76/100*'UK Construction'!D76/4</f>
        <v>1773500</v>
      </c>
      <c r="K76" s="8">
        <f>J76/'UK Construction'!D76*100</f>
        <v>85.479560335748872</v>
      </c>
      <c r="L76" s="8">
        <f>'UK Construction'!H76</f>
        <v>85.479560335748872</v>
      </c>
      <c r="M76" s="8">
        <f t="shared" si="14"/>
        <v>0</v>
      </c>
    </row>
    <row r="77" spans="1:13" x14ac:dyDescent="0.35">
      <c r="A77" t="str">
        <f>'UK Construction'!A77</f>
        <v>2017-Q4</v>
      </c>
      <c r="B77" s="8">
        <f>'UK Construction'!E77-'UK Construction'!F77</f>
        <v>4.0196984391733466</v>
      </c>
      <c r="C77" s="8">
        <f>'UK Construction'!J77</f>
        <v>3.6349176894732658</v>
      </c>
      <c r="D77" s="8">
        <f t="shared" si="10"/>
        <v>4.252382294897096</v>
      </c>
      <c r="E77" s="8">
        <f>100*('UK Construction'!D77/'UK Construction'!D76-1)</f>
        <v>1.0823876439018498</v>
      </c>
      <c r="F77" s="8">
        <f>'UK Construction'!H76</f>
        <v>85.479560335748872</v>
      </c>
      <c r="G77" s="8">
        <f t="shared" si="11"/>
        <v>-1.6314193947949918E-2</v>
      </c>
      <c r="H77" s="8">
        <f t="shared" si="12"/>
        <v>-5.0883502080371148</v>
      </c>
      <c r="I77" s="8">
        <f t="shared" si="13"/>
        <v>83.186233979998306</v>
      </c>
      <c r="J77" s="7">
        <f>(1+D77/400)*(F77/100*'UK Construction'!D76)-B77/100*'UK Construction'!D77/4+H77/100*'UK Construction'!D77/4</f>
        <v>1744600.0000000002</v>
      </c>
      <c r="K77" s="8">
        <f>J77/'UK Construction'!D77*100</f>
        <v>83.18623397999832</v>
      </c>
      <c r="L77" s="8">
        <f>'UK Construction'!H77</f>
        <v>83.186233979998306</v>
      </c>
      <c r="M77" s="8">
        <f t="shared" si="14"/>
        <v>0</v>
      </c>
    </row>
    <row r="78" spans="1:13" x14ac:dyDescent="0.35">
      <c r="A78" t="str">
        <f>'UK Construction'!A78</f>
        <v>2018-Q1</v>
      </c>
      <c r="B78" s="8">
        <f>'UK Construction'!E78-'UK Construction'!F78</f>
        <v>3.6336704208211543</v>
      </c>
      <c r="C78" s="8">
        <f>'UK Construction'!J78</f>
        <v>2.9690705132789947</v>
      </c>
      <c r="D78" s="8">
        <f t="shared" si="10"/>
        <v>3.5691849134472085</v>
      </c>
      <c r="E78" s="8">
        <f>100*('UK Construction'!D78/'UK Construction'!D77-1)</f>
        <v>0.85145969286990475</v>
      </c>
      <c r="F78" s="8">
        <f>'UK Construction'!H77</f>
        <v>83.186233979998306</v>
      </c>
      <c r="G78" s="8">
        <f t="shared" si="11"/>
        <v>3.368357390866155E-2</v>
      </c>
      <c r="H78" s="8">
        <f t="shared" si="12"/>
        <v>3.1860275668190114</v>
      </c>
      <c r="I78" s="8">
        <f t="shared" si="13"/>
        <v>83.108006840406432</v>
      </c>
      <c r="J78" s="7">
        <f>(1+D78/400)*(F78/100*'UK Construction'!D77)-B78/100*'UK Construction'!D78/4+H78/100*'UK Construction'!D78/4</f>
        <v>1757800</v>
      </c>
      <c r="K78" s="8">
        <f>J78/'UK Construction'!D78*100</f>
        <v>83.108006840406432</v>
      </c>
      <c r="L78" s="8">
        <f>'UK Construction'!H78</f>
        <v>83.108006840406432</v>
      </c>
      <c r="M78" s="8">
        <f t="shared" si="14"/>
        <v>0</v>
      </c>
    </row>
    <row r="79" spans="1:13" x14ac:dyDescent="0.35">
      <c r="A79" t="str">
        <f>'UK Construction'!A79</f>
        <v>2018-Q2</v>
      </c>
      <c r="B79" s="8">
        <f>'UK Construction'!E79-'UK Construction'!F79</f>
        <v>3.7321559267204023</v>
      </c>
      <c r="C79" s="8">
        <f>'UK Construction'!J79</f>
        <v>3.6721087013771112</v>
      </c>
      <c r="D79" s="8">
        <f t="shared" si="10"/>
        <v>4.4184776425076802</v>
      </c>
      <c r="E79" s="8">
        <f>100*('UK Construction'!D79/'UK Construction'!D78-1)</f>
        <v>0.90318139417013832</v>
      </c>
      <c r="F79" s="8">
        <f>'UK Construction'!H78</f>
        <v>83.108006840406432</v>
      </c>
      <c r="G79" s="8">
        <f t="shared" si="11"/>
        <v>0.16591262850484792</v>
      </c>
      <c r="H79" s="8">
        <f t="shared" si="12"/>
        <v>4.2350183817500051</v>
      </c>
      <c r="I79" s="8">
        <f t="shared" si="13"/>
        <v>83.399635082668681</v>
      </c>
      <c r="J79" s="7">
        <f>(1+D79/400)*(F79/100*'UK Construction'!D78)-B79/100*'UK Construction'!D79/4+H79/100*'UK Construction'!D79/4</f>
        <v>1779900</v>
      </c>
      <c r="K79" s="8">
        <f>J79/'UK Construction'!D79*100</f>
        <v>83.399635082668681</v>
      </c>
      <c r="L79" s="8">
        <f>'UK Construction'!H79</f>
        <v>83.399635082668681</v>
      </c>
      <c r="M79" s="8">
        <f t="shared" si="14"/>
        <v>0</v>
      </c>
    </row>
    <row r="80" spans="1:13" x14ac:dyDescent="0.35">
      <c r="A80" t="str">
        <f>'UK Construction'!A80</f>
        <v>2018-Q3</v>
      </c>
      <c r="B80" s="8">
        <f>'UK Construction'!E80-'UK Construction'!F80</f>
        <v>3.7947600503393133</v>
      </c>
      <c r="C80" s="8">
        <f>'UK Construction'!J80</f>
        <v>3.2701990739309021</v>
      </c>
      <c r="D80" s="8">
        <f t="shared" si="10"/>
        <v>3.9211191639979774</v>
      </c>
      <c r="E80" s="8">
        <f>100*('UK Construction'!D80/'UK Construction'!D79-1)</f>
        <v>0.93708034272614871</v>
      </c>
      <c r="F80" s="8">
        <f>'UK Construction'!H79</f>
        <v>83.399635082668681</v>
      </c>
      <c r="G80" s="8">
        <f t="shared" si="11"/>
        <v>3.5693703538254747E-2</v>
      </c>
      <c r="H80" s="8">
        <f t="shared" si="12"/>
        <v>-0.22495788422612595</v>
      </c>
      <c r="I80" s="8">
        <f t="shared" si="13"/>
        <v>82.430399302565576</v>
      </c>
      <c r="J80" s="7">
        <f>(1+D80/400)*(F80/100*'UK Construction'!D79)-B80/100*'UK Construction'!D80/4+H80/100*'UK Construction'!D80/4</f>
        <v>1775700</v>
      </c>
      <c r="K80" s="8">
        <f>J80/'UK Construction'!D80*100</f>
        <v>82.430399302565576</v>
      </c>
      <c r="L80" s="8">
        <f>'UK Construction'!H80</f>
        <v>82.430399302565576</v>
      </c>
      <c r="M80" s="8">
        <f t="shared" si="14"/>
        <v>0</v>
      </c>
    </row>
    <row r="81" spans="1:13" x14ac:dyDescent="0.35">
      <c r="A81" t="str">
        <f>'UK Construction'!A81</f>
        <v>2018-Q4</v>
      </c>
      <c r="B81" s="8">
        <f>'UK Construction'!E81-'UK Construction'!F81</f>
        <v>3.722532982064962</v>
      </c>
      <c r="C81" s="8">
        <f>'UK Construction'!J81</f>
        <v>3.5833572016464732</v>
      </c>
      <c r="D81" s="8">
        <f t="shared" si="10"/>
        <v>4.3471307090161631</v>
      </c>
      <c r="E81" s="8">
        <f>100*('UK Construction'!D81/'UK Construction'!D80-1)</f>
        <v>0.80671029964520802</v>
      </c>
      <c r="F81" s="8">
        <f>'UK Construction'!H80</f>
        <v>82.430399302565576</v>
      </c>
      <c r="G81" s="8">
        <f t="shared" si="11"/>
        <v>0.2290172732677265</v>
      </c>
      <c r="H81" s="8">
        <f t="shared" si="12"/>
        <v>4.3860194450162275</v>
      </c>
      <c r="I81" s="8">
        <f t="shared" si="13"/>
        <v>82.825288191571133</v>
      </c>
      <c r="J81" s="7">
        <f>(1+D81/400)*(F81/100*'UK Construction'!D80)-B81/100*'UK Construction'!D81/4+H81/100*'UK Construction'!D81/4</f>
        <v>1798600</v>
      </c>
      <c r="K81" s="8">
        <f>J81/'UK Construction'!D81*100</f>
        <v>82.825288191571119</v>
      </c>
      <c r="L81" s="8">
        <f>'UK Construction'!H81</f>
        <v>82.825288191571119</v>
      </c>
      <c r="M81" s="8">
        <f t="shared" si="14"/>
        <v>0</v>
      </c>
    </row>
    <row r="82" spans="1:13" x14ac:dyDescent="0.35">
      <c r="A82" t="str">
        <f>'UK Construction'!A82</f>
        <v>2019-Q1</v>
      </c>
      <c r="B82" s="8">
        <f>'UK Construction'!E82-'UK Construction'!F82</f>
        <v>3.9078150823144853</v>
      </c>
      <c r="C82" s="8">
        <f>'UK Construction'!J82</f>
        <v>2.4034345831727344</v>
      </c>
      <c r="D82" s="8">
        <f t="shared" si="10"/>
        <v>2.9018125208495498</v>
      </c>
      <c r="E82" s="8">
        <f>100*('UK Construction'!D82/'UK Construction'!D81-1)</f>
        <v>0.86670451965615847</v>
      </c>
      <c r="F82" s="8">
        <f>'UK Construction'!H81</f>
        <v>82.825288191571119</v>
      </c>
      <c r="G82" s="8">
        <f t="shared" si="11"/>
        <v>-0.11598660919728378</v>
      </c>
      <c r="H82" s="8">
        <f t="shared" si="12"/>
        <v>-2.6021055707228919</v>
      </c>
      <c r="I82" s="8">
        <f t="shared" si="13"/>
        <v>81.081821419114505</v>
      </c>
      <c r="J82" s="7">
        <f>(1+D82/400)*(F82/100*'UK Construction'!D81)-B82/100*'UK Construction'!D82/4+H82/100*'UK Construction'!D82/4</f>
        <v>1776000.0000000002</v>
      </c>
      <c r="K82" s="8">
        <f>J82/'UK Construction'!D82*100</f>
        <v>81.08182141911449</v>
      </c>
      <c r="L82" s="8">
        <f>'UK Construction'!H82</f>
        <v>81.08182141911449</v>
      </c>
      <c r="M82" s="8">
        <f t="shared" si="14"/>
        <v>0</v>
      </c>
    </row>
    <row r="83" spans="1:13" x14ac:dyDescent="0.35">
      <c r="A83" t="str">
        <f>'UK Construction'!A83</f>
        <v>2019-Q2</v>
      </c>
      <c r="B83" s="8">
        <f>'UK Construction'!E83-'UK Construction'!F83</f>
        <v>3.7825423765615298</v>
      </c>
      <c r="C83" s="8">
        <f>'UK Construction'!J83</f>
        <v>3.9461645924451467</v>
      </c>
      <c r="D83" s="8">
        <f t="shared" si="10"/>
        <v>4.8668918918918918</v>
      </c>
      <c r="E83" s="8">
        <f>100*('UK Construction'!D83/'UK Construction'!D82-1)</f>
        <v>0.92568412786822041</v>
      </c>
      <c r="F83" s="8">
        <f>'UK Construction'!H82</f>
        <v>81.08182141911449</v>
      </c>
      <c r="G83" s="8">
        <f t="shared" si="11"/>
        <v>0.23381520639395312</v>
      </c>
      <c r="H83" s="8">
        <f t="shared" si="12"/>
        <v>5.7893674999638209</v>
      </c>
      <c r="I83" s="8">
        <f t="shared" si="13"/>
        <v>81.817342906359016</v>
      </c>
      <c r="J83" s="7">
        <f>(1+D83/400)*(F83/100*'UK Construction'!D82)-B83/100*'UK Construction'!D83/4+H83/100*'UK Construction'!D83/4</f>
        <v>1808699.9999999998</v>
      </c>
      <c r="K83" s="8">
        <f>J83/'UK Construction'!D83*100</f>
        <v>81.817342906359002</v>
      </c>
      <c r="L83" s="8">
        <f>'UK Construction'!H83</f>
        <v>81.817342906359016</v>
      </c>
      <c r="M83" s="8">
        <f t="shared" si="14"/>
        <v>0</v>
      </c>
    </row>
    <row r="84" spans="1:13" x14ac:dyDescent="0.35">
      <c r="A84" t="str">
        <f>'UK Construction'!A84</f>
        <v>2019-Q3</v>
      </c>
      <c r="B84" s="8">
        <f>'UK Construction'!E84-'UK Construction'!F84</f>
        <v>3.6492133489957439</v>
      </c>
      <c r="C84" s="8">
        <f>'UK Construction'!J84</f>
        <v>2.7647901799284922</v>
      </c>
      <c r="D84" s="8">
        <f t="shared" si="10"/>
        <v>3.3792226460994086</v>
      </c>
      <c r="E84" s="8">
        <f>100*('UK Construction'!D84/'UK Construction'!D83-1)</f>
        <v>1.0083432248165325</v>
      </c>
      <c r="F84" s="8">
        <f>'UK Construction'!H83</f>
        <v>81.817342906359016</v>
      </c>
      <c r="G84" s="8">
        <f t="shared" si="11"/>
        <v>-0.13246637323933774</v>
      </c>
      <c r="H84" s="8">
        <f t="shared" si="12"/>
        <v>0.78662861232268222</v>
      </c>
      <c r="I84" s="8">
        <f t="shared" si="13"/>
        <v>80.969230348951399</v>
      </c>
      <c r="J84" s="7">
        <f>(1+D84/400)*(F84/100*'UK Construction'!D83)-B84/100*'UK Construction'!D84/4+H84/100*'UK Construction'!D84/4</f>
        <v>1808000.0000000002</v>
      </c>
      <c r="K84" s="8">
        <f>J84/'UK Construction'!D84*100</f>
        <v>80.969230348951413</v>
      </c>
      <c r="L84" s="8">
        <f>'UK Construction'!H84</f>
        <v>80.969230348951413</v>
      </c>
      <c r="M84" s="8">
        <f t="shared" si="14"/>
        <v>0</v>
      </c>
    </row>
    <row r="85" spans="1:13" x14ac:dyDescent="0.35">
      <c r="A85" t="str">
        <f>'UK Construction'!A85</f>
        <v>2019-Q4</v>
      </c>
      <c r="B85" s="8">
        <f>'UK Construction'!E85-'UK Construction'!F85</f>
        <v>3.3850563769190813</v>
      </c>
      <c r="C85" s="8">
        <f>'UK Construction'!J85</f>
        <v>2.8960830686980032</v>
      </c>
      <c r="D85" s="8">
        <f t="shared" si="10"/>
        <v>3.5767699115044249</v>
      </c>
      <c r="E85" s="8">
        <f>100*('UK Construction'!D85/'UK Construction'!D84-1)</f>
        <v>0.89630430099774117</v>
      </c>
      <c r="F85" s="8">
        <f>'UK Construction'!H84</f>
        <v>80.969230348951413</v>
      </c>
      <c r="G85" s="8">
        <f t="shared" si="11"/>
        <v>-1.6947369279505199E-3</v>
      </c>
      <c r="H85" s="8">
        <f t="shared" si="12"/>
        <v>5.7522522582503735</v>
      </c>
      <c r="I85" s="8">
        <f t="shared" si="13"/>
        <v>81.5593345823563</v>
      </c>
      <c r="J85" s="7">
        <f>(1+D85/400)*(F85/100*'UK Construction'!D84)-B85/100*'UK Construction'!D85/4+H85/100*'UK Construction'!D85/4</f>
        <v>1837500</v>
      </c>
      <c r="K85" s="8">
        <f>J85/'UK Construction'!D85*100</f>
        <v>81.559334582356286</v>
      </c>
      <c r="L85" s="8">
        <f>'UK Construction'!H85</f>
        <v>81.559334582356286</v>
      </c>
      <c r="M85" s="8">
        <f t="shared" si="14"/>
        <v>0</v>
      </c>
    </row>
    <row r="86" spans="1:13" x14ac:dyDescent="0.35">
      <c r="A86" t="str">
        <f>'UK Construction'!A86</f>
        <v>2020-Q1</v>
      </c>
      <c r="B86" s="8">
        <f>'UK Construction'!E86-'UK Construction'!F86</f>
        <v>3.05799564459236</v>
      </c>
      <c r="C86" s="8">
        <f>'UK Construction'!J86</f>
        <v>2.4644900644085719</v>
      </c>
      <c r="D86" s="8">
        <f t="shared" si="10"/>
        <v>3.0217142857142858</v>
      </c>
      <c r="E86" s="8">
        <f>100*('UK Construction'!D86/'UK Construction'!D85-1)</f>
        <v>0.23884124048307864</v>
      </c>
      <c r="F86" s="8">
        <f>'UK Construction'!H85</f>
        <v>81.559334582356286</v>
      </c>
      <c r="G86" s="8">
        <f t="shared" si="11"/>
        <v>0.42032128907505534</v>
      </c>
      <c r="H86" s="8">
        <f t="shared" si="12"/>
        <v>-3.2441499117494406</v>
      </c>
      <c r="I86" s="8">
        <f t="shared" si="13"/>
        <v>80.404119482345877</v>
      </c>
      <c r="J86" s="7">
        <f>(1+D86/400)*(F86/100*'UK Construction'!D85)-B86/100*'UK Construction'!D86/4+H86/100*'UK Construction'!D86/4</f>
        <v>1815799.9999999998</v>
      </c>
      <c r="K86" s="8">
        <f>J86/'UK Construction'!D86*100</f>
        <v>80.404119482345891</v>
      </c>
      <c r="L86" s="8">
        <f>'UK Construction'!H86</f>
        <v>80.404119482345891</v>
      </c>
      <c r="M86" s="8">
        <f t="shared" si="14"/>
        <v>0</v>
      </c>
    </row>
    <row r="87" spans="1:13" x14ac:dyDescent="0.35">
      <c r="A87" t="str">
        <f>'UK Construction'!A87</f>
        <v>2020-Q2</v>
      </c>
      <c r="B87" s="8">
        <f>'UK Construction'!E87-'UK Construction'!F87</f>
        <v>-2.0949942485313784</v>
      </c>
      <c r="C87" s="8">
        <f>'UK Construction'!J87</f>
        <v>2.6720487862334399</v>
      </c>
      <c r="D87" s="8">
        <f t="shared" si="10"/>
        <v>3.3232734882696326</v>
      </c>
      <c r="E87" s="8">
        <f>100*('UK Construction'!D87/'UK Construction'!D86-1)</f>
        <v>-3.5321488065138018</v>
      </c>
      <c r="F87" s="8">
        <f>'UK Construction'!H86</f>
        <v>80.404119482345891</v>
      </c>
      <c r="G87" s="8">
        <f t="shared" si="11"/>
        <v>3.6364501746866345</v>
      </c>
      <c r="H87" s="8">
        <f t="shared" si="12"/>
        <v>33.435403158212701</v>
      </c>
      <c r="I87" s="8">
        <f t="shared" si="13"/>
        <v>92.923169008718531</v>
      </c>
      <c r="J87" s="7">
        <f>(1+D87/400)*(F87/100*'UK Construction'!D86)-B87/100*'UK Construction'!D87/4+H87/100*'UK Construction'!D87/4</f>
        <v>2024399.9999999998</v>
      </c>
      <c r="K87" s="8">
        <f>J87/'UK Construction'!D87*100</f>
        <v>92.923169008718531</v>
      </c>
      <c r="L87" s="8">
        <f>'UK Construction'!H87</f>
        <v>92.923169008718546</v>
      </c>
      <c r="M87" s="8">
        <f t="shared" si="14"/>
        <v>0</v>
      </c>
    </row>
    <row r="88" spans="1:13" x14ac:dyDescent="0.35">
      <c r="A88" t="str">
        <f>'UK Construction'!A88</f>
        <v>2020-Q3</v>
      </c>
      <c r="B88" s="8">
        <f>'UK Construction'!E88-'UK Construction'!F88</f>
        <v>-4.9722930016240241</v>
      </c>
      <c r="C88" s="8">
        <f>'UK Construction'!J88</f>
        <v>2.5550658366436023</v>
      </c>
      <c r="D88" s="8">
        <f t="shared" si="10"/>
        <v>2.7496542185338861</v>
      </c>
      <c r="E88" s="8">
        <f>100*('UK Construction'!D88/'UK Construction'!D87-1)</f>
        <v>-1.2454018087060592</v>
      </c>
      <c r="F88" s="8">
        <f>'UK Construction'!H87</f>
        <v>92.923169008718546</v>
      </c>
      <c r="G88" s="8">
        <f t="shared" si="11"/>
        <v>1.8186832001720401</v>
      </c>
      <c r="H88" s="8">
        <f t="shared" si="12"/>
        <v>0.73253194833977897</v>
      </c>
      <c r="I88" s="8">
        <f t="shared" si="13"/>
        <v>96.168058446381536</v>
      </c>
      <c r="J88" s="7">
        <f>(1+D88/400)*(F88/100*'UK Construction'!D87)-B88/100*'UK Construction'!D88/4+H88/100*'UK Construction'!D88/4</f>
        <v>2068999.9999999998</v>
      </c>
      <c r="K88" s="8">
        <f>J88/'UK Construction'!D88*100</f>
        <v>96.168058446381536</v>
      </c>
      <c r="L88" s="8">
        <f>'UK Construction'!H88</f>
        <v>96.168058446381536</v>
      </c>
      <c r="M88" s="8">
        <f t="shared" si="14"/>
        <v>0</v>
      </c>
    </row>
    <row r="89" spans="1:13" x14ac:dyDescent="0.35">
      <c r="A89" t="str">
        <f>'UK Construction'!A89</f>
        <v>2020-Q4</v>
      </c>
      <c r="B89" s="8">
        <f>'UK Construction'!E89-'UK Construction'!F89</f>
        <v>-7.1271979366693046</v>
      </c>
      <c r="C89" s="8">
        <f>'UK Construction'!J89</f>
        <v>2.210982215648853</v>
      </c>
      <c r="D89" s="8">
        <f t="shared" si="10"/>
        <v>2.2990816819719671</v>
      </c>
      <c r="E89" s="8">
        <f>100*('UK Construction'!D89/'UK Construction'!D88-1)</f>
        <v>-1.2420506804273646</v>
      </c>
      <c r="F89" s="8">
        <f>'UK Construction'!H88</f>
        <v>96.168058446381536</v>
      </c>
      <c r="G89" s="8">
        <f t="shared" si="11"/>
        <v>1.7691756362269817</v>
      </c>
      <c r="H89" s="8">
        <f t="shared" si="12"/>
        <v>6.3537313151851045</v>
      </c>
      <c r="I89" s="8">
        <f t="shared" si="13"/>
        <v>101.30746639557212</v>
      </c>
      <c r="J89" s="7">
        <f>(1+D89/400)*(F89/100*'UK Construction'!D88)-B89/100*'UK Construction'!D89/4+H89/100*'UK Construction'!D89/4</f>
        <v>2152500.0000000005</v>
      </c>
      <c r="K89" s="8">
        <f>J89/'UK Construction'!D89*100</f>
        <v>101.30746639557215</v>
      </c>
      <c r="L89" s="8">
        <f>'UK Construction'!H89</f>
        <v>101.30746639557212</v>
      </c>
      <c r="M89" s="8">
        <f t="shared" si="14"/>
        <v>0</v>
      </c>
    </row>
    <row r="90" spans="1:13" x14ac:dyDescent="0.35">
      <c r="A90" t="str">
        <f>'UK Construction'!A90</f>
        <v>2021-Q1</v>
      </c>
      <c r="B90" s="8">
        <f>'UK Construction'!E90-'UK Construction'!F90</f>
        <v>-9.1896074383395927</v>
      </c>
      <c r="C90" s="8">
        <f>'UK Construction'!J90</f>
        <v>2.3146579313980196</v>
      </c>
      <c r="D90" s="8">
        <f t="shared" si="10"/>
        <v>2.2847851335656215</v>
      </c>
      <c r="E90" s="8">
        <f>100*('UK Construction'!D90/'UK Construction'!D89-1)</f>
        <v>-0.67062954177491418</v>
      </c>
      <c r="F90" s="8">
        <f>'UK Construction'!H89</f>
        <v>101.30746639557212</v>
      </c>
      <c r="G90" s="8">
        <f t="shared" si="11"/>
        <v>1.2665561804310317</v>
      </c>
      <c r="H90" s="8">
        <f t="shared" si="12"/>
        <v>-11.027111957472911</v>
      </c>
      <c r="I90" s="8">
        <f t="shared" si="13"/>
        <v>102.11464644621982</v>
      </c>
      <c r="J90" s="7">
        <f>(1+D90/400)*(F90/100*'UK Construction'!D89)-B90/100*'UK Construction'!D90/4+H90/100*'UK Construction'!D90/4</f>
        <v>2155100</v>
      </c>
      <c r="K90" s="8">
        <f>J90/'UK Construction'!D90*100</f>
        <v>102.11464644621981</v>
      </c>
      <c r="L90" s="8">
        <f>'UK Construction'!H90</f>
        <v>102.11464644621982</v>
      </c>
      <c r="M90" s="8">
        <f t="shared" si="14"/>
        <v>0</v>
      </c>
    </row>
    <row r="91" spans="1:13" x14ac:dyDescent="0.35">
      <c r="A91" t="str">
        <f>'UK Construction'!A91</f>
        <v>2021-Q2</v>
      </c>
      <c r="B91" s="8">
        <f>'UK Construction'!E91-'UK Construction'!F91</f>
        <v>-5.1965550336413244</v>
      </c>
      <c r="C91" s="8">
        <f>'UK Construction'!J91</f>
        <v>4.0650641491875508</v>
      </c>
      <c r="D91" s="8">
        <f t="shared" si="10"/>
        <v>3.9808825576539371</v>
      </c>
      <c r="E91" s="8">
        <f>100*('UK Construction'!D91/'UK Construction'!D90-1)</f>
        <v>4.5154849320365065</v>
      </c>
      <c r="F91" s="8">
        <f>'UK Construction'!H90</f>
        <v>102.11464644621982</v>
      </c>
      <c r="G91" s="8">
        <f t="shared" si="11"/>
        <v>-3.4393998542149586</v>
      </c>
      <c r="H91" s="8">
        <f t="shared" si="12"/>
        <v>3.6623961983326954</v>
      </c>
      <c r="I91" s="8">
        <f t="shared" si="13"/>
        <v>100.88998439999838</v>
      </c>
      <c r="J91" s="7">
        <f>(1+D91/400)*(F91/100*'UK Construction'!D90)-B91/100*'UK Construction'!D91/4+H91/100*'UK Construction'!D91/4</f>
        <v>2225400.0000000005</v>
      </c>
      <c r="K91" s="8">
        <f>J91/'UK Construction'!D91*100</f>
        <v>100.88998439999838</v>
      </c>
      <c r="L91" s="8">
        <f>'UK Construction'!H91</f>
        <v>100.88998439999837</v>
      </c>
      <c r="M91" s="8">
        <f t="shared" si="14"/>
        <v>0</v>
      </c>
    </row>
    <row r="92" spans="1:13" x14ac:dyDescent="0.35">
      <c r="A92" t="str">
        <f>'UK Construction'!A92</f>
        <v>2021-Q3</v>
      </c>
      <c r="B92" s="8">
        <f>'UK Construction'!E92-'UK Construction'!F92</f>
        <v>-3.1627118929286127</v>
      </c>
      <c r="C92" s="8">
        <f>'UK Construction'!J92</f>
        <v>3.3403316485089776</v>
      </c>
      <c r="D92" s="8">
        <f t="shared" si="10"/>
        <v>3.3108654623887839</v>
      </c>
      <c r="E92" s="8">
        <f>100*('UK Construction'!D92/'UK Construction'!D91-1)</f>
        <v>2.3750447122976137</v>
      </c>
      <c r="F92" s="8">
        <f>'UK Construction'!H91</f>
        <v>100.88998439999837</v>
      </c>
      <c r="G92" s="8">
        <f t="shared" si="11"/>
        <v>-1.5248826820930055</v>
      </c>
      <c r="H92" s="8">
        <f t="shared" si="12"/>
        <v>-4.4416309406299437</v>
      </c>
      <c r="I92" s="8">
        <f t="shared" si="13"/>
        <v>99.045371955980031</v>
      </c>
      <c r="J92" s="7">
        <f>(1+D92/400)*(F92/100*'UK Construction'!D91)-B92/100*'UK Construction'!D92/4+H92/100*'UK Construction'!D92/4</f>
        <v>2236600</v>
      </c>
      <c r="K92" s="8">
        <f>J92/'UK Construction'!D92*100</f>
        <v>99.045371955980031</v>
      </c>
      <c r="L92" s="8">
        <f>'UK Construction'!H92</f>
        <v>99.045371955980031</v>
      </c>
      <c r="M92" s="8">
        <f t="shared" si="14"/>
        <v>0</v>
      </c>
    </row>
    <row r="93" spans="1:13" x14ac:dyDescent="0.35">
      <c r="A93" t="str">
        <f>'UK Construction'!A93</f>
        <v>2021-Q4</v>
      </c>
      <c r="B93" s="8">
        <f>'UK Construction'!E93-'UK Construction'!F93</f>
        <v>-0.97169098082708416</v>
      </c>
      <c r="C93" s="8">
        <f>'UK Construction'!J93</f>
        <v>3.9965334562654413</v>
      </c>
      <c r="D93" s="8">
        <f t="shared" si="10"/>
        <v>4.0350532057587412</v>
      </c>
      <c r="E93" s="8">
        <f>100*('UK Construction'!D93/'UK Construction'!D92-1)</f>
        <v>2.856090165564229</v>
      </c>
      <c r="F93" s="8">
        <f>'UK Construction'!H92</f>
        <v>99.045371955980031</v>
      </c>
      <c r="G93" s="8">
        <f t="shared" si="11"/>
        <v>-1.778885198600975</v>
      </c>
      <c r="H93" s="8">
        <f t="shared" si="12"/>
        <v>17.20373951844703</v>
      </c>
      <c r="I93" s="8">
        <f t="shared" si="13"/>
        <v>101.81034438219758</v>
      </c>
      <c r="J93" s="7">
        <f>(1+D93/400)*(F93/100*'UK Construction'!D92)-B93/100*'UK Construction'!D93/4+H93/100*'UK Construction'!D93/4</f>
        <v>2364700</v>
      </c>
      <c r="K93" s="8">
        <f>J93/'UK Construction'!D93*100</f>
        <v>101.81034438219758</v>
      </c>
      <c r="L93" s="8">
        <f>'UK Construction'!H93</f>
        <v>101.81034438219758</v>
      </c>
      <c r="M93" s="8">
        <f t="shared" si="14"/>
        <v>0</v>
      </c>
    </row>
    <row r="94" spans="1:13" x14ac:dyDescent="0.35">
      <c r="A94" t="str">
        <f>'UK Construction'!A94</f>
        <v>2022-Q1</v>
      </c>
      <c r="B94" s="8">
        <f>'UK Construction'!E94-'UK Construction'!F94</f>
        <v>1.2447564099893782</v>
      </c>
      <c r="C94" s="8">
        <f>'UK Construction'!J94</f>
        <v>3.9189684894680732</v>
      </c>
      <c r="D94" s="8">
        <f t="shared" si="10"/>
        <v>3.849283207172157</v>
      </c>
      <c r="E94" s="8">
        <f>100*('UK Construction'!D94/'UK Construction'!D93-1)</f>
        <v>3.353838629290995</v>
      </c>
      <c r="F94" s="8">
        <f>'UK Construction'!H93</f>
        <v>101.81034438219758</v>
      </c>
      <c r="G94" s="8">
        <f t="shared" si="11"/>
        <v>-2.3558027146630667</v>
      </c>
      <c r="H94" s="8">
        <f t="shared" si="12"/>
        <v>0.13567724063240227</v>
      </c>
      <c r="I94" s="8">
        <f t="shared" si="13"/>
        <v>99.17727187519526</v>
      </c>
      <c r="J94" s="7">
        <f>(1+D94/400)*(F94/100*'UK Construction'!D93)-B94/100*'UK Construction'!D94/4+H94/100*'UK Construction'!D94/4</f>
        <v>2380800.0000000005</v>
      </c>
      <c r="K94" s="8">
        <f>J94/'UK Construction'!D94*100</f>
        <v>99.177271875195288</v>
      </c>
      <c r="L94" s="8">
        <f>'UK Construction'!H94</f>
        <v>99.177271875195274</v>
      </c>
      <c r="M94" s="8">
        <f t="shared" si="14"/>
        <v>0</v>
      </c>
    </row>
    <row r="95" spans="1:13" x14ac:dyDescent="0.35">
      <c r="A95" t="str">
        <f>'UK Construction'!A95</f>
        <v>2022-Q2</v>
      </c>
      <c r="B95" s="8">
        <f>'UK Construction'!E95-'UK Construction'!F95</f>
        <v>2.7947264624380637</v>
      </c>
      <c r="C95" s="8">
        <f>'UK Construction'!J95</f>
        <v>6.86259398887755</v>
      </c>
      <c r="D95" s="8">
        <f t="shared" si="10"/>
        <v>6.919522849462366</v>
      </c>
      <c r="E95" s="8">
        <f>100*('UK Construction'!D95/'UK Construction'!D94-1)</f>
        <v>2.6147341234300514</v>
      </c>
      <c r="F95" s="8">
        <f>'UK Construction'!H94</f>
        <v>99.177271875195274</v>
      </c>
      <c r="G95" s="8">
        <f t="shared" si="11"/>
        <v>-0.85521195438926245</v>
      </c>
      <c r="H95" s="8">
        <f t="shared" si="12"/>
        <v>3.4304543708931909</v>
      </c>
      <c r="I95" s="8">
        <f t="shared" si="13"/>
        <v>98.480991897919793</v>
      </c>
      <c r="J95" s="7">
        <f>(1+D95/400)*(F95/100*'UK Construction'!D94)-B95/100*'UK Construction'!D95/4+H95/100*'UK Construction'!D95/4</f>
        <v>2425899.9999999995</v>
      </c>
      <c r="K95" s="8">
        <f>J95/'UK Construction'!D95*100</f>
        <v>98.480991897919779</v>
      </c>
      <c r="L95" s="8">
        <f>'UK Construction'!H95</f>
        <v>98.480991897919793</v>
      </c>
      <c r="M95" s="8">
        <f t="shared" si="14"/>
        <v>0</v>
      </c>
    </row>
    <row r="96" spans="1:13" x14ac:dyDescent="0.35">
      <c r="A96" t="str">
        <f>'UK Construction'!A96</f>
        <v>2022-Q3</v>
      </c>
      <c r="B96" s="8">
        <f>'UK Construction'!E96-'UK Construction'!F96</f>
        <v>3.7798848322228551</v>
      </c>
      <c r="C96" s="8">
        <f>'UK Construction'!J96</f>
        <v>5.2113450232572482</v>
      </c>
      <c r="D96" s="8">
        <f t="shared" si="10"/>
        <v>5.291726781812935</v>
      </c>
      <c r="E96" s="8">
        <f>100*('UK Construction'!D96/'UK Construction'!D95-1)</f>
        <v>2.3353054701017006</v>
      </c>
      <c r="F96" s="8">
        <f>'UK Construction'!H95</f>
        <v>98.480991897919793</v>
      </c>
      <c r="G96" s="8">
        <f t="shared" si="11"/>
        <v>-0.97424415787716845</v>
      </c>
      <c r="H96" s="8">
        <f t="shared" si="12"/>
        <v>1.5277819650878421</v>
      </c>
      <c r="I96" s="8">
        <f t="shared" si="13"/>
        <v>96.943722023258871</v>
      </c>
      <c r="J96" s="7">
        <f>(1+D96/400)*(F96/100*'UK Construction'!D95)-B96/100*'UK Construction'!D96/4+H96/100*'UK Construction'!D96/4</f>
        <v>2443799.9999999995</v>
      </c>
      <c r="K96" s="8">
        <f>J96/'UK Construction'!D96*100</f>
        <v>96.943722023258857</v>
      </c>
      <c r="L96" s="8">
        <f>'UK Construction'!H96</f>
        <v>96.943722023258871</v>
      </c>
      <c r="M96" s="8">
        <f t="shared" si="14"/>
        <v>0</v>
      </c>
    </row>
    <row r="97" spans="1:13" x14ac:dyDescent="0.35">
      <c r="A97" t="str">
        <f>'UK Construction'!A97</f>
        <v>2022-Q4</v>
      </c>
      <c r="B97" s="8">
        <f>'UK Construction'!E97-'UK Construction'!F97</f>
        <v>3.9303372519177984</v>
      </c>
      <c r="C97" s="8">
        <f>'UK Construction'!J97</f>
        <v>6.9156203239867287</v>
      </c>
      <c r="D97" s="8">
        <f t="shared" si="10"/>
        <v>7.1336443244128001</v>
      </c>
      <c r="E97" s="8">
        <f>100*('UK Construction'!D97/'UK Construction'!D96-1)</f>
        <v>2.3843204894868464</v>
      </c>
      <c r="F97" s="8">
        <f>'UK Construction'!H96</f>
        <v>96.943722023258871</v>
      </c>
      <c r="G97" s="8">
        <f t="shared" si="11"/>
        <v>-0.5689776947192523</v>
      </c>
      <c r="H97" s="8">
        <f t="shared" si="12"/>
        <v>6.0872183061346554</v>
      </c>
      <c r="I97" s="8">
        <f t="shared" si="13"/>
        <v>96.913964592093834</v>
      </c>
      <c r="J97" s="7">
        <f>(1+D97/400)*(F97/100*'UK Construction'!D96)-B97/100*'UK Construction'!D97/4+H97/100*'UK Construction'!D97/4</f>
        <v>2501300</v>
      </c>
      <c r="K97" s="8">
        <f>J97/'UK Construction'!D97*100</f>
        <v>96.913964592093834</v>
      </c>
      <c r="L97" s="8">
        <f>'UK Construction'!H97</f>
        <v>96.913964592093834</v>
      </c>
      <c r="M97" s="8">
        <f t="shared" si="14"/>
        <v>0</v>
      </c>
    </row>
    <row r="98" spans="1:13" x14ac:dyDescent="0.35">
      <c r="A98" t="str">
        <f>'UK Construction'!A98</f>
        <v>2023-Q1</v>
      </c>
      <c r="B98" s="8">
        <f>'UK Construction'!E98-'UK Construction'!F98</f>
        <v>3.5822290073788565</v>
      </c>
      <c r="C98" s="8">
        <f>'UK Construction'!J98</f>
        <v>5.1649218950083853</v>
      </c>
      <c r="D98" s="8">
        <f t="shared" si="10"/>
        <v>5.329388717866709</v>
      </c>
      <c r="E98" s="8">
        <f>100*('UK Construction'!D98/'UK Construction'!D97-1)</f>
        <v>2.1767187185798731</v>
      </c>
      <c r="F98" s="8">
        <f>'UK Construction'!H97</f>
        <v>96.913964592093834</v>
      </c>
      <c r="G98" s="8">
        <f t="shared" si="11"/>
        <v>-0.80088100763512371</v>
      </c>
      <c r="H98" s="8">
        <f t="shared" si="12"/>
        <v>5.2315984542280649</v>
      </c>
      <c r="I98" s="8">
        <f t="shared" si="13"/>
        <v>96.525425946171012</v>
      </c>
      <c r="J98" s="7">
        <f>(1+D98/400)*(F98/100*'UK Construction'!D97)-B98/100*'UK Construction'!D98/4+H98/100*'UK Construction'!D98/4</f>
        <v>2545500</v>
      </c>
      <c r="K98" s="8">
        <f>J98/'UK Construction'!D98*100</f>
        <v>96.525425946171012</v>
      </c>
      <c r="L98" s="8">
        <f>'UK Construction'!H98</f>
        <v>96.525425946171012</v>
      </c>
      <c r="M98" s="8">
        <f t="shared" si="14"/>
        <v>0</v>
      </c>
    </row>
    <row r="99" spans="1:13" x14ac:dyDescent="0.35">
      <c r="A99" t="str">
        <f>'UK Construction'!A99</f>
        <v>2023-Q2</v>
      </c>
      <c r="B99" s="8">
        <f>'UK Construction'!E99-'UK Construction'!F99</f>
        <v>3.3441316576953497</v>
      </c>
      <c r="C99" s="8">
        <f>'UK Construction'!J99</f>
        <v>7.3208402015980258</v>
      </c>
      <c r="D99" s="8">
        <f t="shared" si="10"/>
        <v>7.5843645649184825</v>
      </c>
      <c r="E99" s="8">
        <f>100*('UK Construction'!D99/'UK Construction'!D98-1)</f>
        <v>1.9083253037678549</v>
      </c>
      <c r="F99" s="8">
        <f>'UK Construction'!H98</f>
        <v>96.525425946171012</v>
      </c>
      <c r="G99" s="8">
        <f t="shared" si="11"/>
        <v>-1.158794187401632E-2</v>
      </c>
      <c r="H99" s="8">
        <f t="shared" si="12"/>
        <v>5.8200810134797036</v>
      </c>
      <c r="I99" s="8">
        <f t="shared" si="13"/>
        <v>97.132825343243084</v>
      </c>
      <c r="J99" s="7">
        <f>(1+D99/400)*(F99/100*'UK Construction'!D98)-B99/100*'UK Construction'!D99/4+H99/100*'UK Construction'!D99/4</f>
        <v>2610400.0000000005</v>
      </c>
      <c r="K99" s="8">
        <f>J99/'UK Construction'!D99*100</f>
        <v>97.132825343243098</v>
      </c>
      <c r="L99" s="8">
        <f>'UK Construction'!H99</f>
        <v>97.132825343243084</v>
      </c>
      <c r="M99" s="8">
        <f t="shared" si="14"/>
        <v>0</v>
      </c>
    </row>
    <row r="100" spans="1:13" x14ac:dyDescent="0.35">
      <c r="A100" t="str">
        <f>'UK Construction'!A100</f>
        <v>2023-Q3</v>
      </c>
      <c r="B100" s="8">
        <f>'UK Construction'!E100-'UK Construction'!F100</f>
        <v>3.1900558310132965</v>
      </c>
      <c r="C100" s="8">
        <f>'UK Construction'!J100</f>
        <v>4.9566615837889687</v>
      </c>
      <c r="D100" s="8">
        <f t="shared" si="10"/>
        <v>5.1029727244866683</v>
      </c>
      <c r="E100" s="8">
        <f>100*('UK Construction'!D100/'UK Construction'!D99-1)</f>
        <v>1.5906876917707313</v>
      </c>
      <c r="F100" s="8">
        <f>'UK Construction'!H99</f>
        <v>97.132825343243084</v>
      </c>
      <c r="G100" s="8">
        <f t="shared" si="11"/>
        <v>-0.30112455029838459</v>
      </c>
      <c r="H100" s="8">
        <f t="shared" si="12"/>
        <v>-1.7915517637333016</v>
      </c>
      <c r="I100" s="8">
        <f t="shared" si="13"/>
        <v>95.586298894258036</v>
      </c>
      <c r="J100" s="7">
        <f>(1+D100/400)*(F100/100*'UK Construction'!D99)-B100/100*'UK Construction'!D100/4+H100/100*'UK Construction'!D100/4</f>
        <v>2609700</v>
      </c>
      <c r="K100" s="8">
        <f>J100/'UK Construction'!D100*100</f>
        <v>95.58629889425805</v>
      </c>
      <c r="L100" s="8">
        <f>'UK Construction'!H100</f>
        <v>95.58629889425805</v>
      </c>
      <c r="M100" s="8">
        <f t="shared" si="14"/>
        <v>0</v>
      </c>
    </row>
    <row r="101" spans="1:13" x14ac:dyDescent="0.35">
      <c r="A101" t="str">
        <f>'UK Construction'!A101</f>
        <v>2023-Q4</v>
      </c>
      <c r="B101" s="8">
        <f>'UK Construction'!E101-'UK Construction'!F101</f>
        <v>3.1251044632514606</v>
      </c>
      <c r="C101" s="8">
        <f>'UK Construction'!J101</f>
        <v>5.6576012845931238</v>
      </c>
      <c r="D101" s="8">
        <f t="shared" si="10"/>
        <v>5.9188412461202429</v>
      </c>
      <c r="E101" s="8">
        <f>100*('UK Construction'!D101/'UK Construction'!D100-1)</f>
        <v>0.80437242212392235</v>
      </c>
      <c r="F101" s="8">
        <f>'UK Construction'!H100</f>
        <v>95.58629889425805</v>
      </c>
      <c r="G101" s="8">
        <f t="shared" si="11"/>
        <v>0.64037945775876814</v>
      </c>
      <c r="H101" s="8">
        <f t="shared" si="12"/>
        <v>10.011903360410177</v>
      </c>
      <c r="I101" s="8">
        <f t="shared" si="13"/>
        <v>97.948378076306511</v>
      </c>
      <c r="J101" s="7">
        <f>(1+D101/400)*(F101/100*'UK Construction'!D100)-B101/100*'UK Construction'!D101/4+H101/100*'UK Construction'!D101/4</f>
        <v>2695700</v>
      </c>
      <c r="K101" s="8">
        <f>J101/'UK Construction'!D101*100</f>
        <v>97.948378076306497</v>
      </c>
      <c r="L101" s="8">
        <f>'UK Construction'!H101</f>
        <v>97.948378076306497</v>
      </c>
      <c r="M101" s="8">
        <f t="shared" si="14"/>
        <v>0</v>
      </c>
    </row>
    <row r="102" spans="1:13" x14ac:dyDescent="0.35">
      <c r="A102" t="str">
        <f>'UK Construction'!A102</f>
        <v>2024-Q1</v>
      </c>
      <c r="B102" s="8">
        <f>'UK Construction'!E102-'UK Construction'!F102</f>
        <v>3.4102765370195769</v>
      </c>
      <c r="C102" s="8">
        <f>'UK Construction'!J102</f>
        <v>4.756838618628831</v>
      </c>
      <c r="D102" s="8">
        <f t="shared" ref="D102:D109" si="15">C102*100/F102</f>
        <v>4.8564751270541962</v>
      </c>
      <c r="E102" s="8">
        <f>100*('UK Construction'!D102/'UK Construction'!D101-1)</f>
        <v>0.95848212533846677</v>
      </c>
      <c r="F102" s="8">
        <f>'UK Construction'!H101</f>
        <v>97.948378076306497</v>
      </c>
      <c r="G102" s="8">
        <f t="shared" ref="G102:G109" si="16">((1+D102/400)/(1+E102/100)-1)*F102</f>
        <v>0.24801478138904232</v>
      </c>
      <c r="H102" s="8">
        <f t="shared" ref="H102:H109" si="17">4*(L102-F102-G102+B102/4)</f>
        <v>-2.7554009421483929</v>
      </c>
      <c r="I102" s="8">
        <f t="shared" ref="I102:I109" si="18">F102*(1+D102/400)/(1+E102/100)-B102/4+H102/4</f>
        <v>96.654973487903561</v>
      </c>
      <c r="J102" s="7">
        <f>(1+D102/400)*(F102/100*'UK Construction'!D101)-B102/100*'UK Construction'!D102/4+H102/100*'UK Construction'!D102/4</f>
        <v>2685600</v>
      </c>
      <c r="K102" s="8">
        <f>J102/'UK Construction'!D102*100</f>
        <v>96.654973487903547</v>
      </c>
      <c r="L102" s="8">
        <f>'UK Construction'!H102</f>
        <v>96.654973487903547</v>
      </c>
      <c r="M102" s="8">
        <f t="shared" ref="M102:M109" si="19">I102-L102</f>
        <v>0</v>
      </c>
    </row>
    <row r="103" spans="1:13" x14ac:dyDescent="0.35">
      <c r="A103" t="str">
        <f>'UK Construction'!A103</f>
        <v>2024-Q2</v>
      </c>
      <c r="B103" s="8">
        <f>'UK Construction'!E103-'UK Construction'!F103</f>
        <v>3.2288842414288226</v>
      </c>
      <c r="C103" s="8">
        <f>'UK Construction'!J103</f>
        <v>5.9432587510792523</v>
      </c>
      <c r="D103" s="8">
        <f t="shared" si="15"/>
        <v>6.1489425081918379</v>
      </c>
      <c r="E103" s="8">
        <f>100*('UK Construction'!D103/'UK Construction'!D102-1)</f>
        <v>1.0166119437417409</v>
      </c>
      <c r="F103" s="8">
        <f>'UK Construction'!H102</f>
        <v>96.654973487903547</v>
      </c>
      <c r="G103" s="8">
        <f t="shared" si="16"/>
        <v>0.49814448672225659</v>
      </c>
      <c r="H103" s="8">
        <f t="shared" si="17"/>
        <v>3.8012106356372133</v>
      </c>
      <c r="I103" s="8">
        <f t="shared" si="18"/>
        <v>97.296199573177901</v>
      </c>
      <c r="J103" s="7">
        <f>(1+D103/400)*(F103/100*'UK Construction'!D102)-B103/100*'UK Construction'!D103/4+H103/100*'UK Construction'!D103/4</f>
        <v>2730900</v>
      </c>
      <c r="K103" s="8">
        <f>J103/'UK Construction'!D103*100</f>
        <v>97.296199573177901</v>
      </c>
      <c r="L103" s="8">
        <f>'UK Construction'!H103</f>
        <v>97.296199573177901</v>
      </c>
      <c r="M103" s="8">
        <f t="shared" si="19"/>
        <v>0</v>
      </c>
    </row>
    <row r="104" spans="1:13" x14ac:dyDescent="0.35">
      <c r="A104" t="str">
        <f>'UK Construction'!A104</f>
        <v>2024-Q3</v>
      </c>
      <c r="B104" s="8">
        <f>'UK Construction'!E104-'UK Construction'!F104</f>
        <v>2.7187610442084775</v>
      </c>
      <c r="C104" s="8">
        <f>'UK Construction'!J104</f>
        <v>4.2516896525924635</v>
      </c>
      <c r="D104" s="8">
        <f t="shared" si="15"/>
        <v>4.3698414442125308</v>
      </c>
      <c r="E104" s="8">
        <f>100*('UK Construction'!D104/'UK Construction'!D103-1)</f>
        <v>1.3144909309210862</v>
      </c>
      <c r="F104" s="8">
        <f>'UK Construction'!H103</f>
        <v>97.296199573177901</v>
      </c>
      <c r="G104" s="8">
        <f t="shared" si="16"/>
        <v>-0.21322448979138639</v>
      </c>
      <c r="H104" s="8">
        <f t="shared" si="17"/>
        <v>2.3060571054811163</v>
      </c>
      <c r="I104" s="8">
        <f t="shared" si="18"/>
        <v>96.979799098704689</v>
      </c>
      <c r="J104" s="7">
        <f>(1+D104/400)*(F104/100*'UK Construction'!D103)-B104/100*'UK Construction'!D104/4+H104/100*'UK Construction'!D104/4</f>
        <v>2757800</v>
      </c>
      <c r="K104" s="8">
        <f>J104/'UK Construction'!D104*100</f>
        <v>96.979799098704675</v>
      </c>
      <c r="L104" s="8">
        <f>'UK Construction'!H104</f>
        <v>96.979799098704675</v>
      </c>
      <c r="M104" s="8">
        <f t="shared" si="19"/>
        <v>0</v>
      </c>
    </row>
    <row r="105" spans="1:13" x14ac:dyDescent="0.35">
      <c r="A105" t="str">
        <f>'UK Construction'!A105</f>
        <v>2024-Q4</v>
      </c>
      <c r="B105" s="8">
        <f>'UK Construction'!E105-'UK Construction'!F105</f>
        <v>1.9524154713008457</v>
      </c>
      <c r="C105" s="8">
        <f>'UK Construction'!J105</f>
        <v>4.4537985044053752</v>
      </c>
      <c r="D105" s="8">
        <f t="shared" si="15"/>
        <v>4.5925012691275651</v>
      </c>
      <c r="E105" s="8">
        <f>100*('UK Construction'!D105/'UK Construction'!D104-1)</f>
        <v>1.6794757506545244</v>
      </c>
      <c r="F105" s="8">
        <f>'UK Construction'!H104</f>
        <v>96.979799098704675</v>
      </c>
      <c r="G105" s="8">
        <f t="shared" si="16"/>
        <v>-0.50679114835183348</v>
      </c>
      <c r="H105" s="8">
        <f t="shared" si="17"/>
        <v>5.5405188549388731</v>
      </c>
      <c r="I105" s="8">
        <f t="shared" si="18"/>
        <v>97.370033796262334</v>
      </c>
      <c r="J105" s="7">
        <f>(1+D105/400)*(F105/100*'UK Construction'!D104)-B105/100*'UK Construction'!D105/4+H105/100*'UK Construction'!D105/4</f>
        <v>2815400</v>
      </c>
      <c r="K105" s="8">
        <f>J105/'UK Construction'!D105*100</f>
        <v>97.370033796262362</v>
      </c>
      <c r="L105" s="8">
        <f>'UK Construction'!H105</f>
        <v>97.370033796262348</v>
      </c>
      <c r="M105" s="8">
        <f t="shared" si="19"/>
        <v>0</v>
      </c>
    </row>
    <row r="106" spans="1:13" x14ac:dyDescent="0.35">
      <c r="A106" t="str">
        <f>'UK Construction'!A106</f>
        <v>2025-Q1</v>
      </c>
      <c r="B106" s="8">
        <f>'UK Construction'!E106-'UK Construction'!F106</f>
        <v>1.6891335713124391</v>
      </c>
      <c r="C106" s="8">
        <f>'UK Construction'!J106</f>
        <v>3.8834575388629351</v>
      </c>
      <c r="D106" s="8">
        <f t="shared" si="15"/>
        <v>3.9883497904383036</v>
      </c>
      <c r="E106" s="8">
        <f>100*('UK Construction'!D106/'UK Construction'!D105-1)</f>
        <v>1.4673291268999078</v>
      </c>
      <c r="F106" s="8">
        <f>'UK Construction'!H105</f>
        <v>97.370033796262348</v>
      </c>
      <c r="G106" s="8">
        <f t="shared" si="16"/>
        <v>-0.45125311367608828</v>
      </c>
      <c r="H106" s="8">
        <f t="shared" si="17"/>
        <v>-3.5833545510351863</v>
      </c>
      <c r="I106" s="8">
        <f t="shared" si="18"/>
        <v>95.600658651999353</v>
      </c>
      <c r="J106" s="7">
        <f>(1+D106/400)*(F106/100*'UK Construction'!D105)-B106/100*'UK Construction'!D106/4+H106/100*'UK Construction'!D106/4</f>
        <v>2804799.9999999995</v>
      </c>
      <c r="K106" s="8">
        <f>J106/'UK Construction'!D106*100</f>
        <v>95.600658651999339</v>
      </c>
      <c r="L106" s="8">
        <f>'UK Construction'!H106</f>
        <v>95.600658651999353</v>
      </c>
      <c r="M106" s="8">
        <f t="shared" si="19"/>
        <v>0</v>
      </c>
    </row>
    <row r="107" spans="1:13" x14ac:dyDescent="0.35">
      <c r="A107" t="str">
        <f>'UK Construction'!A107</f>
        <v>2025-Q2</v>
      </c>
      <c r="B107" s="8">
        <f>'UK Construction'!E107-'UK Construction'!F107</f>
        <v>1.3688943227705508</v>
      </c>
      <c r="C107" s="8">
        <f>'UK Construction'!J107</f>
        <v>5.9333215400404447</v>
      </c>
      <c r="D107" s="8">
        <f t="shared" si="15"/>
        <v>6.2063605248146034</v>
      </c>
      <c r="E107" s="8">
        <f>100*('UK Construction'!D107/'UK Construction'!D106-1)</f>
        <v>1.365499710109952</v>
      </c>
      <c r="F107" s="8">
        <f>'UK Construction'!H106</f>
        <v>95.600658651999353</v>
      </c>
      <c r="G107" s="8">
        <f t="shared" si="16"/>
        <v>0.17550711905197397</v>
      </c>
      <c r="H107" s="8">
        <f t="shared" si="17"/>
        <v>3.9622277973310362</v>
      </c>
      <c r="I107" s="8">
        <f t="shared" si="18"/>
        <v>96.424499139691449</v>
      </c>
      <c r="J107" s="7">
        <f>(1+D107/400)*(F107/100*'UK Construction'!D106)-B107/100*'UK Construction'!D107/4+H107/100*'UK Construction'!D107/4</f>
        <v>2867600</v>
      </c>
      <c r="K107" s="8">
        <f>J107/'UK Construction'!D107*100</f>
        <v>96.424499139691449</v>
      </c>
      <c r="L107" s="8">
        <f>'UK Construction'!H107</f>
        <v>96.424499139691449</v>
      </c>
      <c r="M107" s="8">
        <f t="shared" si="19"/>
        <v>0</v>
      </c>
    </row>
    <row r="108" spans="1:13" x14ac:dyDescent="0.35">
      <c r="A108" t="str">
        <f>'UK Construction'!A108</f>
        <v>2025-Q3</v>
      </c>
      <c r="B108" s="8">
        <f>'UK Construction'!E108-'UK Construction'!F108</f>
        <v>1.4595531867443086</v>
      </c>
      <c r="C108" s="8">
        <f>'UK Construction'!J108</f>
        <v>4.4836248832774643</v>
      </c>
      <c r="D108" s="8">
        <f t="shared" si="15"/>
        <v>4.6498814339517356</v>
      </c>
      <c r="E108" s="8">
        <f>100*('UK Construction'!D108/'UK Construction'!D107-1)</f>
        <v>1.1700330841347029</v>
      </c>
      <c r="F108" s="8">
        <f>'UK Construction'!H107</f>
        <v>96.424499139691449</v>
      </c>
      <c r="G108" s="8">
        <f t="shared" si="16"/>
        <v>-7.2079845225921368E-3</v>
      </c>
      <c r="H108" s="8">
        <f t="shared" si="17"/>
        <v>3.1167313506799115</v>
      </c>
      <c r="I108" s="8">
        <f t="shared" si="18"/>
        <v>96.831585696152757</v>
      </c>
      <c r="J108" s="7">
        <f>(1+D108/400)*(F108/100*'UK Construction'!D107)-B108/100*'UK Construction'!D108/4+H108/100*'UK Construction'!D108/4</f>
        <v>2913399.9999999995</v>
      </c>
      <c r="K108" s="8">
        <f>J108/'UK Construction'!D108*100</f>
        <v>96.831585696152743</v>
      </c>
      <c r="L108" s="8">
        <f>'UK Construction'!H108</f>
        <v>96.831585696152757</v>
      </c>
      <c r="M108" s="8">
        <f t="shared" si="19"/>
        <v>0</v>
      </c>
    </row>
    <row r="109" spans="1:13" x14ac:dyDescent="0.35">
      <c r="A109" t="str">
        <f>'UK Construction'!A109</f>
        <v>2025-Q4</v>
      </c>
      <c r="B109" s="8">
        <f>'UK Construction'!E109-'UK Construction'!F109</f>
        <v>1.8040956477944263</v>
      </c>
      <c r="C109" s="8">
        <f>'UK Construction'!J109</f>
        <v>3.8142351803701824</v>
      </c>
      <c r="D109" s="8">
        <f t="shared" si="15"/>
        <v>3.9390402965607194</v>
      </c>
      <c r="E109" s="8">
        <f>100*('UK Construction'!D109/'UK Construction'!D108-1)</f>
        <v>1.034722635371943</v>
      </c>
      <c r="F109" s="8">
        <f>'UK Construction'!H108</f>
        <v>96.831585696152757</v>
      </c>
      <c r="G109" s="8">
        <f t="shared" si="16"/>
        <v>-4.7884072953532655E-2</v>
      </c>
      <c r="H109" s="8">
        <f t="shared" si="17"/>
        <v>-0.3657404072094157</v>
      </c>
      <c r="I109" s="8">
        <f t="shared" si="18"/>
        <v>96.241242609448264</v>
      </c>
      <c r="J109" s="7">
        <f>(1+D109/400)*(F109/100*'UK Construction'!D108)-B109/100*'UK Construction'!D109/4+H109/100*'UK Construction'!D109/4</f>
        <v>2925600.0000000005</v>
      </c>
      <c r="K109" s="8">
        <f>J109/'UK Construction'!D109*100</f>
        <v>96.241242609448278</v>
      </c>
      <c r="L109" s="8">
        <f>'UK Construction'!H109</f>
        <v>96.241242609448264</v>
      </c>
      <c r="M109" s="8">
        <f t="shared" si="19"/>
        <v>0</v>
      </c>
    </row>
    <row r="111" spans="1:13" ht="69.75" customHeight="1" x14ac:dyDescent="0.35">
      <c r="A111" s="16" t="s">
        <v>217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</sheetData>
  <mergeCells count="3">
    <mergeCell ref="A1:M1"/>
    <mergeCell ref="A2:M2"/>
    <mergeCell ref="A111:M1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7"/>
  <sheetViews>
    <sheetView showGridLines="0" zoomScaleNormal="100" workbookViewId="0"/>
  </sheetViews>
  <sheetFormatPr defaultColWidth="8.54296875" defaultRowHeight="14.5" x14ac:dyDescent="0.35"/>
  <cols>
    <col min="1" max="1" width="8" customWidth="1"/>
    <col min="2" max="13" width="15" customWidth="1"/>
  </cols>
  <sheetData>
    <row r="1" spans="1:13" ht="20" x14ac:dyDescent="0.4">
      <c r="A1" s="17" t="s">
        <v>298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09.5" customHeight="1" x14ac:dyDescent="0.35">
      <c r="A2" s="16" t="s">
        <v>299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25" x14ac:dyDescent="0.35">
      <c r="A4" s="4" t="s">
        <v>220</v>
      </c>
      <c r="B4" s="4" t="s">
        <v>177</v>
      </c>
      <c r="C4" s="4" t="s">
        <v>221</v>
      </c>
      <c r="D4" s="4" t="s">
        <v>183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226</v>
      </c>
      <c r="J4" s="4" t="s">
        <v>193</v>
      </c>
      <c r="K4" s="4" t="s">
        <v>195</v>
      </c>
      <c r="L4" s="4" t="s">
        <v>182</v>
      </c>
      <c r="M4" s="4" t="s">
        <v>227</v>
      </c>
    </row>
    <row r="5" spans="1:13" ht="57.5" x14ac:dyDescent="0.35">
      <c r="B5" s="1" t="s">
        <v>228</v>
      </c>
      <c r="C5" s="1" t="s">
        <v>228</v>
      </c>
      <c r="D5" s="1" t="s">
        <v>229</v>
      </c>
      <c r="E5" s="1" t="s">
        <v>230</v>
      </c>
      <c r="F5" s="1" t="s">
        <v>231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</row>
    <row r="6" spans="1:13" x14ac:dyDescent="0.35">
      <c r="A6" t="s">
        <v>239</v>
      </c>
      <c r="B6" s="9">
        <v>39.326000000000001</v>
      </c>
      <c r="C6" s="9">
        <v>37.850299999999997</v>
      </c>
      <c r="D6" s="9">
        <v>4.2092200000000002</v>
      </c>
      <c r="E6" s="9">
        <v>3.2534900000000002</v>
      </c>
      <c r="F6" s="9">
        <v>5.1238099999999998</v>
      </c>
      <c r="G6" s="9">
        <v>1347.02</v>
      </c>
      <c r="H6" s="9">
        <v>494.625</v>
      </c>
      <c r="I6" s="8">
        <f>(G6-1346.75)+(H6-494.021)</f>
        <v>0.8739999999999668</v>
      </c>
      <c r="J6" s="8">
        <f t="shared" ref="J6:J25" si="0">B6-C6</f>
        <v>1.4757000000000033</v>
      </c>
      <c r="K6" s="8">
        <f t="shared" ref="K6:K25" si="1">D6*100/L6</f>
        <v>4.3736135037241786</v>
      </c>
      <c r="L6" s="8">
        <f>96.241243</f>
        <v>96.241242999999997</v>
      </c>
      <c r="M6" s="8">
        <f t="shared" ref="M6:M25" si="2">L6*(1+K6/400)/(1+I6/100)-J6/4</f>
        <v>96.081645018042337</v>
      </c>
    </row>
    <row r="7" spans="1:13" x14ac:dyDescent="0.35">
      <c r="A7" t="s">
        <v>240</v>
      </c>
      <c r="B7" s="9">
        <v>39.298400000000001</v>
      </c>
      <c r="C7" s="9">
        <v>38.056899999999999</v>
      </c>
      <c r="D7" s="9">
        <v>3.94021</v>
      </c>
      <c r="E7" s="9">
        <v>2.7326999999999999</v>
      </c>
      <c r="F7" s="9">
        <v>5.1005399999999996</v>
      </c>
      <c r="G7" s="9">
        <v>1347.38</v>
      </c>
      <c r="H7" s="9">
        <v>495.07</v>
      </c>
      <c r="I7" s="8">
        <f t="shared" ref="I7:I25" si="3">(G7-G6)+(H7-H6)</f>
        <v>0.80500000000012051</v>
      </c>
      <c r="J7" s="8">
        <f t="shared" si="0"/>
        <v>1.241500000000002</v>
      </c>
      <c r="K7" s="8">
        <f t="shared" si="1"/>
        <v>4.1008977305291792</v>
      </c>
      <c r="L7" s="8">
        <f t="shared" ref="L7:L25" si="4">M6</f>
        <v>96.081645018042337</v>
      </c>
      <c r="M7" s="8">
        <f t="shared" si="2"/>
        <v>95.981175536225606</v>
      </c>
    </row>
    <row r="8" spans="1:13" x14ac:dyDescent="0.35">
      <c r="A8" t="s">
        <v>241</v>
      </c>
      <c r="B8" s="9">
        <v>39.2271</v>
      </c>
      <c r="C8" s="9">
        <v>38.252299999999998</v>
      </c>
      <c r="D8" s="9">
        <v>4.0022799999999998</v>
      </c>
      <c r="E8" s="9">
        <v>2.3748800000000001</v>
      </c>
      <c r="F8" s="9">
        <v>5.3829599999999997</v>
      </c>
      <c r="G8" s="9">
        <v>1347.77</v>
      </c>
      <c r="H8" s="9">
        <v>495.65199999999999</v>
      </c>
      <c r="I8" s="8">
        <f t="shared" si="3"/>
        <v>0.9719999999998663</v>
      </c>
      <c r="J8" s="8">
        <f t="shared" si="0"/>
        <v>0.97480000000000189</v>
      </c>
      <c r="K8" s="8">
        <f t="shared" si="1"/>
        <v>4.1698593267275035</v>
      </c>
      <c r="L8" s="8">
        <f t="shared" si="4"/>
        <v>95.981175536225606</v>
      </c>
      <c r="M8" s="8">
        <f t="shared" si="2"/>
        <v>95.804457445852051</v>
      </c>
    </row>
    <row r="9" spans="1:13" x14ac:dyDescent="0.35">
      <c r="A9" t="s">
        <v>242</v>
      </c>
      <c r="B9" s="9">
        <v>39.166600000000003</v>
      </c>
      <c r="C9" s="9">
        <v>38.405999999999999</v>
      </c>
      <c r="D9" s="9">
        <v>3.82057</v>
      </c>
      <c r="E9" s="9">
        <v>2.2110799999999999</v>
      </c>
      <c r="F9" s="9">
        <v>5.5076700000000001</v>
      </c>
      <c r="G9" s="9">
        <v>1348.18</v>
      </c>
      <c r="H9" s="9">
        <v>496.15600000000001</v>
      </c>
      <c r="I9" s="8">
        <f t="shared" si="3"/>
        <v>0.91400000000010095</v>
      </c>
      <c r="J9" s="8">
        <f t="shared" si="0"/>
        <v>0.76060000000000372</v>
      </c>
      <c r="K9" s="8">
        <f t="shared" si="1"/>
        <v>3.9878833426506874</v>
      </c>
      <c r="L9" s="8">
        <f t="shared" si="4"/>
        <v>95.804457445852051</v>
      </c>
      <c r="M9" s="8">
        <f t="shared" si="2"/>
        <v>95.693077248797948</v>
      </c>
    </row>
    <row r="10" spans="1:13" x14ac:dyDescent="0.35">
      <c r="A10" t="s">
        <v>243</v>
      </c>
      <c r="B10" s="9">
        <v>39.102899999999998</v>
      </c>
      <c r="C10" s="9">
        <v>38.518500000000003</v>
      </c>
      <c r="D10" s="9">
        <v>3.78633</v>
      </c>
      <c r="E10" s="9">
        <v>1.81765</v>
      </c>
      <c r="F10" s="9">
        <v>5.6408899999999997</v>
      </c>
      <c r="G10" s="9">
        <v>1348.59</v>
      </c>
      <c r="H10" s="9">
        <v>496.77</v>
      </c>
      <c r="I10" s="8">
        <f t="shared" si="3"/>
        <v>1.0239999999998304</v>
      </c>
      <c r="J10" s="8">
        <f t="shared" si="0"/>
        <v>0.58439999999999515</v>
      </c>
      <c r="K10" s="8">
        <f t="shared" si="1"/>
        <v>3.9567439033815393</v>
      </c>
      <c r="L10" s="8">
        <f t="shared" si="4"/>
        <v>95.693077248797948</v>
      </c>
      <c r="M10" s="8">
        <f t="shared" si="2"/>
        <v>95.51400032150589</v>
      </c>
    </row>
    <row r="11" spans="1:13" x14ac:dyDescent="0.35">
      <c r="A11" t="s">
        <v>244</v>
      </c>
      <c r="B11" s="9">
        <v>39.055</v>
      </c>
      <c r="C11" s="9">
        <v>38.603499999999997</v>
      </c>
      <c r="D11" s="9">
        <v>3.6559599999999999</v>
      </c>
      <c r="E11" s="9">
        <v>1.58561</v>
      </c>
      <c r="F11" s="9">
        <v>5.7897800000000004</v>
      </c>
      <c r="G11" s="9">
        <v>1349.01</v>
      </c>
      <c r="H11" s="9">
        <v>497.36500000000001</v>
      </c>
      <c r="I11" s="8">
        <f t="shared" si="3"/>
        <v>1.0150000000001</v>
      </c>
      <c r="J11" s="8">
        <f t="shared" si="0"/>
        <v>0.4515000000000029</v>
      </c>
      <c r="K11" s="8">
        <f t="shared" si="1"/>
        <v>3.8276692293211654</v>
      </c>
      <c r="L11" s="8">
        <f t="shared" si="4"/>
        <v>95.51400032150589</v>
      </c>
      <c r="M11" s="8">
        <f t="shared" si="2"/>
        <v>95.346205652879064</v>
      </c>
    </row>
    <row r="12" spans="1:13" x14ac:dyDescent="0.35">
      <c r="A12" t="s">
        <v>245</v>
      </c>
      <c r="B12" s="9">
        <v>39.012</v>
      </c>
      <c r="C12" s="9">
        <v>38.677399999999999</v>
      </c>
      <c r="D12" s="9">
        <v>3.6224699999999999</v>
      </c>
      <c r="E12" s="9">
        <v>1.47366</v>
      </c>
      <c r="F12" s="9">
        <v>5.8404499999999997</v>
      </c>
      <c r="G12" s="9">
        <v>1349.42</v>
      </c>
      <c r="H12" s="9">
        <v>498.00799999999998</v>
      </c>
      <c r="I12" s="8">
        <f t="shared" si="3"/>
        <v>1.0530000000000541</v>
      </c>
      <c r="J12" s="8">
        <f t="shared" si="0"/>
        <v>0.33460000000000178</v>
      </c>
      <c r="K12" s="8">
        <f t="shared" si="1"/>
        <v>3.7992807109578104</v>
      </c>
      <c r="L12" s="8">
        <f t="shared" si="4"/>
        <v>95.346205652879064</v>
      </c>
      <c r="M12" s="8">
        <f t="shared" si="2"/>
        <v>95.165202733594256</v>
      </c>
    </row>
    <row r="13" spans="1:13" x14ac:dyDescent="0.35">
      <c r="A13" t="s">
        <v>246</v>
      </c>
      <c r="B13" s="9">
        <v>38.981900000000003</v>
      </c>
      <c r="C13" s="9">
        <v>38.748899999999999</v>
      </c>
      <c r="D13" s="9">
        <v>3.5400299999999998</v>
      </c>
      <c r="E13" s="9">
        <v>1.31501</v>
      </c>
      <c r="F13" s="9">
        <v>6.0529299999999999</v>
      </c>
      <c r="G13" s="9">
        <v>1349.82</v>
      </c>
      <c r="H13" s="9">
        <v>498.642</v>
      </c>
      <c r="I13" s="8">
        <f t="shared" si="3"/>
        <v>1.0339999999998781</v>
      </c>
      <c r="J13" s="8">
        <f t="shared" si="0"/>
        <v>0.23300000000000409</v>
      </c>
      <c r="K13" s="8">
        <f t="shared" si="1"/>
        <v>3.7198785883007783</v>
      </c>
      <c r="L13" s="8">
        <f t="shared" si="4"/>
        <v>95.165202733594256</v>
      </c>
      <c r="M13" s="8">
        <f t="shared" si="2"/>
        <v>95.008965228135466</v>
      </c>
    </row>
    <row r="14" spans="1:13" x14ac:dyDescent="0.35">
      <c r="A14" t="s">
        <v>247</v>
      </c>
      <c r="B14" s="9">
        <v>38.957700000000003</v>
      </c>
      <c r="C14" s="9">
        <v>38.817700000000002</v>
      </c>
      <c r="D14" s="9">
        <v>3.5032999999999999</v>
      </c>
      <c r="E14" s="9">
        <v>0.89768000000000003</v>
      </c>
      <c r="F14" s="9">
        <v>6.0745300000000002</v>
      </c>
      <c r="G14" s="9">
        <v>1350.21</v>
      </c>
      <c r="H14" s="9">
        <v>499.30200000000002</v>
      </c>
      <c r="I14" s="8">
        <f t="shared" si="3"/>
        <v>1.0500000000001251</v>
      </c>
      <c r="J14" s="8">
        <f t="shared" si="0"/>
        <v>0.14000000000000057</v>
      </c>
      <c r="K14" s="8">
        <f t="shared" si="1"/>
        <v>3.6873362335731983</v>
      </c>
      <c r="L14" s="8">
        <f t="shared" si="4"/>
        <v>95.008965228135466</v>
      </c>
      <c r="M14" s="8">
        <f t="shared" si="2"/>
        <v>94.853461383607481</v>
      </c>
    </row>
    <row r="15" spans="1:13" x14ac:dyDescent="0.35">
      <c r="A15" t="s">
        <v>248</v>
      </c>
      <c r="B15" s="9">
        <v>38.941899999999997</v>
      </c>
      <c r="C15" s="9">
        <v>38.885199999999998</v>
      </c>
      <c r="D15" s="9">
        <v>3.4483999999999999</v>
      </c>
      <c r="E15" s="9">
        <v>0.95918199999999998</v>
      </c>
      <c r="F15" s="9">
        <v>6.2089499999999997</v>
      </c>
      <c r="G15" s="9">
        <v>1350.59</v>
      </c>
      <c r="H15" s="9">
        <v>499.96</v>
      </c>
      <c r="I15" s="8">
        <f t="shared" si="3"/>
        <v>1.0379999999998404</v>
      </c>
      <c r="J15" s="8">
        <f t="shared" si="0"/>
        <v>5.6699999999999307E-2</v>
      </c>
      <c r="K15" s="8">
        <f t="shared" si="1"/>
        <v>3.6355025422361131</v>
      </c>
      <c r="L15" s="8">
        <f t="shared" si="4"/>
        <v>94.853461383607481</v>
      </c>
      <c r="M15" s="8">
        <f t="shared" si="2"/>
        <v>94.718065724883346</v>
      </c>
    </row>
    <row r="16" spans="1:13" x14ac:dyDescent="0.35">
      <c r="A16" t="s">
        <v>249</v>
      </c>
      <c r="B16" s="9">
        <v>38.929499999999997</v>
      </c>
      <c r="C16" s="9">
        <v>38.950499999999998</v>
      </c>
      <c r="D16" s="9">
        <v>3.4173300000000002</v>
      </c>
      <c r="E16" s="9">
        <v>0.66019300000000003</v>
      </c>
      <c r="F16" s="9">
        <v>6.1112000000000002</v>
      </c>
      <c r="G16" s="9">
        <v>1350.96</v>
      </c>
      <c r="H16" s="9">
        <v>500.63200000000001</v>
      </c>
      <c r="I16" s="8">
        <f t="shared" si="3"/>
        <v>1.0420000000001437</v>
      </c>
      <c r="J16" s="8">
        <f t="shared" si="0"/>
        <v>-2.1000000000000796E-2</v>
      </c>
      <c r="K16" s="8">
        <f t="shared" si="1"/>
        <v>3.6078967342153341</v>
      </c>
      <c r="L16" s="8">
        <f t="shared" si="4"/>
        <v>94.718065724883346</v>
      </c>
      <c r="M16" s="8">
        <f t="shared" si="2"/>
        <v>94.59205373001646</v>
      </c>
    </row>
    <row r="17" spans="1:13" x14ac:dyDescent="0.35">
      <c r="A17" t="s">
        <v>250</v>
      </c>
      <c r="B17" s="9">
        <v>38.921700000000001</v>
      </c>
      <c r="C17" s="9">
        <v>39.012700000000002</v>
      </c>
      <c r="D17" s="9">
        <v>3.3807999999999998</v>
      </c>
      <c r="E17" s="9">
        <v>0.57455699999999998</v>
      </c>
      <c r="F17" s="9">
        <v>6.2130299999999998</v>
      </c>
      <c r="G17" s="9">
        <v>1351.34</v>
      </c>
      <c r="H17" s="9">
        <v>501.30500000000001</v>
      </c>
      <c r="I17" s="8">
        <f t="shared" si="3"/>
        <v>1.0529999999998836</v>
      </c>
      <c r="J17" s="8">
        <f t="shared" si="0"/>
        <v>-9.100000000000108E-2</v>
      </c>
      <c r="K17" s="8">
        <f t="shared" si="1"/>
        <v>3.5740845733717124</v>
      </c>
      <c r="L17" s="8">
        <f t="shared" si="4"/>
        <v>94.59205373001646</v>
      </c>
      <c r="M17" s="8">
        <f t="shared" si="2"/>
        <v>94.46552134772503</v>
      </c>
    </row>
    <row r="18" spans="1:13" x14ac:dyDescent="0.35">
      <c r="A18" t="s">
        <v>251</v>
      </c>
      <c r="B18" s="9">
        <v>38.916699999999999</v>
      </c>
      <c r="C18" s="9">
        <v>39.071100000000001</v>
      </c>
      <c r="D18" s="9">
        <v>3.35806</v>
      </c>
      <c r="E18" s="9">
        <v>0.24804499999999999</v>
      </c>
      <c r="F18" s="9">
        <v>6.2539199999999999</v>
      </c>
      <c r="G18" s="9">
        <v>1351.71</v>
      </c>
      <c r="H18" s="9">
        <v>501.98599999999999</v>
      </c>
      <c r="I18" s="8">
        <f t="shared" si="3"/>
        <v>1.0510000000001014</v>
      </c>
      <c r="J18" s="8">
        <f t="shared" si="0"/>
        <v>-0.15440000000000254</v>
      </c>
      <c r="K18" s="8">
        <f t="shared" si="1"/>
        <v>3.5547996264574371</v>
      </c>
      <c r="L18" s="8">
        <f t="shared" si="4"/>
        <v>94.46552134772503</v>
      </c>
      <c r="M18" s="8">
        <f t="shared" si="2"/>
        <v>94.352398327304968</v>
      </c>
    </row>
    <row r="19" spans="1:13" x14ac:dyDescent="0.35">
      <c r="A19" t="s">
        <v>252</v>
      </c>
      <c r="B19" s="9">
        <v>38.914999999999999</v>
      </c>
      <c r="C19" s="9">
        <v>39.125700000000002</v>
      </c>
      <c r="D19" s="9">
        <v>3.3355700000000001</v>
      </c>
      <c r="E19" s="9">
        <v>0.49595600000000001</v>
      </c>
      <c r="F19" s="9">
        <v>6.5429500000000003</v>
      </c>
      <c r="G19" s="9">
        <v>1352.08</v>
      </c>
      <c r="H19" s="9">
        <v>502.67099999999999</v>
      </c>
      <c r="I19" s="8">
        <f t="shared" si="3"/>
        <v>1.0549999999998931</v>
      </c>
      <c r="J19" s="8">
        <f t="shared" si="0"/>
        <v>-0.21070000000000277</v>
      </c>
      <c r="K19" s="8">
        <f t="shared" si="1"/>
        <v>3.5352254517463684</v>
      </c>
      <c r="L19" s="8">
        <f t="shared" si="4"/>
        <v>94.352398327304968</v>
      </c>
      <c r="M19" s="8">
        <f t="shared" si="2"/>
        <v>94.245234326411435</v>
      </c>
    </row>
    <row r="20" spans="1:13" x14ac:dyDescent="0.35">
      <c r="A20" t="s">
        <v>253</v>
      </c>
      <c r="B20" s="9">
        <v>38.915799999999997</v>
      </c>
      <c r="C20" s="9">
        <v>39.176200000000001</v>
      </c>
      <c r="D20" s="9">
        <v>3.32186</v>
      </c>
      <c r="E20" s="9">
        <v>0.276671</v>
      </c>
      <c r="F20" s="9">
        <v>6.4213800000000001</v>
      </c>
      <c r="G20" s="9">
        <v>1352.45</v>
      </c>
      <c r="H20" s="9">
        <v>503.36</v>
      </c>
      <c r="I20" s="8">
        <f t="shared" si="3"/>
        <v>1.0590000000001396</v>
      </c>
      <c r="J20" s="8">
        <f t="shared" si="0"/>
        <v>-0.26040000000000418</v>
      </c>
      <c r="K20" s="8">
        <f t="shared" si="1"/>
        <v>3.5246981173551779</v>
      </c>
      <c r="L20" s="8">
        <f t="shared" si="4"/>
        <v>94.245234326411435</v>
      </c>
      <c r="M20" s="8">
        <f t="shared" si="2"/>
        <v>94.144498496335117</v>
      </c>
    </row>
    <row r="21" spans="1:13" x14ac:dyDescent="0.35">
      <c r="A21" t="s">
        <v>254</v>
      </c>
      <c r="B21" s="9">
        <v>38.919199999999996</v>
      </c>
      <c r="C21" s="9">
        <v>39.222799999999999</v>
      </c>
      <c r="D21" s="9">
        <v>3.3103899999999999</v>
      </c>
      <c r="E21" s="9">
        <v>0.45074799999999998</v>
      </c>
      <c r="F21" s="9">
        <v>6.5639000000000003</v>
      </c>
      <c r="G21" s="9">
        <v>1352.82</v>
      </c>
      <c r="H21" s="9">
        <v>504.053</v>
      </c>
      <c r="I21" s="8">
        <f t="shared" si="3"/>
        <v>1.0629999999998745</v>
      </c>
      <c r="J21" s="8">
        <f t="shared" si="0"/>
        <v>-0.30360000000000298</v>
      </c>
      <c r="K21" s="8">
        <f t="shared" si="1"/>
        <v>3.5162861907739278</v>
      </c>
      <c r="L21" s="8">
        <f t="shared" si="4"/>
        <v>94.144498496335117</v>
      </c>
      <c r="M21" s="8">
        <f t="shared" si="2"/>
        <v>94.049061291803369</v>
      </c>
    </row>
    <row r="22" spans="1:13" x14ac:dyDescent="0.35">
      <c r="A22" t="s">
        <v>255</v>
      </c>
      <c r="B22" s="9">
        <v>38.924799999999998</v>
      </c>
      <c r="C22" s="9">
        <v>39.265500000000003</v>
      </c>
      <c r="D22" s="9">
        <v>3.3048500000000001</v>
      </c>
      <c r="E22" s="9">
        <v>0.22431499999999999</v>
      </c>
      <c r="F22" s="9">
        <v>6.6038199999999998</v>
      </c>
      <c r="G22" s="9">
        <v>1353.19</v>
      </c>
      <c r="H22" s="9">
        <v>504.75099999999998</v>
      </c>
      <c r="I22" s="8">
        <f t="shared" si="3"/>
        <v>1.0680000000000973</v>
      </c>
      <c r="J22" s="8">
        <f t="shared" si="0"/>
        <v>-0.34070000000000533</v>
      </c>
      <c r="K22" s="8">
        <f t="shared" si="1"/>
        <v>3.5139638339888744</v>
      </c>
      <c r="L22" s="8">
        <f t="shared" si="4"/>
        <v>94.049061291803369</v>
      </c>
      <c r="M22" s="8">
        <f t="shared" si="2"/>
        <v>93.957888214670604</v>
      </c>
    </row>
    <row r="23" spans="1:13" x14ac:dyDescent="0.35">
      <c r="A23" t="s">
        <v>256</v>
      </c>
      <c r="B23" s="9">
        <v>38.932600000000001</v>
      </c>
      <c r="C23" s="9">
        <v>39.304400000000001</v>
      </c>
      <c r="D23" s="9">
        <v>3.3020299999999998</v>
      </c>
      <c r="E23" s="9">
        <v>0.151112</v>
      </c>
      <c r="F23" s="9">
        <v>6.6108000000000002</v>
      </c>
      <c r="G23" s="9">
        <v>1353.55</v>
      </c>
      <c r="H23" s="9">
        <v>505.45100000000002</v>
      </c>
      <c r="I23" s="8">
        <f t="shared" si="3"/>
        <v>1.0599999999999454</v>
      </c>
      <c r="J23" s="8">
        <f t="shared" si="0"/>
        <v>-0.37180000000000035</v>
      </c>
      <c r="K23" s="8">
        <f t="shared" si="1"/>
        <v>3.5143723031063399</v>
      </c>
      <c r="L23" s="8">
        <f t="shared" si="4"/>
        <v>93.957888214670604</v>
      </c>
      <c r="M23" s="8">
        <f t="shared" si="2"/>
        <v>93.882179877964234</v>
      </c>
    </row>
    <row r="24" spans="1:13" x14ac:dyDescent="0.35">
      <c r="A24" t="s">
        <v>257</v>
      </c>
      <c r="B24" s="9">
        <v>38.942300000000003</v>
      </c>
      <c r="C24" s="9">
        <v>39.339799999999997</v>
      </c>
      <c r="D24" s="9">
        <v>3.3034300000000001</v>
      </c>
      <c r="E24" s="9">
        <v>0.28153</v>
      </c>
      <c r="F24" s="9">
        <v>6.96272</v>
      </c>
      <c r="G24" s="9">
        <v>1353.92</v>
      </c>
      <c r="H24" s="9">
        <v>506.15499999999997</v>
      </c>
      <c r="I24" s="8">
        <f t="shared" si="3"/>
        <v>1.0740000000000691</v>
      </c>
      <c r="J24" s="8">
        <f t="shared" si="0"/>
        <v>-0.39749999999999375</v>
      </c>
      <c r="K24" s="8">
        <f t="shared" si="1"/>
        <v>3.5186975891421244</v>
      </c>
      <c r="L24" s="8">
        <f t="shared" si="4"/>
        <v>93.882179877964234</v>
      </c>
      <c r="M24" s="8">
        <f t="shared" si="2"/>
        <v>93.801056320581125</v>
      </c>
    </row>
    <row r="25" spans="1:13" x14ac:dyDescent="0.35">
      <c r="A25" t="s">
        <v>258</v>
      </c>
      <c r="B25" s="9">
        <v>38.953600000000002</v>
      </c>
      <c r="C25" s="9">
        <v>39.371600000000001</v>
      </c>
      <c r="D25" s="9">
        <v>3.30741</v>
      </c>
      <c r="E25" s="9">
        <v>2.2350700000000001E-2</v>
      </c>
      <c r="F25" s="9">
        <v>7.1005000000000003</v>
      </c>
      <c r="G25" s="9">
        <v>1354.28</v>
      </c>
      <c r="H25" s="9">
        <v>506.86200000000002</v>
      </c>
      <c r="I25" s="8">
        <f t="shared" si="3"/>
        <v>1.0669999999999504</v>
      </c>
      <c r="J25" s="8">
        <f t="shared" si="0"/>
        <v>-0.41799999999999926</v>
      </c>
      <c r="K25" s="8">
        <f t="shared" si="1"/>
        <v>3.5259837465970123</v>
      </c>
      <c r="L25" s="8">
        <f t="shared" si="4"/>
        <v>93.801056320581125</v>
      </c>
      <c r="M25" s="8">
        <f t="shared" si="2"/>
        <v>93.733388579438568</v>
      </c>
    </row>
    <row r="27" spans="1:13" ht="55.5" customHeight="1" x14ac:dyDescent="0.35">
      <c r="A27" s="16" t="s">
        <v>259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</sheetData>
  <mergeCells count="3">
    <mergeCell ref="A1:M1"/>
    <mergeCell ref="A2:M2"/>
    <mergeCell ref="A27:M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 Overview</vt:lpstr>
      <vt:lpstr>US Raw Data</vt:lpstr>
      <vt:lpstr>US Raw Data_nsa</vt:lpstr>
      <vt:lpstr>UScalc_nsa</vt:lpstr>
      <vt:lpstr>UScalc</vt:lpstr>
      <vt:lpstr>UScalc_LagY</vt:lpstr>
      <vt:lpstr>US Construction</vt:lpstr>
      <vt:lpstr>US Fiscal Arithmetic</vt:lpstr>
      <vt:lpstr>US Projection</vt:lpstr>
      <vt:lpstr>UK Overview</vt:lpstr>
      <vt:lpstr>UK Raw Data</vt:lpstr>
      <vt:lpstr>UK Construction</vt:lpstr>
      <vt:lpstr>UK Fiscal Arithmetic</vt:lpstr>
      <vt:lpstr>UK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Linde, Jesper L</cp:lastModifiedBy>
  <dcterms:created xsi:type="dcterms:W3CDTF">2026-06-12T19:47:39Z</dcterms:created>
  <dcterms:modified xsi:type="dcterms:W3CDTF">2026-07-14T12:57:31Z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2026-06-12T00:17:38Z</dcterms:created>
  <dc:creator>openpyxl</dc:creator>
  <dc:description/>
  <dc:language>en-US</dc:language>
  <cp:lastModifiedBy/>
  <dcterms:modified xsi:type="dcterms:W3CDTF">2026-06-12T00:17:38Z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2026-06-12T10:34:40Z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0cdf35de-4b8c-4f27-ac73-8dcf96007df5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